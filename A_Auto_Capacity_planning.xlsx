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https://d.docs.live.net/fbaaac16e154d5d3/Desktop/j/projects/production cpacity/"/>
    </mc:Choice>
  </mc:AlternateContent>
  <xr:revisionPtr revIDLastSave="32" documentId="11_F25DC773A252ABDACC10486D511E74105ADE58ED" xr6:coauthVersionLast="47" xr6:coauthVersionMax="47" xr10:uidLastSave="{E399D941-BE5D-421B-BDBC-E659EC2714F2}"/>
  <bookViews>
    <workbookView xWindow="-110" yWindow="-110" windowWidth="19420" windowHeight="10300" activeTab="4" xr2:uid="{00000000-000D-0000-FFFF-FFFF00000000}"/>
  </bookViews>
  <sheets>
    <sheet name="01_README" sheetId="1" r:id="rId1"/>
    <sheet name="02_data_dictionary" sheetId="2" r:id="rId2"/>
    <sheet name="03_raw_components" sheetId="3" r:id="rId3"/>
    <sheet name="04_raw_machines" sheetId="4" r:id="rId4"/>
    <sheet name="05_raw_supplier" sheetId="5" r:id="rId5"/>
    <sheet name="06_raw_machine_oee" sheetId="6" r:id="rId6"/>
    <sheet name="07_raw_labour" sheetId="7" r:id="rId7"/>
    <sheet name="08_demand_planning" sheetId="10" r:id="rId8"/>
    <sheet name="09_inventory_production_reqmnt" sheetId="11" r:id="rId9"/>
    <sheet name="10_machine_capacity" sheetId="12" r:id="rId10"/>
    <sheet name="11_oee_analysis" sheetId="13" r:id="rId11"/>
    <sheet name="12_bottleneck_analysis" sheetId="14" r:id="rId12"/>
    <sheet name="13_cost_contribution" sheetId="15" r:id="rId13"/>
    <sheet name="14_capacity_scenarios" sheetId="16" r:id="rId14"/>
    <sheet name="15_management_dashboard" sheetId="17" r:id="rId15"/>
    <sheet name="16_Project_Conclusion" sheetId="18" r:id="rId16"/>
  </sheets>
  <definedNames>
    <definedName name="_xlnm._FilterDatabase" localSheetId="11" hidden="1">'12_bottleneck_analysis'!$A$1:$M$1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17" l="1"/>
  <c r="S2" i="15"/>
  <c r="D10" i="17"/>
  <c r="B10" i="17"/>
  <c r="F7" i="17"/>
  <c r="D7" i="17"/>
  <c r="B7" i="17"/>
  <c r="K3" i="16"/>
  <c r="J3" i="16"/>
  <c r="G26" i="16"/>
  <c r="G3" i="16"/>
  <c r="G4" i="16"/>
  <c r="G5" i="16"/>
  <c r="AG34" i="16" s="1"/>
  <c r="G6" i="16"/>
  <c r="AG35" i="16" s="1"/>
  <c r="G7" i="16"/>
  <c r="AG36" i="16" s="1"/>
  <c r="G8" i="16"/>
  <c r="G9" i="16"/>
  <c r="G10" i="16"/>
  <c r="G11" i="16"/>
  <c r="G12" i="16"/>
  <c r="AG41" i="16" s="1"/>
  <c r="G13" i="16"/>
  <c r="AG42" i="16" s="1"/>
  <c r="G14" i="16"/>
  <c r="AG43" i="16" s="1"/>
  <c r="G15" i="16"/>
  <c r="G16" i="16"/>
  <c r="G17" i="16"/>
  <c r="AG46" i="16" s="1"/>
  <c r="G18" i="16"/>
  <c r="AG47" i="16" s="1"/>
  <c r="G19" i="16"/>
  <c r="AG48" i="16" s="1"/>
  <c r="G20" i="16"/>
  <c r="G21" i="16"/>
  <c r="G22" i="16"/>
  <c r="G23" i="16"/>
  <c r="G24" i="16"/>
  <c r="AG53" i="16" s="1"/>
  <c r="G25" i="16"/>
  <c r="AG54" i="16" s="1"/>
  <c r="G2" i="16"/>
  <c r="F3" i="16"/>
  <c r="F4" i="16"/>
  <c r="AJ8" i="16" s="1"/>
  <c r="F5" i="16"/>
  <c r="F6" i="16"/>
  <c r="F7" i="16"/>
  <c r="X8" i="16" s="1"/>
  <c r="AJ36" i="16" s="1"/>
  <c r="F8" i="16"/>
  <c r="X9" i="16" s="1"/>
  <c r="AJ37" i="16" s="1"/>
  <c r="F9" i="16"/>
  <c r="X10" i="16" s="1"/>
  <c r="AJ38" i="16" s="1"/>
  <c r="F10" i="16"/>
  <c r="AA11" i="16" s="1"/>
  <c r="F11" i="16"/>
  <c r="X12" i="16" s="1"/>
  <c r="AJ40" i="16" s="1"/>
  <c r="F12" i="16"/>
  <c r="X13" i="16" s="1"/>
  <c r="AJ41" i="16" s="1"/>
  <c r="F13" i="16"/>
  <c r="X14" i="16" s="1"/>
  <c r="AJ42" i="16" s="1"/>
  <c r="F14" i="16"/>
  <c r="X15" i="16" s="1"/>
  <c r="AJ43" i="16" s="1"/>
  <c r="F15" i="16"/>
  <c r="F16" i="16"/>
  <c r="F17" i="16"/>
  <c r="F18" i="16"/>
  <c r="F19" i="16"/>
  <c r="X20" i="16" s="1"/>
  <c r="AJ48" i="16" s="1"/>
  <c r="F20" i="16"/>
  <c r="X21" i="16" s="1"/>
  <c r="AJ49" i="16" s="1"/>
  <c r="F21" i="16"/>
  <c r="X22" i="16" s="1"/>
  <c r="AJ50" i="16" s="1"/>
  <c r="F22" i="16"/>
  <c r="AA23" i="16" s="1"/>
  <c r="F23" i="16"/>
  <c r="X24" i="16" s="1"/>
  <c r="AJ52" i="16" s="1"/>
  <c r="F24" i="16"/>
  <c r="X25" i="16" s="1"/>
  <c r="AJ53" i="16" s="1"/>
  <c r="F25" i="16"/>
  <c r="X26" i="16" s="1"/>
  <c r="AJ54" i="16" s="1"/>
  <c r="F26" i="16"/>
  <c r="X27" i="16" s="1"/>
  <c r="AJ55" i="16" s="1"/>
  <c r="F2" i="16"/>
  <c r="AJ34" i="16"/>
  <c r="AJ46" i="16"/>
  <c r="AG32" i="16"/>
  <c r="AG33" i="16"/>
  <c r="AG37" i="16"/>
  <c r="AG38" i="16"/>
  <c r="AG39" i="16"/>
  <c r="AG40" i="16"/>
  <c r="AG44" i="16"/>
  <c r="AG45" i="16"/>
  <c r="AG49" i="16"/>
  <c r="AG50" i="16"/>
  <c r="AG51" i="16"/>
  <c r="AG52" i="16"/>
  <c r="AG55" i="16"/>
  <c r="AF32" i="16"/>
  <c r="AF33" i="16"/>
  <c r="AF34" i="16"/>
  <c r="AF35" i="16"/>
  <c r="AF36" i="16"/>
  <c r="AF37" i="16"/>
  <c r="AF38" i="16"/>
  <c r="AF39" i="16"/>
  <c r="AF40" i="16"/>
  <c r="AF41" i="16"/>
  <c r="AF42" i="16"/>
  <c r="AF43" i="16"/>
  <c r="AF44" i="16"/>
  <c r="AF45" i="16"/>
  <c r="AF46" i="16"/>
  <c r="AF47" i="16"/>
  <c r="AF48" i="16"/>
  <c r="AF49" i="16"/>
  <c r="AF50" i="16"/>
  <c r="AF51" i="16"/>
  <c r="AF52" i="16"/>
  <c r="AF53" i="16"/>
  <c r="AF54" i="16"/>
  <c r="AF55" i="16"/>
  <c r="AF31" i="16"/>
  <c r="AG31" i="16"/>
  <c r="AH8" i="16"/>
  <c r="AH7" i="16"/>
  <c r="AH6" i="16"/>
  <c r="X4" i="16"/>
  <c r="AJ32" i="16" s="1"/>
  <c r="X5" i="16"/>
  <c r="AJ33" i="16" s="1"/>
  <c r="X6" i="16"/>
  <c r="X7" i="16"/>
  <c r="AJ35" i="16" s="1"/>
  <c r="X16" i="16"/>
  <c r="AJ44" i="16" s="1"/>
  <c r="X17" i="16"/>
  <c r="AJ45" i="16" s="1"/>
  <c r="X18" i="16"/>
  <c r="X19" i="16"/>
  <c r="AJ47" i="16" s="1"/>
  <c r="R11" i="16"/>
  <c r="AI39" i="16" s="1"/>
  <c r="R3" i="16"/>
  <c r="AI31" i="16" s="1"/>
  <c r="AF6" i="16"/>
  <c r="AF7" i="16"/>
  <c r="AF8" i="16"/>
  <c r="AF5" i="16"/>
  <c r="AA20" i="16"/>
  <c r="AD20" i="16" s="1"/>
  <c r="V20" i="16"/>
  <c r="U11" i="16"/>
  <c r="U18" i="16"/>
  <c r="U20" i="16"/>
  <c r="P8" i="16"/>
  <c r="P9" i="16"/>
  <c r="P22" i="16"/>
  <c r="P23" i="16"/>
  <c r="O8" i="16"/>
  <c r="K18" i="16"/>
  <c r="L18" i="16" s="1"/>
  <c r="AH46" i="16" s="1"/>
  <c r="U3" i="16"/>
  <c r="H2" i="16"/>
  <c r="H3" i="16"/>
  <c r="H4" i="16"/>
  <c r="H5" i="16"/>
  <c r="H6" i="16"/>
  <c r="H7" i="16"/>
  <c r="H8" i="16"/>
  <c r="H9" i="16"/>
  <c r="H10" i="16"/>
  <c r="H11" i="16"/>
  <c r="H12" i="16"/>
  <c r="H13" i="16"/>
  <c r="H14" i="16"/>
  <c r="H15" i="16"/>
  <c r="H16" i="16"/>
  <c r="H17" i="16"/>
  <c r="H18" i="16"/>
  <c r="H19" i="16"/>
  <c r="H20" i="16"/>
  <c r="H21" i="16"/>
  <c r="H22" i="16"/>
  <c r="H23" i="16"/>
  <c r="H24" i="16"/>
  <c r="H25" i="16"/>
  <c r="H26" i="16"/>
  <c r="AA10" i="16"/>
  <c r="AA17" i="16"/>
  <c r="AA18" i="16"/>
  <c r="AA21" i="16"/>
  <c r="AA22" i="16"/>
  <c r="E3" i="16"/>
  <c r="AB4" i="16" s="1"/>
  <c r="E4" i="16"/>
  <c r="AB5" i="16" s="1"/>
  <c r="E5" i="16"/>
  <c r="AB6" i="16" s="1"/>
  <c r="E6" i="16"/>
  <c r="AB7" i="16" s="1"/>
  <c r="E7" i="16"/>
  <c r="AB8" i="16" s="1"/>
  <c r="E8" i="16"/>
  <c r="AB9" i="16" s="1"/>
  <c r="E9" i="16"/>
  <c r="AB10" i="16" s="1"/>
  <c r="E10" i="16"/>
  <c r="AB11" i="16" s="1"/>
  <c r="E11" i="16"/>
  <c r="AB12" i="16" s="1"/>
  <c r="E12" i="16"/>
  <c r="AB13" i="16" s="1"/>
  <c r="E13" i="16"/>
  <c r="AB14" i="16" s="1"/>
  <c r="E14" i="16"/>
  <c r="AB15" i="16" s="1"/>
  <c r="E15" i="16"/>
  <c r="AB16" i="16" s="1"/>
  <c r="E16" i="16"/>
  <c r="AB17" i="16" s="1"/>
  <c r="E17" i="16"/>
  <c r="AB18" i="16" s="1"/>
  <c r="E18" i="16"/>
  <c r="AB19" i="16" s="1"/>
  <c r="E19" i="16"/>
  <c r="AB20" i="16" s="1"/>
  <c r="E20" i="16"/>
  <c r="AB21" i="16" s="1"/>
  <c r="E21" i="16"/>
  <c r="AB22" i="16" s="1"/>
  <c r="E22" i="16"/>
  <c r="AB23" i="16" s="1"/>
  <c r="E23" i="16"/>
  <c r="AB24" i="16" s="1"/>
  <c r="E24" i="16"/>
  <c r="AB25" i="16" s="1"/>
  <c r="E25" i="16"/>
  <c r="AB26" i="16" s="1"/>
  <c r="E26" i="16"/>
  <c r="AB27" i="16" s="1"/>
  <c r="D3" i="16"/>
  <c r="V4" i="16" s="1"/>
  <c r="D4" i="16"/>
  <c r="V5" i="16" s="1"/>
  <c r="D5" i="16"/>
  <c r="V6" i="16" s="1"/>
  <c r="D6" i="16"/>
  <c r="V7" i="16" s="1"/>
  <c r="D7" i="16"/>
  <c r="V8" i="16" s="1"/>
  <c r="D8" i="16"/>
  <c r="V9" i="16" s="1"/>
  <c r="D9" i="16"/>
  <c r="V10" i="16" s="1"/>
  <c r="D10" i="16"/>
  <c r="V11" i="16" s="1"/>
  <c r="D11" i="16"/>
  <c r="V12" i="16" s="1"/>
  <c r="D12" i="16"/>
  <c r="V13" i="16" s="1"/>
  <c r="D13" i="16"/>
  <c r="V14" i="16" s="1"/>
  <c r="D14" i="16"/>
  <c r="V15" i="16" s="1"/>
  <c r="D15" i="16"/>
  <c r="V16" i="16" s="1"/>
  <c r="D16" i="16"/>
  <c r="V17" i="16" s="1"/>
  <c r="D17" i="16"/>
  <c r="V18" i="16" s="1"/>
  <c r="D18" i="16"/>
  <c r="V19" i="16" s="1"/>
  <c r="D19" i="16"/>
  <c r="D20" i="16"/>
  <c r="V21" i="16" s="1"/>
  <c r="D21" i="16"/>
  <c r="V22" i="16" s="1"/>
  <c r="D22" i="16"/>
  <c r="V23" i="16" s="1"/>
  <c r="D23" i="16"/>
  <c r="V24" i="16" s="1"/>
  <c r="D24" i="16"/>
  <c r="V25" i="16" s="1"/>
  <c r="D25" i="16"/>
  <c r="V26" i="16" s="1"/>
  <c r="D26" i="16"/>
  <c r="V27" i="16" s="1"/>
  <c r="C3" i="16"/>
  <c r="P4" i="16" s="1"/>
  <c r="C4" i="16"/>
  <c r="P5" i="16" s="1"/>
  <c r="C5" i="16"/>
  <c r="P6" i="16" s="1"/>
  <c r="C6" i="16"/>
  <c r="P7" i="16" s="1"/>
  <c r="C7" i="16"/>
  <c r="C8" i="16"/>
  <c r="C9" i="16"/>
  <c r="P10" i="16" s="1"/>
  <c r="C10" i="16"/>
  <c r="P11" i="16" s="1"/>
  <c r="C11" i="16"/>
  <c r="P12" i="16" s="1"/>
  <c r="C12" i="16"/>
  <c r="P13" i="16" s="1"/>
  <c r="C13" i="16"/>
  <c r="P14" i="16" s="1"/>
  <c r="C14" i="16"/>
  <c r="P15" i="16" s="1"/>
  <c r="C15" i="16"/>
  <c r="P16" i="16" s="1"/>
  <c r="C16" i="16"/>
  <c r="P17" i="16" s="1"/>
  <c r="C17" i="16"/>
  <c r="P18" i="16" s="1"/>
  <c r="C18" i="16"/>
  <c r="P19" i="16" s="1"/>
  <c r="C19" i="16"/>
  <c r="P20" i="16" s="1"/>
  <c r="C20" i="16"/>
  <c r="P21" i="16" s="1"/>
  <c r="C21" i="16"/>
  <c r="C22" i="16"/>
  <c r="C23" i="16"/>
  <c r="P24" i="16" s="1"/>
  <c r="C24" i="16"/>
  <c r="P25" i="16" s="1"/>
  <c r="C25" i="16"/>
  <c r="P26" i="16" s="1"/>
  <c r="C26" i="16"/>
  <c r="P27" i="16" s="1"/>
  <c r="B3" i="16"/>
  <c r="B4" i="16"/>
  <c r="U5" i="16" s="1"/>
  <c r="B5" i="16"/>
  <c r="J6" i="16" s="1"/>
  <c r="K6" i="16" s="1"/>
  <c r="L6" i="16" s="1"/>
  <c r="AH34" i="16" s="1"/>
  <c r="B6" i="16"/>
  <c r="U7" i="16" s="1"/>
  <c r="W7" i="16" s="1"/>
  <c r="Y7" i="16" s="1"/>
  <c r="B7" i="16"/>
  <c r="U8" i="16" s="1"/>
  <c r="W8" i="16" s="1"/>
  <c r="Y8" i="16" s="1"/>
  <c r="B8" i="16"/>
  <c r="J9" i="16" s="1"/>
  <c r="B9" i="16"/>
  <c r="J10" i="16" s="1"/>
  <c r="B10" i="16"/>
  <c r="O11" i="16" s="1"/>
  <c r="Q11" i="16" s="1"/>
  <c r="B11" i="16"/>
  <c r="B12" i="16"/>
  <c r="B13" i="16"/>
  <c r="B14" i="16"/>
  <c r="B15" i="16"/>
  <c r="B16" i="16"/>
  <c r="J17" i="16" s="1"/>
  <c r="K17" i="16" s="1"/>
  <c r="B17" i="16"/>
  <c r="J18" i="16" s="1"/>
  <c r="B18" i="16"/>
  <c r="O19" i="16" s="1"/>
  <c r="Q19" i="16" s="1"/>
  <c r="R19" i="16" s="1"/>
  <c r="AI47" i="16" s="1"/>
  <c r="B19" i="16"/>
  <c r="O20" i="16" s="1"/>
  <c r="S20" i="16" s="1"/>
  <c r="B20" i="16"/>
  <c r="J21" i="16" s="1"/>
  <c r="K21" i="16" s="1"/>
  <c r="L21" i="16" s="1"/>
  <c r="AH49" i="16" s="1"/>
  <c r="B21" i="16"/>
  <c r="O22" i="16" s="1"/>
  <c r="S22" i="16" s="1"/>
  <c r="B22" i="16"/>
  <c r="U23" i="16" s="1"/>
  <c r="W23" i="16" s="1"/>
  <c r="Y23" i="16" s="1"/>
  <c r="B23" i="16"/>
  <c r="B24" i="16"/>
  <c r="B25" i="16"/>
  <c r="B26" i="16"/>
  <c r="A3" i="16"/>
  <c r="A4" i="16"/>
  <c r="A5" i="16"/>
  <c r="A6" i="16"/>
  <c r="A7" i="16"/>
  <c r="A8" i="16"/>
  <c r="A9" i="16"/>
  <c r="A10" i="16"/>
  <c r="A11" i="16"/>
  <c r="A12" i="16"/>
  <c r="A13" i="16"/>
  <c r="A14" i="16"/>
  <c r="A15" i="16"/>
  <c r="A16" i="16"/>
  <c r="A17" i="16"/>
  <c r="A18" i="16"/>
  <c r="A19" i="16"/>
  <c r="A20" i="16"/>
  <c r="A21" i="16"/>
  <c r="A22" i="16"/>
  <c r="A23" i="16"/>
  <c r="A24" i="16"/>
  <c r="A25" i="16"/>
  <c r="A26" i="16"/>
  <c r="AA3" i="16"/>
  <c r="E2" i="16"/>
  <c r="D2" i="16"/>
  <c r="V3" i="16" s="1"/>
  <c r="W3" i="16" s="1"/>
  <c r="C2" i="16"/>
  <c r="P3" i="16" s="1"/>
  <c r="B2" i="16"/>
  <c r="O3" i="16" s="1"/>
  <c r="Q3" i="16" s="1"/>
  <c r="A2" i="16"/>
  <c r="W37" i="15"/>
  <c r="W38" i="15"/>
  <c r="W39" i="15"/>
  <c r="W40" i="15"/>
  <c r="W41" i="15"/>
  <c r="W42" i="15"/>
  <c r="W43" i="15"/>
  <c r="W44" i="15"/>
  <c r="W45" i="15"/>
  <c r="V37" i="15"/>
  <c r="V38" i="15"/>
  <c r="V39" i="15"/>
  <c r="V40" i="15"/>
  <c r="V41" i="15"/>
  <c r="V42" i="15"/>
  <c r="V43" i="15"/>
  <c r="V44" i="15"/>
  <c r="V45" i="15"/>
  <c r="U37" i="15"/>
  <c r="U38" i="15"/>
  <c r="U39" i="15"/>
  <c r="U40" i="15"/>
  <c r="U41" i="15"/>
  <c r="U42" i="15"/>
  <c r="U43" i="15"/>
  <c r="U44" i="15"/>
  <c r="U45" i="15"/>
  <c r="W36" i="15"/>
  <c r="V36" i="15"/>
  <c r="U36" i="15"/>
  <c r="V30" i="15"/>
  <c r="V31" i="15"/>
  <c r="V32" i="15"/>
  <c r="V29" i="15"/>
  <c r="V25" i="15"/>
  <c r="V24" i="15"/>
  <c r="V23" i="15"/>
  <c r="V16" i="15"/>
  <c r="V15" i="15"/>
  <c r="V14" i="15"/>
  <c r="V13" i="15"/>
  <c r="V12" i="15"/>
  <c r="V11" i="15"/>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79" i="15"/>
  <c r="S380" i="15"/>
  <c r="S381" i="15"/>
  <c r="S382" i="15"/>
  <c r="S383" i="15"/>
  <c r="S384" i="15"/>
  <c r="S385" i="15"/>
  <c r="S386" i="15"/>
  <c r="S387" i="15"/>
  <c r="S388" i="15"/>
  <c r="S389" i="15"/>
  <c r="S390" i="15"/>
  <c r="S391" i="15"/>
  <c r="S392" i="15"/>
  <c r="S393" i="15"/>
  <c r="S394" i="15"/>
  <c r="S395" i="15"/>
  <c r="S396" i="15"/>
  <c r="S397" i="15"/>
  <c r="S398" i="15"/>
  <c r="S399" i="15"/>
  <c r="S400" i="15"/>
  <c r="S401" i="15"/>
  <c r="S402" i="15"/>
  <c r="S403" i="15"/>
  <c r="S404" i="15"/>
  <c r="S405" i="15"/>
  <c r="S406" i="15"/>
  <c r="S407" i="15"/>
  <c r="S408" i="15"/>
  <c r="S409" i="15"/>
  <c r="S410" i="15"/>
  <c r="S411" i="15"/>
  <c r="S412" i="15"/>
  <c r="S413" i="15"/>
  <c r="S414" i="15"/>
  <c r="S415" i="15"/>
  <c r="S416" i="15"/>
  <c r="S417" i="15"/>
  <c r="S418" i="15"/>
  <c r="S419" i="15"/>
  <c r="S420" i="15"/>
  <c r="S421" i="15"/>
  <c r="S422" i="15"/>
  <c r="S423" i="15"/>
  <c r="S424" i="15"/>
  <c r="S425" i="15"/>
  <c r="S426" i="15"/>
  <c r="S427" i="15"/>
  <c r="S428" i="15"/>
  <c r="S429" i="15"/>
  <c r="S430" i="15"/>
  <c r="S431" i="15"/>
  <c r="S432" i="15"/>
  <c r="S433" i="15"/>
  <c r="S434" i="15"/>
  <c r="S435" i="15"/>
  <c r="S436" i="15"/>
  <c r="S437" i="15"/>
  <c r="S438" i="15"/>
  <c r="S439" i="15"/>
  <c r="S440" i="15"/>
  <c r="S441" i="15"/>
  <c r="S442" i="15"/>
  <c r="S443" i="15"/>
  <c r="S444" i="15"/>
  <c r="S445" i="15"/>
  <c r="S446" i="15"/>
  <c r="S447" i="15"/>
  <c r="S448" i="15"/>
  <c r="S449" i="15"/>
  <c r="S450" i="15"/>
  <c r="S451" i="15"/>
  <c r="S452" i="15"/>
  <c r="S453" i="15"/>
  <c r="S454" i="15"/>
  <c r="S455" i="15"/>
  <c r="S456" i="15"/>
  <c r="S457" i="15"/>
  <c r="S458" i="15"/>
  <c r="S459" i="15"/>
  <c r="S460" i="15"/>
  <c r="S461" i="15"/>
  <c r="S462" i="15"/>
  <c r="S463" i="15"/>
  <c r="S464" i="15"/>
  <c r="S465" i="15"/>
  <c r="S466" i="15"/>
  <c r="S467" i="15"/>
  <c r="S468" i="15"/>
  <c r="S469" i="15"/>
  <c r="S470" i="15"/>
  <c r="S471" i="15"/>
  <c r="S472" i="15"/>
  <c r="S473" i="15"/>
  <c r="S474" i="15"/>
  <c r="S475" i="15"/>
  <c r="S476" i="15"/>
  <c r="S477" i="15"/>
  <c r="S478" i="15"/>
  <c r="S479" i="15"/>
  <c r="S480" i="15"/>
  <c r="S481" i="15"/>
  <c r="S482" i="15"/>
  <c r="S483" i="15"/>
  <c r="S484" i="15"/>
  <c r="S485" i="15"/>
  <c r="S486" i="15"/>
  <c r="S487" i="15"/>
  <c r="S488" i="15"/>
  <c r="S489" i="15"/>
  <c r="S490" i="15"/>
  <c r="S491" i="15"/>
  <c r="S492" i="15"/>
  <c r="S493" i="15"/>
  <c r="S494" i="15"/>
  <c r="S495" i="15"/>
  <c r="S496" i="15"/>
  <c r="S497" i="15"/>
  <c r="S498" i="15"/>
  <c r="S499" i="15"/>
  <c r="S500" i="15"/>
  <c r="S501" i="15"/>
  <c r="R15" i="15"/>
  <c r="R18" i="15"/>
  <c r="R23" i="15"/>
  <c r="R27" i="15"/>
  <c r="R30" i="15"/>
  <c r="R35" i="15"/>
  <c r="R39" i="15"/>
  <c r="R42" i="15"/>
  <c r="R47" i="15"/>
  <c r="R51" i="15"/>
  <c r="R54" i="15"/>
  <c r="R59" i="15"/>
  <c r="R63" i="15"/>
  <c r="R66" i="15"/>
  <c r="R71" i="15"/>
  <c r="R75" i="15"/>
  <c r="R78" i="15"/>
  <c r="R83" i="15"/>
  <c r="R87" i="15"/>
  <c r="R90" i="15"/>
  <c r="R95" i="15"/>
  <c r="R99" i="15"/>
  <c r="R102" i="15"/>
  <c r="R107" i="15"/>
  <c r="R111" i="15"/>
  <c r="R114" i="15"/>
  <c r="R119" i="15"/>
  <c r="R123" i="15"/>
  <c r="R126" i="15"/>
  <c r="R131" i="15"/>
  <c r="R135" i="15"/>
  <c r="R138" i="15"/>
  <c r="R143" i="15"/>
  <c r="R147" i="15"/>
  <c r="R150" i="15"/>
  <c r="R155" i="15"/>
  <c r="R159" i="15"/>
  <c r="R162" i="15"/>
  <c r="R167" i="15"/>
  <c r="R171" i="15"/>
  <c r="R174" i="15"/>
  <c r="R179" i="15"/>
  <c r="R183" i="15"/>
  <c r="R186" i="15"/>
  <c r="R191" i="15"/>
  <c r="R195" i="15"/>
  <c r="R198" i="15"/>
  <c r="R203" i="15"/>
  <c r="R207" i="15"/>
  <c r="R210" i="15"/>
  <c r="R215" i="15"/>
  <c r="R219" i="15"/>
  <c r="R222" i="15"/>
  <c r="R227" i="15"/>
  <c r="R231" i="15"/>
  <c r="R234" i="15"/>
  <c r="R239" i="15"/>
  <c r="R243" i="15"/>
  <c r="R246" i="15"/>
  <c r="R251" i="15"/>
  <c r="R255" i="15"/>
  <c r="R258" i="15"/>
  <c r="R263" i="15"/>
  <c r="R267" i="15"/>
  <c r="R270" i="15"/>
  <c r="R275" i="15"/>
  <c r="R279" i="15"/>
  <c r="R282" i="15"/>
  <c r="R287" i="15"/>
  <c r="R291" i="15"/>
  <c r="R294" i="15"/>
  <c r="R299" i="15"/>
  <c r="R303" i="15"/>
  <c r="R306" i="15"/>
  <c r="R311" i="15"/>
  <c r="R315" i="15"/>
  <c r="R318" i="15"/>
  <c r="R323" i="15"/>
  <c r="R327" i="15"/>
  <c r="R330" i="15"/>
  <c r="R335" i="15"/>
  <c r="R339" i="15"/>
  <c r="R342" i="15"/>
  <c r="R347" i="15"/>
  <c r="R351" i="15"/>
  <c r="R354" i="15"/>
  <c r="R359" i="15"/>
  <c r="R363" i="15"/>
  <c r="R366" i="15"/>
  <c r="R371" i="15"/>
  <c r="R375" i="15"/>
  <c r="R378" i="15"/>
  <c r="R383" i="15"/>
  <c r="R387" i="15"/>
  <c r="R390" i="15"/>
  <c r="R395" i="15"/>
  <c r="R399" i="15"/>
  <c r="R402" i="15"/>
  <c r="R407" i="15"/>
  <c r="R411" i="15"/>
  <c r="R414" i="15"/>
  <c r="R419" i="15"/>
  <c r="R423" i="15"/>
  <c r="R426" i="15"/>
  <c r="R431" i="15"/>
  <c r="R435" i="15"/>
  <c r="R438" i="15"/>
  <c r="R443" i="15"/>
  <c r="R447" i="15"/>
  <c r="R450" i="15"/>
  <c r="R455" i="15"/>
  <c r="R459" i="15"/>
  <c r="R462" i="15"/>
  <c r="R467" i="15"/>
  <c r="R471" i="15"/>
  <c r="R474" i="15"/>
  <c r="R479" i="15"/>
  <c r="R483" i="15"/>
  <c r="R486" i="15"/>
  <c r="R491" i="15"/>
  <c r="R495" i="15"/>
  <c r="R498" i="15"/>
  <c r="Q251" i="15"/>
  <c r="Q263" i="15"/>
  <c r="Q371" i="15"/>
  <c r="P2" i="15"/>
  <c r="P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327" i="15"/>
  <c r="P328" i="15"/>
  <c r="P329" i="15"/>
  <c r="P330" i="15"/>
  <c r="P331" i="15"/>
  <c r="P332" i="15"/>
  <c r="P333" i="15"/>
  <c r="P334" i="15"/>
  <c r="P335" i="15"/>
  <c r="P336" i="15"/>
  <c r="P337" i="15"/>
  <c r="P338" i="15"/>
  <c r="P339" i="15"/>
  <c r="P340" i="15"/>
  <c r="P341" i="15"/>
  <c r="P342" i="15"/>
  <c r="P343" i="15"/>
  <c r="P344" i="15"/>
  <c r="P345" i="15"/>
  <c r="P346" i="15"/>
  <c r="P347" i="15"/>
  <c r="P348" i="15"/>
  <c r="P349" i="15"/>
  <c r="P350" i="15"/>
  <c r="P351" i="15"/>
  <c r="P352" i="15"/>
  <c r="P353" i="15"/>
  <c r="P354" i="15"/>
  <c r="P355" i="15"/>
  <c r="P356" i="15"/>
  <c r="P357" i="15"/>
  <c r="P358" i="15"/>
  <c r="P359" i="15"/>
  <c r="P360" i="15"/>
  <c r="P361"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2" i="15"/>
  <c r="P413" i="15"/>
  <c r="P414" i="15"/>
  <c r="P415" i="15"/>
  <c r="P416" i="15"/>
  <c r="P417" i="15"/>
  <c r="P418" i="15"/>
  <c r="P419" i="15"/>
  <c r="P420" i="15"/>
  <c r="P421" i="15"/>
  <c r="P422" i="15"/>
  <c r="P423" i="15"/>
  <c r="P424" i="15"/>
  <c r="P425" i="15"/>
  <c r="P426" i="15"/>
  <c r="P427" i="15"/>
  <c r="P428" i="15"/>
  <c r="P429" i="15"/>
  <c r="P430" i="15"/>
  <c r="P431" i="15"/>
  <c r="P432" i="15"/>
  <c r="P433" i="15"/>
  <c r="P434" i="15"/>
  <c r="P435" i="15"/>
  <c r="P436" i="15"/>
  <c r="P437" i="15"/>
  <c r="P438" i="15"/>
  <c r="P439" i="15"/>
  <c r="P440" i="15"/>
  <c r="P441" i="15"/>
  <c r="P442" i="15"/>
  <c r="P443" i="15"/>
  <c r="P444" i="15"/>
  <c r="P445" i="15"/>
  <c r="P446" i="15"/>
  <c r="P447" i="15"/>
  <c r="P448" i="15"/>
  <c r="P449" i="15"/>
  <c r="P450" i="15"/>
  <c r="P451"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O3" i="15"/>
  <c r="R3" i="15" s="1"/>
  <c r="O4" i="15"/>
  <c r="R4" i="15" s="1"/>
  <c r="O5" i="15"/>
  <c r="R5" i="15" s="1"/>
  <c r="O6" i="15"/>
  <c r="R6" i="15" s="1"/>
  <c r="O7" i="15"/>
  <c r="R7" i="15" s="1"/>
  <c r="O8" i="15"/>
  <c r="R8" i="15" s="1"/>
  <c r="O9" i="15"/>
  <c r="R9" i="15" s="1"/>
  <c r="O10" i="15"/>
  <c r="R10" i="15" s="1"/>
  <c r="O11" i="15"/>
  <c r="R11" i="15" s="1"/>
  <c r="O12" i="15"/>
  <c r="R12" i="15" s="1"/>
  <c r="O13" i="15"/>
  <c r="R13" i="15" s="1"/>
  <c r="O14" i="15"/>
  <c r="R14" i="15" s="1"/>
  <c r="O15" i="15"/>
  <c r="O16" i="15"/>
  <c r="R16" i="15" s="1"/>
  <c r="O17" i="15"/>
  <c r="R17" i="15" s="1"/>
  <c r="O18" i="15"/>
  <c r="O19" i="15"/>
  <c r="R19" i="15" s="1"/>
  <c r="O20" i="15"/>
  <c r="R20" i="15" s="1"/>
  <c r="O21" i="15"/>
  <c r="R21" i="15" s="1"/>
  <c r="O22" i="15"/>
  <c r="R22" i="15" s="1"/>
  <c r="O23" i="15"/>
  <c r="O24" i="15"/>
  <c r="R24" i="15" s="1"/>
  <c r="O25" i="15"/>
  <c r="R25" i="15" s="1"/>
  <c r="O26" i="15"/>
  <c r="R26" i="15" s="1"/>
  <c r="O27" i="15"/>
  <c r="O28" i="15"/>
  <c r="R28" i="15" s="1"/>
  <c r="O29" i="15"/>
  <c r="R29" i="15" s="1"/>
  <c r="O30" i="15"/>
  <c r="O31" i="15"/>
  <c r="R31" i="15" s="1"/>
  <c r="O32" i="15"/>
  <c r="R32" i="15" s="1"/>
  <c r="O33" i="15"/>
  <c r="R33" i="15" s="1"/>
  <c r="O34" i="15"/>
  <c r="R34" i="15" s="1"/>
  <c r="O35" i="15"/>
  <c r="O36" i="15"/>
  <c r="R36" i="15" s="1"/>
  <c r="O37" i="15"/>
  <c r="R37" i="15" s="1"/>
  <c r="O38" i="15"/>
  <c r="R38" i="15" s="1"/>
  <c r="O39" i="15"/>
  <c r="O40" i="15"/>
  <c r="R40" i="15" s="1"/>
  <c r="O41" i="15"/>
  <c r="R41" i="15" s="1"/>
  <c r="O42" i="15"/>
  <c r="O43" i="15"/>
  <c r="R43" i="15" s="1"/>
  <c r="O44" i="15"/>
  <c r="R44" i="15" s="1"/>
  <c r="O45" i="15"/>
  <c r="R45" i="15" s="1"/>
  <c r="O46" i="15"/>
  <c r="R46" i="15" s="1"/>
  <c r="O47" i="15"/>
  <c r="O48" i="15"/>
  <c r="R48" i="15" s="1"/>
  <c r="O49" i="15"/>
  <c r="R49" i="15" s="1"/>
  <c r="O50" i="15"/>
  <c r="R50" i="15" s="1"/>
  <c r="O51" i="15"/>
  <c r="O52" i="15"/>
  <c r="R52" i="15" s="1"/>
  <c r="O53" i="15"/>
  <c r="R53" i="15" s="1"/>
  <c r="O54" i="15"/>
  <c r="O55" i="15"/>
  <c r="R55" i="15" s="1"/>
  <c r="O56" i="15"/>
  <c r="R56" i="15" s="1"/>
  <c r="O57" i="15"/>
  <c r="R57" i="15" s="1"/>
  <c r="O58" i="15"/>
  <c r="R58" i="15" s="1"/>
  <c r="O59" i="15"/>
  <c r="O60" i="15"/>
  <c r="R60" i="15" s="1"/>
  <c r="O61" i="15"/>
  <c r="R61" i="15" s="1"/>
  <c r="O62" i="15"/>
  <c r="R62" i="15" s="1"/>
  <c r="O63" i="15"/>
  <c r="O64" i="15"/>
  <c r="R64" i="15" s="1"/>
  <c r="O65" i="15"/>
  <c r="R65" i="15" s="1"/>
  <c r="O66" i="15"/>
  <c r="O67" i="15"/>
  <c r="R67" i="15" s="1"/>
  <c r="O68" i="15"/>
  <c r="R68" i="15" s="1"/>
  <c r="O69" i="15"/>
  <c r="R69" i="15" s="1"/>
  <c r="O70" i="15"/>
  <c r="R70" i="15" s="1"/>
  <c r="O71" i="15"/>
  <c r="O72" i="15"/>
  <c r="R72" i="15" s="1"/>
  <c r="O73" i="15"/>
  <c r="R73" i="15" s="1"/>
  <c r="O74" i="15"/>
  <c r="R74" i="15" s="1"/>
  <c r="O75" i="15"/>
  <c r="O76" i="15"/>
  <c r="R76" i="15" s="1"/>
  <c r="O77" i="15"/>
  <c r="R77" i="15" s="1"/>
  <c r="O78" i="15"/>
  <c r="O79" i="15"/>
  <c r="R79" i="15" s="1"/>
  <c r="O80" i="15"/>
  <c r="R80" i="15" s="1"/>
  <c r="O81" i="15"/>
  <c r="R81" i="15" s="1"/>
  <c r="O82" i="15"/>
  <c r="R82" i="15" s="1"/>
  <c r="O83" i="15"/>
  <c r="O84" i="15"/>
  <c r="R84" i="15" s="1"/>
  <c r="O85" i="15"/>
  <c r="R85" i="15" s="1"/>
  <c r="O86" i="15"/>
  <c r="R86" i="15" s="1"/>
  <c r="O87" i="15"/>
  <c r="O88" i="15"/>
  <c r="R88" i="15" s="1"/>
  <c r="O89" i="15"/>
  <c r="R89" i="15" s="1"/>
  <c r="O90" i="15"/>
  <c r="O91" i="15"/>
  <c r="R91" i="15" s="1"/>
  <c r="O92" i="15"/>
  <c r="R92" i="15" s="1"/>
  <c r="O93" i="15"/>
  <c r="R93" i="15" s="1"/>
  <c r="O94" i="15"/>
  <c r="R94" i="15" s="1"/>
  <c r="O95" i="15"/>
  <c r="O96" i="15"/>
  <c r="R96" i="15" s="1"/>
  <c r="O97" i="15"/>
  <c r="R97" i="15" s="1"/>
  <c r="O98" i="15"/>
  <c r="R98" i="15" s="1"/>
  <c r="O99" i="15"/>
  <c r="O100" i="15"/>
  <c r="R100" i="15" s="1"/>
  <c r="O101" i="15"/>
  <c r="R101" i="15" s="1"/>
  <c r="O102" i="15"/>
  <c r="O103" i="15"/>
  <c r="R103" i="15" s="1"/>
  <c r="O104" i="15"/>
  <c r="R104" i="15" s="1"/>
  <c r="O105" i="15"/>
  <c r="R105" i="15" s="1"/>
  <c r="O106" i="15"/>
  <c r="R106" i="15" s="1"/>
  <c r="O107" i="15"/>
  <c r="O108" i="15"/>
  <c r="R108" i="15" s="1"/>
  <c r="O109" i="15"/>
  <c r="R109" i="15" s="1"/>
  <c r="O110" i="15"/>
  <c r="R110" i="15" s="1"/>
  <c r="O111" i="15"/>
  <c r="O112" i="15"/>
  <c r="R112" i="15" s="1"/>
  <c r="O113" i="15"/>
  <c r="R113" i="15" s="1"/>
  <c r="O114" i="15"/>
  <c r="O115" i="15"/>
  <c r="R115" i="15" s="1"/>
  <c r="O116" i="15"/>
  <c r="R116" i="15" s="1"/>
  <c r="O117" i="15"/>
  <c r="R117" i="15" s="1"/>
  <c r="O118" i="15"/>
  <c r="R118" i="15" s="1"/>
  <c r="O119" i="15"/>
  <c r="O120" i="15"/>
  <c r="R120" i="15" s="1"/>
  <c r="O121" i="15"/>
  <c r="R121" i="15" s="1"/>
  <c r="O122" i="15"/>
  <c r="R122" i="15" s="1"/>
  <c r="O123" i="15"/>
  <c r="O124" i="15"/>
  <c r="R124" i="15" s="1"/>
  <c r="O125" i="15"/>
  <c r="R125" i="15" s="1"/>
  <c r="O126" i="15"/>
  <c r="O127" i="15"/>
  <c r="R127" i="15" s="1"/>
  <c r="O128" i="15"/>
  <c r="R128" i="15" s="1"/>
  <c r="O129" i="15"/>
  <c r="R129" i="15" s="1"/>
  <c r="O130" i="15"/>
  <c r="R130" i="15" s="1"/>
  <c r="O131" i="15"/>
  <c r="O132" i="15"/>
  <c r="R132" i="15" s="1"/>
  <c r="O133" i="15"/>
  <c r="R133" i="15" s="1"/>
  <c r="O134" i="15"/>
  <c r="R134" i="15" s="1"/>
  <c r="O135" i="15"/>
  <c r="O136" i="15"/>
  <c r="R136" i="15" s="1"/>
  <c r="O137" i="15"/>
  <c r="R137" i="15" s="1"/>
  <c r="O138" i="15"/>
  <c r="O139" i="15"/>
  <c r="R139" i="15" s="1"/>
  <c r="O140" i="15"/>
  <c r="R140" i="15" s="1"/>
  <c r="O141" i="15"/>
  <c r="R141" i="15" s="1"/>
  <c r="O142" i="15"/>
  <c r="R142" i="15" s="1"/>
  <c r="O143" i="15"/>
  <c r="O144" i="15"/>
  <c r="R144" i="15" s="1"/>
  <c r="O145" i="15"/>
  <c r="R145" i="15" s="1"/>
  <c r="O146" i="15"/>
  <c r="R146" i="15" s="1"/>
  <c r="O147" i="15"/>
  <c r="O148" i="15"/>
  <c r="R148" i="15" s="1"/>
  <c r="O149" i="15"/>
  <c r="R149" i="15" s="1"/>
  <c r="O150" i="15"/>
  <c r="O151" i="15"/>
  <c r="R151" i="15" s="1"/>
  <c r="O152" i="15"/>
  <c r="R152" i="15" s="1"/>
  <c r="O153" i="15"/>
  <c r="R153" i="15" s="1"/>
  <c r="O154" i="15"/>
  <c r="R154" i="15" s="1"/>
  <c r="O155" i="15"/>
  <c r="O156" i="15"/>
  <c r="R156" i="15" s="1"/>
  <c r="O157" i="15"/>
  <c r="R157" i="15" s="1"/>
  <c r="O158" i="15"/>
  <c r="R158" i="15" s="1"/>
  <c r="O159" i="15"/>
  <c r="O160" i="15"/>
  <c r="R160" i="15" s="1"/>
  <c r="O161" i="15"/>
  <c r="R161" i="15" s="1"/>
  <c r="O162" i="15"/>
  <c r="O163" i="15"/>
  <c r="R163" i="15" s="1"/>
  <c r="O164" i="15"/>
  <c r="R164" i="15" s="1"/>
  <c r="O165" i="15"/>
  <c r="R165" i="15" s="1"/>
  <c r="O166" i="15"/>
  <c r="R166" i="15" s="1"/>
  <c r="O167" i="15"/>
  <c r="O168" i="15"/>
  <c r="R168" i="15" s="1"/>
  <c r="O169" i="15"/>
  <c r="R169" i="15" s="1"/>
  <c r="O170" i="15"/>
  <c r="R170" i="15" s="1"/>
  <c r="O171" i="15"/>
  <c r="O172" i="15"/>
  <c r="R172" i="15" s="1"/>
  <c r="O173" i="15"/>
  <c r="R173" i="15" s="1"/>
  <c r="O174" i="15"/>
  <c r="O175" i="15"/>
  <c r="R175" i="15" s="1"/>
  <c r="O176" i="15"/>
  <c r="R176" i="15" s="1"/>
  <c r="O177" i="15"/>
  <c r="R177" i="15" s="1"/>
  <c r="O178" i="15"/>
  <c r="R178" i="15" s="1"/>
  <c r="O179" i="15"/>
  <c r="O180" i="15"/>
  <c r="R180" i="15" s="1"/>
  <c r="O181" i="15"/>
  <c r="R181" i="15" s="1"/>
  <c r="O182" i="15"/>
  <c r="R182" i="15" s="1"/>
  <c r="O183" i="15"/>
  <c r="O184" i="15"/>
  <c r="R184" i="15" s="1"/>
  <c r="O185" i="15"/>
  <c r="R185" i="15" s="1"/>
  <c r="O186" i="15"/>
  <c r="O187" i="15"/>
  <c r="R187" i="15" s="1"/>
  <c r="O188" i="15"/>
  <c r="R188" i="15" s="1"/>
  <c r="O189" i="15"/>
  <c r="R189" i="15" s="1"/>
  <c r="O190" i="15"/>
  <c r="R190" i="15" s="1"/>
  <c r="O191" i="15"/>
  <c r="O192" i="15"/>
  <c r="R192" i="15" s="1"/>
  <c r="O193" i="15"/>
  <c r="R193" i="15" s="1"/>
  <c r="O194" i="15"/>
  <c r="R194" i="15" s="1"/>
  <c r="O195" i="15"/>
  <c r="O196" i="15"/>
  <c r="R196" i="15" s="1"/>
  <c r="O197" i="15"/>
  <c r="R197" i="15" s="1"/>
  <c r="O198" i="15"/>
  <c r="O199" i="15"/>
  <c r="R199" i="15" s="1"/>
  <c r="O200" i="15"/>
  <c r="R200" i="15" s="1"/>
  <c r="O201" i="15"/>
  <c r="R201" i="15" s="1"/>
  <c r="O202" i="15"/>
  <c r="R202" i="15" s="1"/>
  <c r="O203" i="15"/>
  <c r="O204" i="15"/>
  <c r="R204" i="15" s="1"/>
  <c r="O205" i="15"/>
  <c r="R205" i="15" s="1"/>
  <c r="O206" i="15"/>
  <c r="R206" i="15" s="1"/>
  <c r="O207" i="15"/>
  <c r="O208" i="15"/>
  <c r="R208" i="15" s="1"/>
  <c r="O209" i="15"/>
  <c r="R209" i="15" s="1"/>
  <c r="O210" i="15"/>
  <c r="O211" i="15"/>
  <c r="R211" i="15" s="1"/>
  <c r="O212" i="15"/>
  <c r="R212" i="15" s="1"/>
  <c r="O213" i="15"/>
  <c r="R213" i="15" s="1"/>
  <c r="O214" i="15"/>
  <c r="R214" i="15" s="1"/>
  <c r="O215" i="15"/>
  <c r="O216" i="15"/>
  <c r="R216" i="15" s="1"/>
  <c r="O217" i="15"/>
  <c r="R217" i="15" s="1"/>
  <c r="O218" i="15"/>
  <c r="R218" i="15" s="1"/>
  <c r="O219" i="15"/>
  <c r="O220" i="15"/>
  <c r="R220" i="15" s="1"/>
  <c r="O221" i="15"/>
  <c r="R221" i="15" s="1"/>
  <c r="O222" i="15"/>
  <c r="O223" i="15"/>
  <c r="R223" i="15" s="1"/>
  <c r="O224" i="15"/>
  <c r="R224" i="15" s="1"/>
  <c r="O225" i="15"/>
  <c r="R225" i="15" s="1"/>
  <c r="O226" i="15"/>
  <c r="R226" i="15" s="1"/>
  <c r="O227" i="15"/>
  <c r="O228" i="15"/>
  <c r="R228" i="15" s="1"/>
  <c r="O229" i="15"/>
  <c r="R229" i="15" s="1"/>
  <c r="O230" i="15"/>
  <c r="R230" i="15" s="1"/>
  <c r="O231" i="15"/>
  <c r="O232" i="15"/>
  <c r="R232" i="15" s="1"/>
  <c r="O233" i="15"/>
  <c r="R233" i="15" s="1"/>
  <c r="O234" i="15"/>
  <c r="O235" i="15"/>
  <c r="R235" i="15" s="1"/>
  <c r="O236" i="15"/>
  <c r="R236" i="15" s="1"/>
  <c r="O237" i="15"/>
  <c r="R237" i="15" s="1"/>
  <c r="O238" i="15"/>
  <c r="R238" i="15" s="1"/>
  <c r="O239" i="15"/>
  <c r="O240" i="15"/>
  <c r="R240" i="15" s="1"/>
  <c r="O241" i="15"/>
  <c r="R241" i="15" s="1"/>
  <c r="O242" i="15"/>
  <c r="R242" i="15" s="1"/>
  <c r="O243" i="15"/>
  <c r="O244" i="15"/>
  <c r="R244" i="15" s="1"/>
  <c r="O245" i="15"/>
  <c r="R245" i="15" s="1"/>
  <c r="O246" i="15"/>
  <c r="O247" i="15"/>
  <c r="R247" i="15" s="1"/>
  <c r="O248" i="15"/>
  <c r="R248" i="15" s="1"/>
  <c r="O249" i="15"/>
  <c r="R249" i="15" s="1"/>
  <c r="O250" i="15"/>
  <c r="R250" i="15" s="1"/>
  <c r="O251" i="15"/>
  <c r="O252" i="15"/>
  <c r="R252" i="15" s="1"/>
  <c r="O253" i="15"/>
  <c r="R253" i="15" s="1"/>
  <c r="O254" i="15"/>
  <c r="R254" i="15" s="1"/>
  <c r="O255" i="15"/>
  <c r="O256" i="15"/>
  <c r="R256" i="15" s="1"/>
  <c r="O257" i="15"/>
  <c r="R257" i="15" s="1"/>
  <c r="O258" i="15"/>
  <c r="O259" i="15"/>
  <c r="R259" i="15" s="1"/>
  <c r="O260" i="15"/>
  <c r="R260" i="15" s="1"/>
  <c r="O261" i="15"/>
  <c r="R261" i="15" s="1"/>
  <c r="O262" i="15"/>
  <c r="R262" i="15" s="1"/>
  <c r="O263" i="15"/>
  <c r="O264" i="15"/>
  <c r="R264" i="15" s="1"/>
  <c r="O265" i="15"/>
  <c r="R265" i="15" s="1"/>
  <c r="O266" i="15"/>
  <c r="R266" i="15" s="1"/>
  <c r="O267" i="15"/>
  <c r="O268" i="15"/>
  <c r="R268" i="15" s="1"/>
  <c r="O269" i="15"/>
  <c r="R269" i="15" s="1"/>
  <c r="O270" i="15"/>
  <c r="O271" i="15"/>
  <c r="R271" i="15" s="1"/>
  <c r="O272" i="15"/>
  <c r="R272" i="15" s="1"/>
  <c r="O273" i="15"/>
  <c r="R273" i="15" s="1"/>
  <c r="O274" i="15"/>
  <c r="R274" i="15" s="1"/>
  <c r="O275" i="15"/>
  <c r="O276" i="15"/>
  <c r="R276" i="15" s="1"/>
  <c r="O277" i="15"/>
  <c r="R277" i="15" s="1"/>
  <c r="O278" i="15"/>
  <c r="R278" i="15" s="1"/>
  <c r="O279" i="15"/>
  <c r="O280" i="15"/>
  <c r="R280" i="15" s="1"/>
  <c r="O281" i="15"/>
  <c r="R281" i="15" s="1"/>
  <c r="O282" i="15"/>
  <c r="O283" i="15"/>
  <c r="R283" i="15" s="1"/>
  <c r="O284" i="15"/>
  <c r="R284" i="15" s="1"/>
  <c r="O285" i="15"/>
  <c r="R285" i="15" s="1"/>
  <c r="O286" i="15"/>
  <c r="R286" i="15" s="1"/>
  <c r="O287" i="15"/>
  <c r="O288" i="15"/>
  <c r="R288" i="15" s="1"/>
  <c r="O289" i="15"/>
  <c r="R289" i="15" s="1"/>
  <c r="O290" i="15"/>
  <c r="R290" i="15" s="1"/>
  <c r="O291" i="15"/>
  <c r="O292" i="15"/>
  <c r="R292" i="15" s="1"/>
  <c r="O293" i="15"/>
  <c r="R293" i="15" s="1"/>
  <c r="O294" i="15"/>
  <c r="O295" i="15"/>
  <c r="R295" i="15" s="1"/>
  <c r="O296" i="15"/>
  <c r="R296" i="15" s="1"/>
  <c r="O297" i="15"/>
  <c r="R297" i="15" s="1"/>
  <c r="O298" i="15"/>
  <c r="R298" i="15" s="1"/>
  <c r="O299" i="15"/>
  <c r="O300" i="15"/>
  <c r="R300" i="15" s="1"/>
  <c r="O301" i="15"/>
  <c r="R301" i="15" s="1"/>
  <c r="O302" i="15"/>
  <c r="R302" i="15" s="1"/>
  <c r="O303" i="15"/>
  <c r="O304" i="15"/>
  <c r="R304" i="15" s="1"/>
  <c r="O305" i="15"/>
  <c r="R305" i="15" s="1"/>
  <c r="O306" i="15"/>
  <c r="O307" i="15"/>
  <c r="R307" i="15" s="1"/>
  <c r="O308" i="15"/>
  <c r="R308" i="15" s="1"/>
  <c r="O309" i="15"/>
  <c r="R309" i="15" s="1"/>
  <c r="O310" i="15"/>
  <c r="R310" i="15" s="1"/>
  <c r="O311" i="15"/>
  <c r="O312" i="15"/>
  <c r="R312" i="15" s="1"/>
  <c r="O313" i="15"/>
  <c r="R313" i="15" s="1"/>
  <c r="O314" i="15"/>
  <c r="R314" i="15" s="1"/>
  <c r="O315" i="15"/>
  <c r="O316" i="15"/>
  <c r="R316" i="15" s="1"/>
  <c r="O317" i="15"/>
  <c r="R317" i="15" s="1"/>
  <c r="O318" i="15"/>
  <c r="O319" i="15"/>
  <c r="R319" i="15" s="1"/>
  <c r="O320" i="15"/>
  <c r="R320" i="15" s="1"/>
  <c r="O321" i="15"/>
  <c r="R321" i="15" s="1"/>
  <c r="O322" i="15"/>
  <c r="R322" i="15" s="1"/>
  <c r="O323" i="15"/>
  <c r="O324" i="15"/>
  <c r="R324" i="15" s="1"/>
  <c r="O325" i="15"/>
  <c r="R325" i="15" s="1"/>
  <c r="O326" i="15"/>
  <c r="R326" i="15" s="1"/>
  <c r="O327" i="15"/>
  <c r="O328" i="15"/>
  <c r="R328" i="15" s="1"/>
  <c r="O329" i="15"/>
  <c r="R329" i="15" s="1"/>
  <c r="O330" i="15"/>
  <c r="O331" i="15"/>
  <c r="R331" i="15" s="1"/>
  <c r="O332" i="15"/>
  <c r="R332" i="15" s="1"/>
  <c r="O333" i="15"/>
  <c r="R333" i="15" s="1"/>
  <c r="O334" i="15"/>
  <c r="R334" i="15" s="1"/>
  <c r="O335" i="15"/>
  <c r="O336" i="15"/>
  <c r="R336" i="15" s="1"/>
  <c r="O337" i="15"/>
  <c r="R337" i="15" s="1"/>
  <c r="O338" i="15"/>
  <c r="R338" i="15" s="1"/>
  <c r="O339" i="15"/>
  <c r="O340" i="15"/>
  <c r="R340" i="15" s="1"/>
  <c r="O341" i="15"/>
  <c r="R341" i="15" s="1"/>
  <c r="O342" i="15"/>
  <c r="O343" i="15"/>
  <c r="R343" i="15" s="1"/>
  <c r="O344" i="15"/>
  <c r="R344" i="15" s="1"/>
  <c r="O345" i="15"/>
  <c r="R345" i="15" s="1"/>
  <c r="O346" i="15"/>
  <c r="R346" i="15" s="1"/>
  <c r="O347" i="15"/>
  <c r="O348" i="15"/>
  <c r="R348" i="15" s="1"/>
  <c r="O349" i="15"/>
  <c r="R349" i="15" s="1"/>
  <c r="O350" i="15"/>
  <c r="R350" i="15" s="1"/>
  <c r="O351" i="15"/>
  <c r="O352" i="15"/>
  <c r="R352" i="15" s="1"/>
  <c r="O353" i="15"/>
  <c r="R353" i="15" s="1"/>
  <c r="O354" i="15"/>
  <c r="O355" i="15"/>
  <c r="R355" i="15" s="1"/>
  <c r="O356" i="15"/>
  <c r="R356" i="15" s="1"/>
  <c r="O357" i="15"/>
  <c r="R357" i="15" s="1"/>
  <c r="O358" i="15"/>
  <c r="R358" i="15" s="1"/>
  <c r="O359" i="15"/>
  <c r="O360" i="15"/>
  <c r="R360" i="15" s="1"/>
  <c r="O361" i="15"/>
  <c r="R361" i="15" s="1"/>
  <c r="O362" i="15"/>
  <c r="R362" i="15" s="1"/>
  <c r="O363" i="15"/>
  <c r="O364" i="15"/>
  <c r="R364" i="15" s="1"/>
  <c r="O365" i="15"/>
  <c r="R365" i="15" s="1"/>
  <c r="O366" i="15"/>
  <c r="O367" i="15"/>
  <c r="R367" i="15" s="1"/>
  <c r="O368" i="15"/>
  <c r="R368" i="15" s="1"/>
  <c r="O369" i="15"/>
  <c r="R369" i="15" s="1"/>
  <c r="O370" i="15"/>
  <c r="R370" i="15" s="1"/>
  <c r="O371" i="15"/>
  <c r="O372" i="15"/>
  <c r="R372" i="15" s="1"/>
  <c r="O373" i="15"/>
  <c r="R373" i="15" s="1"/>
  <c r="O374" i="15"/>
  <c r="R374" i="15" s="1"/>
  <c r="O375" i="15"/>
  <c r="O376" i="15"/>
  <c r="R376" i="15" s="1"/>
  <c r="O377" i="15"/>
  <c r="R377" i="15" s="1"/>
  <c r="O378" i="15"/>
  <c r="O379" i="15"/>
  <c r="R379" i="15" s="1"/>
  <c r="O380" i="15"/>
  <c r="R380" i="15" s="1"/>
  <c r="O381" i="15"/>
  <c r="R381" i="15" s="1"/>
  <c r="O382" i="15"/>
  <c r="R382" i="15" s="1"/>
  <c r="O383" i="15"/>
  <c r="O384" i="15"/>
  <c r="R384" i="15" s="1"/>
  <c r="O385" i="15"/>
  <c r="R385" i="15" s="1"/>
  <c r="O386" i="15"/>
  <c r="R386" i="15" s="1"/>
  <c r="O387" i="15"/>
  <c r="O388" i="15"/>
  <c r="R388" i="15" s="1"/>
  <c r="O389" i="15"/>
  <c r="R389" i="15" s="1"/>
  <c r="O390" i="15"/>
  <c r="O391" i="15"/>
  <c r="R391" i="15" s="1"/>
  <c r="O392" i="15"/>
  <c r="R392" i="15" s="1"/>
  <c r="O393" i="15"/>
  <c r="R393" i="15" s="1"/>
  <c r="O394" i="15"/>
  <c r="R394" i="15" s="1"/>
  <c r="O395" i="15"/>
  <c r="O396" i="15"/>
  <c r="R396" i="15" s="1"/>
  <c r="O397" i="15"/>
  <c r="R397" i="15" s="1"/>
  <c r="O398" i="15"/>
  <c r="R398" i="15" s="1"/>
  <c r="O399" i="15"/>
  <c r="O400" i="15"/>
  <c r="R400" i="15" s="1"/>
  <c r="O401" i="15"/>
  <c r="R401" i="15" s="1"/>
  <c r="O402" i="15"/>
  <c r="O403" i="15"/>
  <c r="R403" i="15" s="1"/>
  <c r="O404" i="15"/>
  <c r="R404" i="15" s="1"/>
  <c r="O405" i="15"/>
  <c r="R405" i="15" s="1"/>
  <c r="O406" i="15"/>
  <c r="R406" i="15" s="1"/>
  <c r="O407" i="15"/>
  <c r="O408" i="15"/>
  <c r="R408" i="15" s="1"/>
  <c r="O409" i="15"/>
  <c r="R409" i="15" s="1"/>
  <c r="O410" i="15"/>
  <c r="R410" i="15" s="1"/>
  <c r="O411" i="15"/>
  <c r="O412" i="15"/>
  <c r="R412" i="15" s="1"/>
  <c r="O413" i="15"/>
  <c r="R413" i="15" s="1"/>
  <c r="O414" i="15"/>
  <c r="O415" i="15"/>
  <c r="R415" i="15" s="1"/>
  <c r="O416" i="15"/>
  <c r="R416" i="15" s="1"/>
  <c r="O417" i="15"/>
  <c r="R417" i="15" s="1"/>
  <c r="O418" i="15"/>
  <c r="R418" i="15" s="1"/>
  <c r="O419" i="15"/>
  <c r="O420" i="15"/>
  <c r="R420" i="15" s="1"/>
  <c r="O421" i="15"/>
  <c r="R421" i="15" s="1"/>
  <c r="O422" i="15"/>
  <c r="R422" i="15" s="1"/>
  <c r="O423" i="15"/>
  <c r="O424" i="15"/>
  <c r="R424" i="15" s="1"/>
  <c r="O425" i="15"/>
  <c r="R425" i="15" s="1"/>
  <c r="O426" i="15"/>
  <c r="O427" i="15"/>
  <c r="R427" i="15" s="1"/>
  <c r="O428" i="15"/>
  <c r="R428" i="15" s="1"/>
  <c r="O429" i="15"/>
  <c r="R429" i="15" s="1"/>
  <c r="O430" i="15"/>
  <c r="R430" i="15" s="1"/>
  <c r="O431" i="15"/>
  <c r="O432" i="15"/>
  <c r="R432" i="15" s="1"/>
  <c r="O433" i="15"/>
  <c r="R433" i="15" s="1"/>
  <c r="O434" i="15"/>
  <c r="R434" i="15" s="1"/>
  <c r="O435" i="15"/>
  <c r="O436" i="15"/>
  <c r="R436" i="15" s="1"/>
  <c r="O437" i="15"/>
  <c r="R437" i="15" s="1"/>
  <c r="O438" i="15"/>
  <c r="O439" i="15"/>
  <c r="R439" i="15" s="1"/>
  <c r="O440" i="15"/>
  <c r="R440" i="15" s="1"/>
  <c r="O441" i="15"/>
  <c r="R441" i="15" s="1"/>
  <c r="O442" i="15"/>
  <c r="R442" i="15" s="1"/>
  <c r="O443" i="15"/>
  <c r="O444" i="15"/>
  <c r="R444" i="15" s="1"/>
  <c r="O445" i="15"/>
  <c r="R445" i="15" s="1"/>
  <c r="O446" i="15"/>
  <c r="R446" i="15" s="1"/>
  <c r="O447" i="15"/>
  <c r="O448" i="15"/>
  <c r="R448" i="15" s="1"/>
  <c r="O449" i="15"/>
  <c r="R449" i="15" s="1"/>
  <c r="O450" i="15"/>
  <c r="O451" i="15"/>
  <c r="R451" i="15" s="1"/>
  <c r="O452" i="15"/>
  <c r="R452" i="15" s="1"/>
  <c r="O453" i="15"/>
  <c r="R453" i="15" s="1"/>
  <c r="O454" i="15"/>
  <c r="R454" i="15" s="1"/>
  <c r="O455" i="15"/>
  <c r="O456" i="15"/>
  <c r="R456" i="15" s="1"/>
  <c r="O457" i="15"/>
  <c r="R457" i="15" s="1"/>
  <c r="O458" i="15"/>
  <c r="R458" i="15" s="1"/>
  <c r="O459" i="15"/>
  <c r="O460" i="15"/>
  <c r="R460" i="15" s="1"/>
  <c r="O461" i="15"/>
  <c r="R461" i="15" s="1"/>
  <c r="O462" i="15"/>
  <c r="O463" i="15"/>
  <c r="R463" i="15" s="1"/>
  <c r="O464" i="15"/>
  <c r="R464" i="15" s="1"/>
  <c r="O465" i="15"/>
  <c r="R465" i="15" s="1"/>
  <c r="O466" i="15"/>
  <c r="R466" i="15" s="1"/>
  <c r="O467" i="15"/>
  <c r="O468" i="15"/>
  <c r="R468" i="15" s="1"/>
  <c r="O469" i="15"/>
  <c r="R469" i="15" s="1"/>
  <c r="O470" i="15"/>
  <c r="R470" i="15" s="1"/>
  <c r="O471" i="15"/>
  <c r="O472" i="15"/>
  <c r="R472" i="15" s="1"/>
  <c r="O473" i="15"/>
  <c r="R473" i="15" s="1"/>
  <c r="O474" i="15"/>
  <c r="O475" i="15"/>
  <c r="R475" i="15" s="1"/>
  <c r="O476" i="15"/>
  <c r="R476" i="15" s="1"/>
  <c r="O477" i="15"/>
  <c r="R477" i="15" s="1"/>
  <c r="O478" i="15"/>
  <c r="R478" i="15" s="1"/>
  <c r="O479" i="15"/>
  <c r="O480" i="15"/>
  <c r="R480" i="15" s="1"/>
  <c r="O481" i="15"/>
  <c r="R481" i="15" s="1"/>
  <c r="O482" i="15"/>
  <c r="R482" i="15" s="1"/>
  <c r="O483" i="15"/>
  <c r="O484" i="15"/>
  <c r="R484" i="15" s="1"/>
  <c r="O485" i="15"/>
  <c r="R485" i="15" s="1"/>
  <c r="O486" i="15"/>
  <c r="O487" i="15"/>
  <c r="R487" i="15" s="1"/>
  <c r="O488" i="15"/>
  <c r="R488" i="15" s="1"/>
  <c r="O489" i="15"/>
  <c r="R489" i="15" s="1"/>
  <c r="O490" i="15"/>
  <c r="R490" i="15" s="1"/>
  <c r="O491" i="15"/>
  <c r="O492" i="15"/>
  <c r="R492" i="15" s="1"/>
  <c r="O493" i="15"/>
  <c r="R493" i="15" s="1"/>
  <c r="O494" i="15"/>
  <c r="R494" i="15" s="1"/>
  <c r="O495" i="15"/>
  <c r="O496" i="15"/>
  <c r="R496" i="15" s="1"/>
  <c r="O497" i="15"/>
  <c r="R497" i="15" s="1"/>
  <c r="O498" i="15"/>
  <c r="O499" i="15"/>
  <c r="R499" i="15" s="1"/>
  <c r="O500" i="15"/>
  <c r="R500" i="15" s="1"/>
  <c r="O501" i="15"/>
  <c r="R501" i="15" s="1"/>
  <c r="O2" i="15"/>
  <c r="R2" i="15" s="1"/>
  <c r="N317" i="15"/>
  <c r="N335" i="15"/>
  <c r="N341" i="15"/>
  <c r="N359" i="15"/>
  <c r="N360" i="15"/>
  <c r="N383" i="15"/>
  <c r="N384" i="15"/>
  <c r="N386" i="15"/>
  <c r="N407" i="15"/>
  <c r="N408" i="15"/>
  <c r="N410" i="15"/>
  <c r="N425" i="15"/>
  <c r="N434" i="15"/>
  <c r="N449" i="15"/>
  <c r="N453" i="15"/>
  <c r="N473" i="15"/>
  <c r="N477" i="15"/>
  <c r="N492" i="15"/>
  <c r="N501" i="15"/>
  <c r="M311" i="15"/>
  <c r="M325" i="15"/>
  <c r="M326" i="15"/>
  <c r="M328" i="15"/>
  <c r="M341" i="15"/>
  <c r="M359" i="15"/>
  <c r="M361" i="15"/>
  <c r="M373" i="15"/>
  <c r="M374" i="15"/>
  <c r="M376" i="15"/>
  <c r="M389" i="15"/>
  <c r="M407" i="15"/>
  <c r="M409" i="15"/>
  <c r="M421" i="15"/>
  <c r="M422" i="15"/>
  <c r="M424" i="15"/>
  <c r="M437" i="15"/>
  <c r="M455" i="15"/>
  <c r="M457" i="15"/>
  <c r="M469" i="15"/>
  <c r="M470" i="15"/>
  <c r="M472" i="15"/>
  <c r="M485" i="15"/>
  <c r="L100" i="15"/>
  <c r="L102" i="15"/>
  <c r="L104" i="15"/>
  <c r="L115" i="15"/>
  <c r="L116" i="15"/>
  <c r="L117" i="15"/>
  <c r="L119" i="15"/>
  <c r="L130" i="15"/>
  <c r="L131" i="15"/>
  <c r="L135" i="15"/>
  <c r="L143" i="15"/>
  <c r="L145" i="15"/>
  <c r="L160" i="15"/>
  <c r="L163" i="15"/>
  <c r="L174" i="15"/>
  <c r="L175" i="15"/>
  <c r="L177" i="15"/>
  <c r="L187" i="15"/>
  <c r="L188" i="15"/>
  <c r="L189" i="15"/>
  <c r="L191" i="15"/>
  <c r="L202" i="15"/>
  <c r="L203" i="15"/>
  <c r="L207" i="15"/>
  <c r="L215" i="15"/>
  <c r="L217" i="15"/>
  <c r="L232" i="15"/>
  <c r="L235" i="15"/>
  <c r="L246" i="15"/>
  <c r="L247" i="15"/>
  <c r="L249" i="15"/>
  <c r="L259" i="15"/>
  <c r="L260" i="15"/>
  <c r="L261" i="15"/>
  <c r="L263" i="15"/>
  <c r="L274" i="15"/>
  <c r="L275" i="15"/>
  <c r="L278" i="15"/>
  <c r="L287" i="15"/>
  <c r="L289" i="15"/>
  <c r="L291" i="15"/>
  <c r="L299" i="15"/>
  <c r="L301" i="15"/>
  <c r="L302" i="15"/>
  <c r="L304" i="15"/>
  <c r="L328" i="15"/>
  <c r="L330" i="15"/>
  <c r="L340" i="15"/>
  <c r="L343" i="15"/>
  <c r="L352" i="15"/>
  <c r="L354" i="15"/>
  <c r="L356" i="15"/>
  <c r="L366" i="15"/>
  <c r="L367" i="15"/>
  <c r="L369" i="15"/>
  <c r="L378" i="15"/>
  <c r="L379" i="15"/>
  <c r="L380" i="15"/>
  <c r="L382" i="15"/>
  <c r="L391" i="15"/>
  <c r="L392" i="15"/>
  <c r="L393" i="15"/>
  <c r="L395" i="15"/>
  <c r="L404" i="15"/>
  <c r="L405" i="15"/>
  <c r="L406" i="15"/>
  <c r="L409" i="15"/>
  <c r="L418" i="15"/>
  <c r="L419" i="15"/>
  <c r="L422" i="15"/>
  <c r="L431" i="15"/>
  <c r="L433" i="15"/>
  <c r="L435" i="15"/>
  <c r="L443" i="15"/>
  <c r="L445" i="15"/>
  <c r="L446" i="15"/>
  <c r="L448" i="15"/>
  <c r="L472" i="15"/>
  <c r="L474" i="15"/>
  <c r="L484" i="15"/>
  <c r="L487" i="15"/>
  <c r="L496" i="15"/>
  <c r="L498" i="15"/>
  <c r="L500" i="15"/>
  <c r="L11" i="15"/>
  <c r="L12" i="15"/>
  <c r="L14" i="15"/>
  <c r="L23" i="15"/>
  <c r="L24" i="15"/>
  <c r="L25" i="15"/>
  <c r="L27" i="15"/>
  <c r="L37" i="15"/>
  <c r="L38" i="15"/>
  <c r="L40" i="15"/>
  <c r="L54" i="15"/>
  <c r="L64" i="15"/>
  <c r="L67" i="15"/>
  <c r="L76" i="15"/>
  <c r="L78" i="15"/>
  <c r="L80" i="15"/>
  <c r="K6" i="15"/>
  <c r="K9" i="15"/>
  <c r="K18" i="15"/>
  <c r="K20" i="15"/>
  <c r="K22" i="15"/>
  <c r="K32" i="15"/>
  <c r="K33" i="15"/>
  <c r="K35" i="15"/>
  <c r="K44" i="15"/>
  <c r="K45" i="15"/>
  <c r="K46" i="15"/>
  <c r="K48" i="15"/>
  <c r="K58" i="15"/>
  <c r="K59" i="15"/>
  <c r="K61" i="15"/>
  <c r="K71" i="15"/>
  <c r="K72" i="15"/>
  <c r="K74" i="15"/>
  <c r="K83" i="15"/>
  <c r="K84" i="15"/>
  <c r="K85" i="15"/>
  <c r="K87" i="15"/>
  <c r="K97" i="15"/>
  <c r="K98" i="15"/>
  <c r="K100" i="15"/>
  <c r="K114" i="15"/>
  <c r="K124" i="15"/>
  <c r="K138" i="15"/>
  <c r="K140" i="15"/>
  <c r="K150" i="15"/>
  <c r="K153" i="15"/>
  <c r="K162" i="15"/>
  <c r="K164" i="15"/>
  <c r="K166" i="15"/>
  <c r="K176" i="15"/>
  <c r="K177" i="15"/>
  <c r="K179" i="15"/>
  <c r="K188" i="15"/>
  <c r="K189" i="15"/>
  <c r="K190" i="15"/>
  <c r="K192" i="15"/>
  <c r="K202" i="15"/>
  <c r="K203" i="15"/>
  <c r="K205" i="15"/>
  <c r="K215" i="15"/>
  <c r="K216" i="15"/>
  <c r="K218" i="15"/>
  <c r="K227" i="15"/>
  <c r="K228" i="15"/>
  <c r="K229" i="15"/>
  <c r="K231" i="15"/>
  <c r="K241" i="15"/>
  <c r="K242" i="15"/>
  <c r="K244" i="15"/>
  <c r="K258" i="15"/>
  <c r="K268" i="15"/>
  <c r="K282" i="15"/>
  <c r="K284" i="15"/>
  <c r="K294" i="15"/>
  <c r="K297" i="15"/>
  <c r="K306" i="15"/>
  <c r="K308" i="15"/>
  <c r="K310" i="15"/>
  <c r="K320" i="15"/>
  <c r="K321" i="15"/>
  <c r="K323" i="15"/>
  <c r="K332" i="15"/>
  <c r="K333" i="15"/>
  <c r="K334" i="15"/>
  <c r="K336" i="15"/>
  <c r="K346" i="15"/>
  <c r="K347" i="15"/>
  <c r="K349" i="15"/>
  <c r="K359" i="15"/>
  <c r="K360" i="15"/>
  <c r="K362" i="15"/>
  <c r="K371" i="15"/>
  <c r="K372" i="15"/>
  <c r="K373" i="15"/>
  <c r="K375" i="15"/>
  <c r="K385" i="15"/>
  <c r="K386" i="15"/>
  <c r="K388" i="15"/>
  <c r="K402" i="15"/>
  <c r="K412" i="15"/>
  <c r="K426" i="15"/>
  <c r="K428" i="15"/>
  <c r="K438" i="15"/>
  <c r="K441" i="15"/>
  <c r="K450" i="15"/>
  <c r="K452" i="15"/>
  <c r="K454" i="15"/>
  <c r="K464" i="15"/>
  <c r="K465" i="15"/>
  <c r="K467" i="15"/>
  <c r="K476" i="15"/>
  <c r="K477" i="15"/>
  <c r="K478" i="15"/>
  <c r="K480" i="15"/>
  <c r="K490" i="15"/>
  <c r="K491" i="15"/>
  <c r="K493" i="15"/>
  <c r="J3" i="15"/>
  <c r="Q3" i="15" s="1"/>
  <c r="J4" i="15"/>
  <c r="Q4" i="15" s="1"/>
  <c r="J5" i="15"/>
  <c r="Q5" i="15" s="1"/>
  <c r="J6" i="15"/>
  <c r="Q6" i="15" s="1"/>
  <c r="J7" i="15"/>
  <c r="Q7" i="15" s="1"/>
  <c r="J8" i="15"/>
  <c r="Q8" i="15" s="1"/>
  <c r="J9" i="15"/>
  <c r="Q9" i="15" s="1"/>
  <c r="J10" i="15"/>
  <c r="Q10" i="15" s="1"/>
  <c r="J11" i="15"/>
  <c r="Q11" i="15" s="1"/>
  <c r="J12" i="15"/>
  <c r="Q12" i="15" s="1"/>
  <c r="J13" i="15"/>
  <c r="Q13" i="15" s="1"/>
  <c r="J14" i="15"/>
  <c r="Q14" i="15" s="1"/>
  <c r="J15" i="15"/>
  <c r="Q15" i="15" s="1"/>
  <c r="J16" i="15"/>
  <c r="Q16" i="15" s="1"/>
  <c r="J17" i="15"/>
  <c r="Q17" i="15" s="1"/>
  <c r="J18" i="15"/>
  <c r="Q18" i="15" s="1"/>
  <c r="J19" i="15"/>
  <c r="Q19" i="15" s="1"/>
  <c r="J20" i="15"/>
  <c r="Q20" i="15" s="1"/>
  <c r="J21" i="15"/>
  <c r="Q21" i="15" s="1"/>
  <c r="J22" i="15"/>
  <c r="Q22" i="15" s="1"/>
  <c r="J23" i="15"/>
  <c r="Q23" i="15" s="1"/>
  <c r="J24" i="15"/>
  <c r="Q24" i="15" s="1"/>
  <c r="J25" i="15"/>
  <c r="Q25" i="15" s="1"/>
  <c r="J26" i="15"/>
  <c r="Q26" i="15" s="1"/>
  <c r="J27" i="15"/>
  <c r="Q27" i="15" s="1"/>
  <c r="J28" i="15"/>
  <c r="Q28" i="15" s="1"/>
  <c r="J29" i="15"/>
  <c r="Q29" i="15" s="1"/>
  <c r="J30" i="15"/>
  <c r="Q30" i="15" s="1"/>
  <c r="J31" i="15"/>
  <c r="Q31" i="15" s="1"/>
  <c r="J32" i="15"/>
  <c r="Q32" i="15" s="1"/>
  <c r="J33" i="15"/>
  <c r="Q33" i="15" s="1"/>
  <c r="J34" i="15"/>
  <c r="Q34" i="15" s="1"/>
  <c r="J35" i="15"/>
  <c r="Q35" i="15" s="1"/>
  <c r="J36" i="15"/>
  <c r="Q36" i="15" s="1"/>
  <c r="J37" i="15"/>
  <c r="Q37" i="15" s="1"/>
  <c r="J38" i="15"/>
  <c r="Q38" i="15" s="1"/>
  <c r="J39" i="15"/>
  <c r="Q39" i="15" s="1"/>
  <c r="J40" i="15"/>
  <c r="Q40" i="15" s="1"/>
  <c r="J41" i="15"/>
  <c r="Q41" i="15" s="1"/>
  <c r="J42" i="15"/>
  <c r="Q42" i="15" s="1"/>
  <c r="J43" i="15"/>
  <c r="Q43" i="15" s="1"/>
  <c r="J44" i="15"/>
  <c r="Q44" i="15" s="1"/>
  <c r="J45" i="15"/>
  <c r="Q45" i="15" s="1"/>
  <c r="J46" i="15"/>
  <c r="Q46" i="15" s="1"/>
  <c r="J47" i="15"/>
  <c r="Q47" i="15" s="1"/>
  <c r="J48" i="15"/>
  <c r="Q48" i="15" s="1"/>
  <c r="J49" i="15"/>
  <c r="Q49" i="15" s="1"/>
  <c r="J50" i="15"/>
  <c r="Q50" i="15" s="1"/>
  <c r="J51" i="15"/>
  <c r="Q51" i="15" s="1"/>
  <c r="J52" i="15"/>
  <c r="Q52" i="15" s="1"/>
  <c r="J53" i="15"/>
  <c r="Q53" i="15" s="1"/>
  <c r="J54" i="15"/>
  <c r="Q54" i="15" s="1"/>
  <c r="J55" i="15"/>
  <c r="Q55" i="15" s="1"/>
  <c r="J56" i="15"/>
  <c r="Q56" i="15" s="1"/>
  <c r="J57" i="15"/>
  <c r="Q57" i="15" s="1"/>
  <c r="J58" i="15"/>
  <c r="Q58" i="15" s="1"/>
  <c r="J59" i="15"/>
  <c r="Q59" i="15" s="1"/>
  <c r="J60" i="15"/>
  <c r="Q60" i="15" s="1"/>
  <c r="J61" i="15"/>
  <c r="Q61" i="15" s="1"/>
  <c r="J62" i="15"/>
  <c r="Q62" i="15" s="1"/>
  <c r="J63" i="15"/>
  <c r="Q63" i="15" s="1"/>
  <c r="J64" i="15"/>
  <c r="Q64" i="15" s="1"/>
  <c r="J65" i="15"/>
  <c r="Q65" i="15" s="1"/>
  <c r="J66" i="15"/>
  <c r="Q66" i="15" s="1"/>
  <c r="J67" i="15"/>
  <c r="Q67" i="15" s="1"/>
  <c r="J68" i="15"/>
  <c r="Q68" i="15" s="1"/>
  <c r="J69" i="15"/>
  <c r="Q69" i="15" s="1"/>
  <c r="J70" i="15"/>
  <c r="Q70" i="15" s="1"/>
  <c r="J71" i="15"/>
  <c r="Q71" i="15" s="1"/>
  <c r="J72" i="15"/>
  <c r="Q72" i="15" s="1"/>
  <c r="J73" i="15"/>
  <c r="Q73" i="15" s="1"/>
  <c r="J74" i="15"/>
  <c r="Q74" i="15" s="1"/>
  <c r="J75" i="15"/>
  <c r="Q75" i="15" s="1"/>
  <c r="J76" i="15"/>
  <c r="Q76" i="15" s="1"/>
  <c r="J77" i="15"/>
  <c r="Q77" i="15" s="1"/>
  <c r="J78" i="15"/>
  <c r="Q78" i="15" s="1"/>
  <c r="J79" i="15"/>
  <c r="Q79" i="15" s="1"/>
  <c r="J80" i="15"/>
  <c r="Q80" i="15" s="1"/>
  <c r="J81" i="15"/>
  <c r="Q81" i="15" s="1"/>
  <c r="J82" i="15"/>
  <c r="Q82" i="15" s="1"/>
  <c r="J83" i="15"/>
  <c r="Q83" i="15" s="1"/>
  <c r="J84" i="15"/>
  <c r="Q84" i="15" s="1"/>
  <c r="J85" i="15"/>
  <c r="Q85" i="15" s="1"/>
  <c r="J86" i="15"/>
  <c r="Q86" i="15" s="1"/>
  <c r="J87" i="15"/>
  <c r="Q87" i="15" s="1"/>
  <c r="J88" i="15"/>
  <c r="Q88" i="15" s="1"/>
  <c r="J89" i="15"/>
  <c r="Q89" i="15" s="1"/>
  <c r="J90" i="15"/>
  <c r="Q90" i="15" s="1"/>
  <c r="J91" i="15"/>
  <c r="Q91" i="15" s="1"/>
  <c r="J92" i="15"/>
  <c r="Q92" i="15" s="1"/>
  <c r="J93" i="15"/>
  <c r="Q93" i="15" s="1"/>
  <c r="J94" i="15"/>
  <c r="Q94" i="15" s="1"/>
  <c r="J95" i="15"/>
  <c r="Q95" i="15" s="1"/>
  <c r="J96" i="15"/>
  <c r="Q96" i="15" s="1"/>
  <c r="J97" i="15"/>
  <c r="Q97" i="15" s="1"/>
  <c r="J98" i="15"/>
  <c r="Q98" i="15" s="1"/>
  <c r="J99" i="15"/>
  <c r="Q99" i="15" s="1"/>
  <c r="J100" i="15"/>
  <c r="Q100" i="15" s="1"/>
  <c r="J101" i="15"/>
  <c r="Q101" i="15" s="1"/>
  <c r="J102" i="15"/>
  <c r="Q102" i="15" s="1"/>
  <c r="J103" i="15"/>
  <c r="Q103" i="15" s="1"/>
  <c r="J104" i="15"/>
  <c r="Q104" i="15" s="1"/>
  <c r="J105" i="15"/>
  <c r="Q105" i="15" s="1"/>
  <c r="J106" i="15"/>
  <c r="Q106" i="15" s="1"/>
  <c r="J107" i="15"/>
  <c r="Q107" i="15" s="1"/>
  <c r="J108" i="15"/>
  <c r="Q108" i="15" s="1"/>
  <c r="J109" i="15"/>
  <c r="Q109" i="15" s="1"/>
  <c r="J110" i="15"/>
  <c r="Q110" i="15" s="1"/>
  <c r="J111" i="15"/>
  <c r="Q111" i="15" s="1"/>
  <c r="J112" i="15"/>
  <c r="Q112" i="15" s="1"/>
  <c r="J113" i="15"/>
  <c r="Q113" i="15" s="1"/>
  <c r="J114" i="15"/>
  <c r="Q114" i="15" s="1"/>
  <c r="J115" i="15"/>
  <c r="Q115" i="15" s="1"/>
  <c r="J116" i="15"/>
  <c r="Q116" i="15" s="1"/>
  <c r="J117" i="15"/>
  <c r="Q117" i="15" s="1"/>
  <c r="J118" i="15"/>
  <c r="Q118" i="15" s="1"/>
  <c r="J119" i="15"/>
  <c r="Q119" i="15" s="1"/>
  <c r="J120" i="15"/>
  <c r="Q120" i="15" s="1"/>
  <c r="J121" i="15"/>
  <c r="Q121" i="15" s="1"/>
  <c r="J122" i="15"/>
  <c r="Q122" i="15" s="1"/>
  <c r="J123" i="15"/>
  <c r="Q123" i="15" s="1"/>
  <c r="J124" i="15"/>
  <c r="Q124" i="15" s="1"/>
  <c r="J125" i="15"/>
  <c r="Q125" i="15" s="1"/>
  <c r="J126" i="15"/>
  <c r="Q126" i="15" s="1"/>
  <c r="J127" i="15"/>
  <c r="Q127" i="15" s="1"/>
  <c r="J128" i="15"/>
  <c r="Q128" i="15" s="1"/>
  <c r="J129" i="15"/>
  <c r="Q129" i="15" s="1"/>
  <c r="J130" i="15"/>
  <c r="Q130" i="15" s="1"/>
  <c r="J131" i="15"/>
  <c r="Q131" i="15" s="1"/>
  <c r="J132" i="15"/>
  <c r="Q132" i="15" s="1"/>
  <c r="J133" i="15"/>
  <c r="Q133" i="15" s="1"/>
  <c r="J134" i="15"/>
  <c r="Q134" i="15" s="1"/>
  <c r="J135" i="15"/>
  <c r="Q135" i="15" s="1"/>
  <c r="J136" i="15"/>
  <c r="Q136" i="15" s="1"/>
  <c r="J137" i="15"/>
  <c r="Q137" i="15" s="1"/>
  <c r="J138" i="15"/>
  <c r="Q138" i="15" s="1"/>
  <c r="J139" i="15"/>
  <c r="Q139" i="15" s="1"/>
  <c r="J140" i="15"/>
  <c r="Q140" i="15" s="1"/>
  <c r="J141" i="15"/>
  <c r="Q141" i="15" s="1"/>
  <c r="J142" i="15"/>
  <c r="Q142" i="15" s="1"/>
  <c r="J143" i="15"/>
  <c r="Q143" i="15" s="1"/>
  <c r="J144" i="15"/>
  <c r="Q144" i="15" s="1"/>
  <c r="J145" i="15"/>
  <c r="Q145" i="15" s="1"/>
  <c r="J146" i="15"/>
  <c r="Q146" i="15" s="1"/>
  <c r="J147" i="15"/>
  <c r="Q147" i="15" s="1"/>
  <c r="J148" i="15"/>
  <c r="Q148" i="15" s="1"/>
  <c r="J149" i="15"/>
  <c r="Q149" i="15" s="1"/>
  <c r="J150" i="15"/>
  <c r="Q150" i="15" s="1"/>
  <c r="J151" i="15"/>
  <c r="Q151" i="15" s="1"/>
  <c r="J152" i="15"/>
  <c r="Q152" i="15" s="1"/>
  <c r="J153" i="15"/>
  <c r="Q153" i="15" s="1"/>
  <c r="J154" i="15"/>
  <c r="Q154" i="15" s="1"/>
  <c r="J155" i="15"/>
  <c r="Q155" i="15" s="1"/>
  <c r="J156" i="15"/>
  <c r="Q156" i="15" s="1"/>
  <c r="J157" i="15"/>
  <c r="Q157" i="15" s="1"/>
  <c r="J158" i="15"/>
  <c r="Q158" i="15" s="1"/>
  <c r="J159" i="15"/>
  <c r="Q159" i="15" s="1"/>
  <c r="J160" i="15"/>
  <c r="Q160" i="15" s="1"/>
  <c r="J161" i="15"/>
  <c r="Q161" i="15" s="1"/>
  <c r="J162" i="15"/>
  <c r="Q162" i="15" s="1"/>
  <c r="J163" i="15"/>
  <c r="Q163" i="15" s="1"/>
  <c r="J164" i="15"/>
  <c r="Q164" i="15" s="1"/>
  <c r="J165" i="15"/>
  <c r="Q165" i="15" s="1"/>
  <c r="J166" i="15"/>
  <c r="Q166" i="15" s="1"/>
  <c r="J167" i="15"/>
  <c r="Q167" i="15" s="1"/>
  <c r="J168" i="15"/>
  <c r="Q168" i="15" s="1"/>
  <c r="J169" i="15"/>
  <c r="Q169" i="15" s="1"/>
  <c r="J170" i="15"/>
  <c r="Q170" i="15" s="1"/>
  <c r="J171" i="15"/>
  <c r="Q171" i="15" s="1"/>
  <c r="J172" i="15"/>
  <c r="Q172" i="15" s="1"/>
  <c r="J173" i="15"/>
  <c r="Q173" i="15" s="1"/>
  <c r="J174" i="15"/>
  <c r="Q174" i="15" s="1"/>
  <c r="J175" i="15"/>
  <c r="Q175" i="15" s="1"/>
  <c r="J176" i="15"/>
  <c r="Q176" i="15" s="1"/>
  <c r="J177" i="15"/>
  <c r="Q177" i="15" s="1"/>
  <c r="J178" i="15"/>
  <c r="Q178" i="15" s="1"/>
  <c r="J179" i="15"/>
  <c r="Q179" i="15" s="1"/>
  <c r="J180" i="15"/>
  <c r="Q180" i="15" s="1"/>
  <c r="J181" i="15"/>
  <c r="Q181" i="15" s="1"/>
  <c r="J182" i="15"/>
  <c r="Q182" i="15" s="1"/>
  <c r="J183" i="15"/>
  <c r="Q183" i="15" s="1"/>
  <c r="J184" i="15"/>
  <c r="Q184" i="15" s="1"/>
  <c r="J185" i="15"/>
  <c r="Q185" i="15" s="1"/>
  <c r="J186" i="15"/>
  <c r="Q186" i="15" s="1"/>
  <c r="J187" i="15"/>
  <c r="Q187" i="15" s="1"/>
  <c r="J188" i="15"/>
  <c r="Q188" i="15" s="1"/>
  <c r="J189" i="15"/>
  <c r="Q189" i="15" s="1"/>
  <c r="J190" i="15"/>
  <c r="Q190" i="15" s="1"/>
  <c r="J191" i="15"/>
  <c r="Q191" i="15" s="1"/>
  <c r="J192" i="15"/>
  <c r="Q192" i="15" s="1"/>
  <c r="J193" i="15"/>
  <c r="Q193" i="15" s="1"/>
  <c r="J194" i="15"/>
  <c r="Q194" i="15" s="1"/>
  <c r="J195" i="15"/>
  <c r="Q195" i="15" s="1"/>
  <c r="J196" i="15"/>
  <c r="Q196" i="15" s="1"/>
  <c r="J197" i="15"/>
  <c r="Q197" i="15" s="1"/>
  <c r="J198" i="15"/>
  <c r="Q198" i="15" s="1"/>
  <c r="J199" i="15"/>
  <c r="Q199" i="15" s="1"/>
  <c r="J200" i="15"/>
  <c r="Q200" i="15" s="1"/>
  <c r="J201" i="15"/>
  <c r="Q201" i="15" s="1"/>
  <c r="J202" i="15"/>
  <c r="Q202" i="15" s="1"/>
  <c r="J203" i="15"/>
  <c r="Q203" i="15" s="1"/>
  <c r="J204" i="15"/>
  <c r="Q204" i="15" s="1"/>
  <c r="J205" i="15"/>
  <c r="Q205" i="15" s="1"/>
  <c r="J206" i="15"/>
  <c r="Q206" i="15" s="1"/>
  <c r="J207" i="15"/>
  <c r="Q207" i="15" s="1"/>
  <c r="J208" i="15"/>
  <c r="Q208" i="15" s="1"/>
  <c r="J209" i="15"/>
  <c r="Q209" i="15" s="1"/>
  <c r="J210" i="15"/>
  <c r="Q210" i="15" s="1"/>
  <c r="J211" i="15"/>
  <c r="Q211" i="15" s="1"/>
  <c r="J212" i="15"/>
  <c r="Q212" i="15" s="1"/>
  <c r="J213" i="15"/>
  <c r="Q213" i="15" s="1"/>
  <c r="J214" i="15"/>
  <c r="Q214" i="15" s="1"/>
  <c r="J215" i="15"/>
  <c r="Q215" i="15" s="1"/>
  <c r="J216" i="15"/>
  <c r="Q216" i="15" s="1"/>
  <c r="J217" i="15"/>
  <c r="Q217" i="15" s="1"/>
  <c r="J218" i="15"/>
  <c r="Q218" i="15" s="1"/>
  <c r="J219" i="15"/>
  <c r="Q219" i="15" s="1"/>
  <c r="J220" i="15"/>
  <c r="Q220" i="15" s="1"/>
  <c r="J221" i="15"/>
  <c r="Q221" i="15" s="1"/>
  <c r="J222" i="15"/>
  <c r="Q222" i="15" s="1"/>
  <c r="J223" i="15"/>
  <c r="Q223" i="15" s="1"/>
  <c r="J224" i="15"/>
  <c r="Q224" i="15" s="1"/>
  <c r="J225" i="15"/>
  <c r="Q225" i="15" s="1"/>
  <c r="J226" i="15"/>
  <c r="Q226" i="15" s="1"/>
  <c r="J227" i="15"/>
  <c r="Q227" i="15" s="1"/>
  <c r="J228" i="15"/>
  <c r="Q228" i="15" s="1"/>
  <c r="J229" i="15"/>
  <c r="Q229" i="15" s="1"/>
  <c r="J230" i="15"/>
  <c r="Q230" i="15" s="1"/>
  <c r="J231" i="15"/>
  <c r="Q231" i="15" s="1"/>
  <c r="J232" i="15"/>
  <c r="Q232" i="15" s="1"/>
  <c r="J233" i="15"/>
  <c r="Q233" i="15" s="1"/>
  <c r="J234" i="15"/>
  <c r="Q234" i="15" s="1"/>
  <c r="J235" i="15"/>
  <c r="Q235" i="15" s="1"/>
  <c r="J236" i="15"/>
  <c r="Q236" i="15" s="1"/>
  <c r="J237" i="15"/>
  <c r="Q237" i="15" s="1"/>
  <c r="J238" i="15"/>
  <c r="Q238" i="15" s="1"/>
  <c r="J239" i="15"/>
  <c r="Q239" i="15" s="1"/>
  <c r="J240" i="15"/>
  <c r="Q240" i="15" s="1"/>
  <c r="J241" i="15"/>
  <c r="Q241" i="15" s="1"/>
  <c r="J242" i="15"/>
  <c r="Q242" i="15" s="1"/>
  <c r="J243" i="15"/>
  <c r="Q243" i="15" s="1"/>
  <c r="J244" i="15"/>
  <c r="Q244" i="15" s="1"/>
  <c r="J245" i="15"/>
  <c r="Q245" i="15" s="1"/>
  <c r="J246" i="15"/>
  <c r="Q246" i="15" s="1"/>
  <c r="J247" i="15"/>
  <c r="Q247" i="15" s="1"/>
  <c r="J248" i="15"/>
  <c r="Q248" i="15" s="1"/>
  <c r="J249" i="15"/>
  <c r="Q249" i="15" s="1"/>
  <c r="J250" i="15"/>
  <c r="Q250" i="15" s="1"/>
  <c r="J251" i="15"/>
  <c r="J252" i="15"/>
  <c r="Q252" i="15" s="1"/>
  <c r="J253" i="15"/>
  <c r="Q253" i="15" s="1"/>
  <c r="J254" i="15"/>
  <c r="Q254" i="15" s="1"/>
  <c r="J255" i="15"/>
  <c r="Q255" i="15" s="1"/>
  <c r="J256" i="15"/>
  <c r="Q256" i="15" s="1"/>
  <c r="J257" i="15"/>
  <c r="Q257" i="15" s="1"/>
  <c r="J258" i="15"/>
  <c r="Q258" i="15" s="1"/>
  <c r="J259" i="15"/>
  <c r="Q259" i="15" s="1"/>
  <c r="J260" i="15"/>
  <c r="Q260" i="15" s="1"/>
  <c r="J261" i="15"/>
  <c r="Q261" i="15" s="1"/>
  <c r="J262" i="15"/>
  <c r="Q262" i="15" s="1"/>
  <c r="J263" i="15"/>
  <c r="J264" i="15"/>
  <c r="Q264" i="15" s="1"/>
  <c r="J265" i="15"/>
  <c r="Q265" i="15" s="1"/>
  <c r="J266" i="15"/>
  <c r="Q266" i="15" s="1"/>
  <c r="J267" i="15"/>
  <c r="Q267" i="15" s="1"/>
  <c r="J268" i="15"/>
  <c r="Q268" i="15" s="1"/>
  <c r="J269" i="15"/>
  <c r="Q269" i="15" s="1"/>
  <c r="J270" i="15"/>
  <c r="Q270" i="15" s="1"/>
  <c r="J271" i="15"/>
  <c r="Q271" i="15" s="1"/>
  <c r="J272" i="15"/>
  <c r="Q272" i="15" s="1"/>
  <c r="J273" i="15"/>
  <c r="Q273" i="15" s="1"/>
  <c r="J274" i="15"/>
  <c r="Q274" i="15" s="1"/>
  <c r="J275" i="15"/>
  <c r="Q275" i="15" s="1"/>
  <c r="J276" i="15"/>
  <c r="Q276" i="15" s="1"/>
  <c r="J277" i="15"/>
  <c r="Q277" i="15" s="1"/>
  <c r="J278" i="15"/>
  <c r="Q278" i="15" s="1"/>
  <c r="J279" i="15"/>
  <c r="Q279" i="15" s="1"/>
  <c r="J280" i="15"/>
  <c r="Q280" i="15" s="1"/>
  <c r="J281" i="15"/>
  <c r="Q281" i="15" s="1"/>
  <c r="J282" i="15"/>
  <c r="Q282" i="15" s="1"/>
  <c r="J283" i="15"/>
  <c r="Q283" i="15" s="1"/>
  <c r="J284" i="15"/>
  <c r="Q284" i="15" s="1"/>
  <c r="J285" i="15"/>
  <c r="Q285" i="15" s="1"/>
  <c r="J286" i="15"/>
  <c r="Q286" i="15" s="1"/>
  <c r="J287" i="15"/>
  <c r="Q287" i="15" s="1"/>
  <c r="J288" i="15"/>
  <c r="Q288" i="15" s="1"/>
  <c r="J289" i="15"/>
  <c r="Q289" i="15" s="1"/>
  <c r="J290" i="15"/>
  <c r="Q290" i="15" s="1"/>
  <c r="J291" i="15"/>
  <c r="Q291" i="15" s="1"/>
  <c r="J292" i="15"/>
  <c r="Q292" i="15" s="1"/>
  <c r="J293" i="15"/>
  <c r="Q293" i="15" s="1"/>
  <c r="J294" i="15"/>
  <c r="Q294" i="15" s="1"/>
  <c r="J295" i="15"/>
  <c r="Q295" i="15" s="1"/>
  <c r="J296" i="15"/>
  <c r="Q296" i="15" s="1"/>
  <c r="J297" i="15"/>
  <c r="Q297" i="15" s="1"/>
  <c r="J298" i="15"/>
  <c r="Q298" i="15" s="1"/>
  <c r="J299" i="15"/>
  <c r="Q299" i="15" s="1"/>
  <c r="J300" i="15"/>
  <c r="Q300" i="15" s="1"/>
  <c r="J301" i="15"/>
  <c r="Q301" i="15" s="1"/>
  <c r="J302" i="15"/>
  <c r="Q302" i="15" s="1"/>
  <c r="J303" i="15"/>
  <c r="Q303" i="15" s="1"/>
  <c r="J304" i="15"/>
  <c r="Q304" i="15" s="1"/>
  <c r="J305" i="15"/>
  <c r="Q305" i="15" s="1"/>
  <c r="J306" i="15"/>
  <c r="Q306" i="15" s="1"/>
  <c r="J307" i="15"/>
  <c r="Q307" i="15" s="1"/>
  <c r="J308" i="15"/>
  <c r="Q308" i="15" s="1"/>
  <c r="J309" i="15"/>
  <c r="Q309" i="15" s="1"/>
  <c r="J310" i="15"/>
  <c r="Q310" i="15" s="1"/>
  <c r="J311" i="15"/>
  <c r="Q311" i="15" s="1"/>
  <c r="J312" i="15"/>
  <c r="Q312" i="15" s="1"/>
  <c r="J313" i="15"/>
  <c r="Q313" i="15" s="1"/>
  <c r="J314" i="15"/>
  <c r="Q314" i="15" s="1"/>
  <c r="J315" i="15"/>
  <c r="Q315" i="15" s="1"/>
  <c r="J316" i="15"/>
  <c r="Q316" i="15" s="1"/>
  <c r="J317" i="15"/>
  <c r="Q317" i="15" s="1"/>
  <c r="J318" i="15"/>
  <c r="Q318" i="15" s="1"/>
  <c r="J319" i="15"/>
  <c r="Q319" i="15" s="1"/>
  <c r="J320" i="15"/>
  <c r="Q320" i="15" s="1"/>
  <c r="J321" i="15"/>
  <c r="Q321" i="15" s="1"/>
  <c r="J322" i="15"/>
  <c r="Q322" i="15" s="1"/>
  <c r="J323" i="15"/>
  <c r="Q323" i="15" s="1"/>
  <c r="J324" i="15"/>
  <c r="Q324" i="15" s="1"/>
  <c r="J325" i="15"/>
  <c r="Q325" i="15" s="1"/>
  <c r="J326" i="15"/>
  <c r="Q326" i="15" s="1"/>
  <c r="J327" i="15"/>
  <c r="Q327" i="15" s="1"/>
  <c r="J328" i="15"/>
  <c r="Q328" i="15" s="1"/>
  <c r="J329" i="15"/>
  <c r="Q329" i="15" s="1"/>
  <c r="J330" i="15"/>
  <c r="Q330" i="15" s="1"/>
  <c r="J331" i="15"/>
  <c r="Q331" i="15" s="1"/>
  <c r="J332" i="15"/>
  <c r="Q332" i="15" s="1"/>
  <c r="J333" i="15"/>
  <c r="Q333" i="15" s="1"/>
  <c r="J334" i="15"/>
  <c r="Q334" i="15" s="1"/>
  <c r="J335" i="15"/>
  <c r="Q335" i="15" s="1"/>
  <c r="J336" i="15"/>
  <c r="Q336" i="15" s="1"/>
  <c r="J337" i="15"/>
  <c r="Q337" i="15" s="1"/>
  <c r="J338" i="15"/>
  <c r="Q338" i="15" s="1"/>
  <c r="J339" i="15"/>
  <c r="Q339" i="15" s="1"/>
  <c r="J340" i="15"/>
  <c r="Q340" i="15" s="1"/>
  <c r="J341" i="15"/>
  <c r="Q341" i="15" s="1"/>
  <c r="J342" i="15"/>
  <c r="Q342" i="15" s="1"/>
  <c r="J343" i="15"/>
  <c r="Q343" i="15" s="1"/>
  <c r="J344" i="15"/>
  <c r="Q344" i="15" s="1"/>
  <c r="J345" i="15"/>
  <c r="Q345" i="15" s="1"/>
  <c r="J346" i="15"/>
  <c r="Q346" i="15" s="1"/>
  <c r="J347" i="15"/>
  <c r="Q347" i="15" s="1"/>
  <c r="J348" i="15"/>
  <c r="Q348" i="15" s="1"/>
  <c r="J349" i="15"/>
  <c r="Q349" i="15" s="1"/>
  <c r="J350" i="15"/>
  <c r="Q350" i="15" s="1"/>
  <c r="J351" i="15"/>
  <c r="Q351" i="15" s="1"/>
  <c r="J352" i="15"/>
  <c r="Q352" i="15" s="1"/>
  <c r="J353" i="15"/>
  <c r="Q353" i="15" s="1"/>
  <c r="J354" i="15"/>
  <c r="Q354" i="15" s="1"/>
  <c r="J355" i="15"/>
  <c r="Q355" i="15" s="1"/>
  <c r="J356" i="15"/>
  <c r="Q356" i="15" s="1"/>
  <c r="J357" i="15"/>
  <c r="Q357" i="15" s="1"/>
  <c r="J358" i="15"/>
  <c r="Q358" i="15" s="1"/>
  <c r="J359" i="15"/>
  <c r="Q359" i="15" s="1"/>
  <c r="J360" i="15"/>
  <c r="Q360" i="15" s="1"/>
  <c r="J361" i="15"/>
  <c r="Q361" i="15" s="1"/>
  <c r="J362" i="15"/>
  <c r="Q362" i="15" s="1"/>
  <c r="J363" i="15"/>
  <c r="Q363" i="15" s="1"/>
  <c r="J364" i="15"/>
  <c r="Q364" i="15" s="1"/>
  <c r="J365" i="15"/>
  <c r="Q365" i="15" s="1"/>
  <c r="J366" i="15"/>
  <c r="Q366" i="15" s="1"/>
  <c r="J367" i="15"/>
  <c r="Q367" i="15" s="1"/>
  <c r="J368" i="15"/>
  <c r="Q368" i="15" s="1"/>
  <c r="J369" i="15"/>
  <c r="Q369" i="15" s="1"/>
  <c r="J370" i="15"/>
  <c r="Q370" i="15" s="1"/>
  <c r="J371" i="15"/>
  <c r="J372" i="15"/>
  <c r="Q372" i="15" s="1"/>
  <c r="J373" i="15"/>
  <c r="Q373" i="15" s="1"/>
  <c r="J374" i="15"/>
  <c r="Q374" i="15" s="1"/>
  <c r="J375" i="15"/>
  <c r="Q375" i="15" s="1"/>
  <c r="J376" i="15"/>
  <c r="Q376" i="15" s="1"/>
  <c r="J377" i="15"/>
  <c r="Q377" i="15" s="1"/>
  <c r="J378" i="15"/>
  <c r="Q378" i="15" s="1"/>
  <c r="J379" i="15"/>
  <c r="Q379" i="15" s="1"/>
  <c r="J380" i="15"/>
  <c r="Q380" i="15" s="1"/>
  <c r="J381" i="15"/>
  <c r="Q381" i="15" s="1"/>
  <c r="J382" i="15"/>
  <c r="Q382" i="15" s="1"/>
  <c r="J383" i="15"/>
  <c r="Q383" i="15" s="1"/>
  <c r="J384" i="15"/>
  <c r="Q384" i="15" s="1"/>
  <c r="J385" i="15"/>
  <c r="Q385" i="15" s="1"/>
  <c r="J386" i="15"/>
  <c r="Q386" i="15" s="1"/>
  <c r="J387" i="15"/>
  <c r="Q387" i="15" s="1"/>
  <c r="J388" i="15"/>
  <c r="Q388" i="15" s="1"/>
  <c r="J389" i="15"/>
  <c r="Q389" i="15" s="1"/>
  <c r="J390" i="15"/>
  <c r="Q390" i="15" s="1"/>
  <c r="J391" i="15"/>
  <c r="Q391" i="15" s="1"/>
  <c r="J392" i="15"/>
  <c r="Q392" i="15" s="1"/>
  <c r="J393" i="15"/>
  <c r="Q393" i="15" s="1"/>
  <c r="J394" i="15"/>
  <c r="Q394" i="15" s="1"/>
  <c r="J395" i="15"/>
  <c r="Q395" i="15" s="1"/>
  <c r="J396" i="15"/>
  <c r="Q396" i="15" s="1"/>
  <c r="J397" i="15"/>
  <c r="Q397" i="15" s="1"/>
  <c r="J398" i="15"/>
  <c r="Q398" i="15" s="1"/>
  <c r="J399" i="15"/>
  <c r="Q399" i="15" s="1"/>
  <c r="J400" i="15"/>
  <c r="Q400" i="15" s="1"/>
  <c r="J401" i="15"/>
  <c r="Q401" i="15" s="1"/>
  <c r="J402" i="15"/>
  <c r="Q402" i="15" s="1"/>
  <c r="J403" i="15"/>
  <c r="Q403" i="15" s="1"/>
  <c r="J404" i="15"/>
  <c r="Q404" i="15" s="1"/>
  <c r="J405" i="15"/>
  <c r="Q405" i="15" s="1"/>
  <c r="J406" i="15"/>
  <c r="Q406" i="15" s="1"/>
  <c r="J407" i="15"/>
  <c r="Q407" i="15" s="1"/>
  <c r="J408" i="15"/>
  <c r="Q408" i="15" s="1"/>
  <c r="J409" i="15"/>
  <c r="Q409" i="15" s="1"/>
  <c r="J410" i="15"/>
  <c r="Q410" i="15" s="1"/>
  <c r="J411" i="15"/>
  <c r="Q411" i="15" s="1"/>
  <c r="J412" i="15"/>
  <c r="Q412" i="15" s="1"/>
  <c r="J413" i="15"/>
  <c r="Q413" i="15" s="1"/>
  <c r="J414" i="15"/>
  <c r="Q414" i="15" s="1"/>
  <c r="J415" i="15"/>
  <c r="Q415" i="15" s="1"/>
  <c r="J416" i="15"/>
  <c r="Q416" i="15" s="1"/>
  <c r="J417" i="15"/>
  <c r="Q417" i="15" s="1"/>
  <c r="J418" i="15"/>
  <c r="Q418" i="15" s="1"/>
  <c r="J419" i="15"/>
  <c r="Q419" i="15" s="1"/>
  <c r="J420" i="15"/>
  <c r="Q420" i="15" s="1"/>
  <c r="J421" i="15"/>
  <c r="Q421" i="15" s="1"/>
  <c r="J422" i="15"/>
  <c r="Q422" i="15" s="1"/>
  <c r="J423" i="15"/>
  <c r="Q423" i="15" s="1"/>
  <c r="J424" i="15"/>
  <c r="Q424" i="15" s="1"/>
  <c r="J425" i="15"/>
  <c r="Q425" i="15" s="1"/>
  <c r="J426" i="15"/>
  <c r="Q426" i="15" s="1"/>
  <c r="J427" i="15"/>
  <c r="Q427" i="15" s="1"/>
  <c r="J428" i="15"/>
  <c r="Q428" i="15" s="1"/>
  <c r="J429" i="15"/>
  <c r="Q429" i="15" s="1"/>
  <c r="J430" i="15"/>
  <c r="Q430" i="15" s="1"/>
  <c r="J431" i="15"/>
  <c r="Q431" i="15" s="1"/>
  <c r="J432" i="15"/>
  <c r="Q432" i="15" s="1"/>
  <c r="J433" i="15"/>
  <c r="Q433" i="15" s="1"/>
  <c r="J434" i="15"/>
  <c r="Q434" i="15" s="1"/>
  <c r="J435" i="15"/>
  <c r="Q435" i="15" s="1"/>
  <c r="J436" i="15"/>
  <c r="Q436" i="15" s="1"/>
  <c r="J437" i="15"/>
  <c r="Q437" i="15" s="1"/>
  <c r="J438" i="15"/>
  <c r="Q438" i="15" s="1"/>
  <c r="J439" i="15"/>
  <c r="Q439" i="15" s="1"/>
  <c r="J440" i="15"/>
  <c r="Q440" i="15" s="1"/>
  <c r="J441" i="15"/>
  <c r="Q441" i="15" s="1"/>
  <c r="J442" i="15"/>
  <c r="Q442" i="15" s="1"/>
  <c r="J443" i="15"/>
  <c r="Q443" i="15" s="1"/>
  <c r="J444" i="15"/>
  <c r="Q444" i="15" s="1"/>
  <c r="J445" i="15"/>
  <c r="Q445" i="15" s="1"/>
  <c r="J446" i="15"/>
  <c r="Q446" i="15" s="1"/>
  <c r="J447" i="15"/>
  <c r="Q447" i="15" s="1"/>
  <c r="J448" i="15"/>
  <c r="Q448" i="15" s="1"/>
  <c r="J449" i="15"/>
  <c r="Q449" i="15" s="1"/>
  <c r="J450" i="15"/>
  <c r="Q450" i="15" s="1"/>
  <c r="J451" i="15"/>
  <c r="Q451" i="15" s="1"/>
  <c r="J452" i="15"/>
  <c r="Q452" i="15" s="1"/>
  <c r="J453" i="15"/>
  <c r="Q453" i="15" s="1"/>
  <c r="J454" i="15"/>
  <c r="Q454" i="15" s="1"/>
  <c r="J455" i="15"/>
  <c r="Q455" i="15" s="1"/>
  <c r="J456" i="15"/>
  <c r="Q456" i="15" s="1"/>
  <c r="J457" i="15"/>
  <c r="Q457" i="15" s="1"/>
  <c r="J458" i="15"/>
  <c r="Q458" i="15" s="1"/>
  <c r="J459" i="15"/>
  <c r="Q459" i="15" s="1"/>
  <c r="J460" i="15"/>
  <c r="Q460" i="15" s="1"/>
  <c r="J461" i="15"/>
  <c r="Q461" i="15" s="1"/>
  <c r="J462" i="15"/>
  <c r="Q462" i="15" s="1"/>
  <c r="J463" i="15"/>
  <c r="Q463" i="15" s="1"/>
  <c r="J464" i="15"/>
  <c r="Q464" i="15" s="1"/>
  <c r="J465" i="15"/>
  <c r="Q465" i="15" s="1"/>
  <c r="J466" i="15"/>
  <c r="Q466" i="15" s="1"/>
  <c r="J467" i="15"/>
  <c r="Q467" i="15" s="1"/>
  <c r="J468" i="15"/>
  <c r="Q468" i="15" s="1"/>
  <c r="J469" i="15"/>
  <c r="Q469" i="15" s="1"/>
  <c r="J470" i="15"/>
  <c r="Q470" i="15" s="1"/>
  <c r="J471" i="15"/>
  <c r="Q471" i="15" s="1"/>
  <c r="J472" i="15"/>
  <c r="Q472" i="15" s="1"/>
  <c r="J473" i="15"/>
  <c r="Q473" i="15" s="1"/>
  <c r="J474" i="15"/>
  <c r="Q474" i="15" s="1"/>
  <c r="J475" i="15"/>
  <c r="Q475" i="15" s="1"/>
  <c r="J476" i="15"/>
  <c r="Q476" i="15" s="1"/>
  <c r="J477" i="15"/>
  <c r="Q477" i="15" s="1"/>
  <c r="J478" i="15"/>
  <c r="Q478" i="15" s="1"/>
  <c r="J479" i="15"/>
  <c r="Q479" i="15" s="1"/>
  <c r="J480" i="15"/>
  <c r="Q480" i="15" s="1"/>
  <c r="J481" i="15"/>
  <c r="Q481" i="15" s="1"/>
  <c r="J482" i="15"/>
  <c r="Q482" i="15" s="1"/>
  <c r="J483" i="15"/>
  <c r="Q483" i="15" s="1"/>
  <c r="J484" i="15"/>
  <c r="Q484" i="15" s="1"/>
  <c r="J485" i="15"/>
  <c r="Q485" i="15" s="1"/>
  <c r="J486" i="15"/>
  <c r="Q486" i="15" s="1"/>
  <c r="J487" i="15"/>
  <c r="Q487" i="15" s="1"/>
  <c r="J488" i="15"/>
  <c r="Q488" i="15" s="1"/>
  <c r="J489" i="15"/>
  <c r="Q489" i="15" s="1"/>
  <c r="J490" i="15"/>
  <c r="Q490" i="15" s="1"/>
  <c r="J491" i="15"/>
  <c r="Q491" i="15" s="1"/>
  <c r="J492" i="15"/>
  <c r="Q492" i="15" s="1"/>
  <c r="J493" i="15"/>
  <c r="Q493" i="15" s="1"/>
  <c r="J494" i="15"/>
  <c r="Q494" i="15" s="1"/>
  <c r="J495" i="15"/>
  <c r="Q495" i="15" s="1"/>
  <c r="J496" i="15"/>
  <c r="Q496" i="15" s="1"/>
  <c r="J497" i="15"/>
  <c r="Q497" i="15" s="1"/>
  <c r="J498" i="15"/>
  <c r="Q498" i="15" s="1"/>
  <c r="J499" i="15"/>
  <c r="Q499" i="15" s="1"/>
  <c r="J500" i="15"/>
  <c r="Q500" i="15" s="1"/>
  <c r="J501" i="15"/>
  <c r="Q501" i="15" s="1"/>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H3" i="15"/>
  <c r="L3" i="15" s="1"/>
  <c r="H4" i="15"/>
  <c r="L4" i="15" s="1"/>
  <c r="H5" i="15"/>
  <c r="H6" i="15"/>
  <c r="L6" i="15" s="1"/>
  <c r="H7" i="15"/>
  <c r="L7" i="15" s="1"/>
  <c r="H8" i="15"/>
  <c r="L8" i="15" s="1"/>
  <c r="H9" i="15"/>
  <c r="L9" i="15" s="1"/>
  <c r="H10" i="15"/>
  <c r="K10" i="15" s="1"/>
  <c r="H11" i="15"/>
  <c r="K11" i="15" s="1"/>
  <c r="H12" i="15"/>
  <c r="K12" i="15" s="1"/>
  <c r="H13" i="15"/>
  <c r="K13" i="15" s="1"/>
  <c r="H14" i="15"/>
  <c r="K14" i="15" s="1"/>
  <c r="H15" i="15"/>
  <c r="L15" i="15" s="1"/>
  <c r="H16" i="15"/>
  <c r="L16" i="15" s="1"/>
  <c r="H17" i="15"/>
  <c r="H18" i="15"/>
  <c r="L18" i="15" s="1"/>
  <c r="H19" i="15"/>
  <c r="L19" i="15" s="1"/>
  <c r="H20" i="15"/>
  <c r="L20" i="15" s="1"/>
  <c r="H21" i="15"/>
  <c r="L21" i="15" s="1"/>
  <c r="H22" i="15"/>
  <c r="L22" i="15" s="1"/>
  <c r="H23" i="15"/>
  <c r="K23" i="15" s="1"/>
  <c r="H24" i="15"/>
  <c r="K24" i="15" s="1"/>
  <c r="H25" i="15"/>
  <c r="K25" i="15" s="1"/>
  <c r="H26" i="15"/>
  <c r="K26" i="15" s="1"/>
  <c r="H27" i="15"/>
  <c r="K27" i="15" s="1"/>
  <c r="H28" i="15"/>
  <c r="L28" i="15" s="1"/>
  <c r="H29" i="15"/>
  <c r="H30" i="15"/>
  <c r="L30" i="15" s="1"/>
  <c r="H31" i="15"/>
  <c r="L31" i="15" s="1"/>
  <c r="H32" i="15"/>
  <c r="L32" i="15" s="1"/>
  <c r="H33" i="15"/>
  <c r="L33" i="15" s="1"/>
  <c r="H34" i="15"/>
  <c r="L34" i="15" s="1"/>
  <c r="H35" i="15"/>
  <c r="L35" i="15" s="1"/>
  <c r="H36" i="15"/>
  <c r="K36" i="15" s="1"/>
  <c r="H37" i="15"/>
  <c r="K37" i="15" s="1"/>
  <c r="H38" i="15"/>
  <c r="K38" i="15" s="1"/>
  <c r="H39" i="15"/>
  <c r="K39" i="15" s="1"/>
  <c r="H40" i="15"/>
  <c r="K40" i="15" s="1"/>
  <c r="H41" i="15"/>
  <c r="H42" i="15"/>
  <c r="L42" i="15" s="1"/>
  <c r="H43" i="15"/>
  <c r="L43" i="15" s="1"/>
  <c r="H44" i="15"/>
  <c r="L44" i="15" s="1"/>
  <c r="H45" i="15"/>
  <c r="L45" i="15" s="1"/>
  <c r="H46" i="15"/>
  <c r="L46" i="15" s="1"/>
  <c r="H47" i="15"/>
  <c r="L47" i="15" s="1"/>
  <c r="H48" i="15"/>
  <c r="L48" i="15" s="1"/>
  <c r="H49" i="15"/>
  <c r="K49" i="15" s="1"/>
  <c r="H50" i="15"/>
  <c r="K50" i="15" s="1"/>
  <c r="H51" i="15"/>
  <c r="K51" i="15" s="1"/>
  <c r="H52" i="15"/>
  <c r="K52" i="15" s="1"/>
  <c r="H53" i="15"/>
  <c r="H54" i="15"/>
  <c r="K54" i="15" s="1"/>
  <c r="H55" i="15"/>
  <c r="L55" i="15" s="1"/>
  <c r="H56" i="15"/>
  <c r="L56" i="15" s="1"/>
  <c r="H57" i="15"/>
  <c r="L57" i="15" s="1"/>
  <c r="H58" i="15"/>
  <c r="L58" i="15" s="1"/>
  <c r="H59" i="15"/>
  <c r="L59" i="15" s="1"/>
  <c r="H60" i="15"/>
  <c r="L60" i="15" s="1"/>
  <c r="H61" i="15"/>
  <c r="L61" i="15" s="1"/>
  <c r="H62" i="15"/>
  <c r="K62" i="15" s="1"/>
  <c r="H63" i="15"/>
  <c r="K63" i="15" s="1"/>
  <c r="H64" i="15"/>
  <c r="K64" i="15" s="1"/>
  <c r="H65" i="15"/>
  <c r="H66" i="15"/>
  <c r="K66" i="15" s="1"/>
  <c r="H67" i="15"/>
  <c r="K67" i="15" s="1"/>
  <c r="H68" i="15"/>
  <c r="L68" i="15" s="1"/>
  <c r="H69" i="15"/>
  <c r="L69" i="15" s="1"/>
  <c r="H70" i="15"/>
  <c r="L70" i="15" s="1"/>
  <c r="H71" i="15"/>
  <c r="L71" i="15" s="1"/>
  <c r="H72" i="15"/>
  <c r="L72" i="15" s="1"/>
  <c r="H73" i="15"/>
  <c r="L73" i="15" s="1"/>
  <c r="H74" i="15"/>
  <c r="L74" i="15" s="1"/>
  <c r="H75" i="15"/>
  <c r="K75" i="15" s="1"/>
  <c r="H76" i="15"/>
  <c r="K76" i="15" s="1"/>
  <c r="H77" i="15"/>
  <c r="H78" i="15"/>
  <c r="K78" i="15" s="1"/>
  <c r="H79" i="15"/>
  <c r="K79" i="15" s="1"/>
  <c r="H80" i="15"/>
  <c r="K80" i="15" s="1"/>
  <c r="H81" i="15"/>
  <c r="L81" i="15" s="1"/>
  <c r="H82" i="15"/>
  <c r="L82" i="15" s="1"/>
  <c r="H83" i="15"/>
  <c r="L83" i="15" s="1"/>
  <c r="H84" i="15"/>
  <c r="L84" i="15" s="1"/>
  <c r="H85" i="15"/>
  <c r="L85" i="15" s="1"/>
  <c r="H86" i="15"/>
  <c r="L86" i="15" s="1"/>
  <c r="H87" i="15"/>
  <c r="L87" i="15" s="1"/>
  <c r="H88" i="15"/>
  <c r="K88" i="15" s="1"/>
  <c r="H89" i="15"/>
  <c r="K89" i="15" s="1"/>
  <c r="H90" i="15"/>
  <c r="L90" i="15" s="1"/>
  <c r="H91" i="15"/>
  <c r="L91" i="15" s="1"/>
  <c r="H92" i="15"/>
  <c r="L92" i="15" s="1"/>
  <c r="H93" i="15"/>
  <c r="L93" i="15" s="1"/>
  <c r="H94" i="15"/>
  <c r="L94" i="15" s="1"/>
  <c r="H95" i="15"/>
  <c r="L95" i="15" s="1"/>
  <c r="H96" i="15"/>
  <c r="L96" i="15" s="1"/>
  <c r="H97" i="15"/>
  <c r="L97" i="15" s="1"/>
  <c r="H98" i="15"/>
  <c r="L98" i="15" s="1"/>
  <c r="H99" i="15"/>
  <c r="L99" i="15" s="1"/>
  <c r="H100" i="15"/>
  <c r="H101" i="15"/>
  <c r="K101" i="15" s="1"/>
  <c r="H102" i="15"/>
  <c r="K102" i="15" s="1"/>
  <c r="H103" i="15"/>
  <c r="K103" i="15" s="1"/>
  <c r="H104" i="15"/>
  <c r="K104" i="15" s="1"/>
  <c r="H105" i="15"/>
  <c r="L105" i="15" s="1"/>
  <c r="H106" i="15"/>
  <c r="L106" i="15" s="1"/>
  <c r="H107" i="15"/>
  <c r="L107" i="15" s="1"/>
  <c r="H108" i="15"/>
  <c r="L108" i="15" s="1"/>
  <c r="H109" i="15"/>
  <c r="L109" i="15" s="1"/>
  <c r="H110" i="15"/>
  <c r="L110" i="15" s="1"/>
  <c r="H111" i="15"/>
  <c r="L111" i="15" s="1"/>
  <c r="H112" i="15"/>
  <c r="L112" i="15" s="1"/>
  <c r="H113" i="15"/>
  <c r="K113" i="15" s="1"/>
  <c r="H114" i="15"/>
  <c r="L114" i="15" s="1"/>
  <c r="H115" i="15"/>
  <c r="K115" i="15" s="1"/>
  <c r="H116" i="15"/>
  <c r="K116" i="15" s="1"/>
  <c r="H117" i="15"/>
  <c r="K117" i="15" s="1"/>
  <c r="H118" i="15"/>
  <c r="K118" i="15" s="1"/>
  <c r="H119" i="15"/>
  <c r="K119" i="15" s="1"/>
  <c r="H120" i="15"/>
  <c r="L120" i="15" s="1"/>
  <c r="H121" i="15"/>
  <c r="L121" i="15" s="1"/>
  <c r="H122" i="15"/>
  <c r="L122" i="15" s="1"/>
  <c r="H123" i="15"/>
  <c r="L123" i="15" s="1"/>
  <c r="H124" i="15"/>
  <c r="L124" i="15" s="1"/>
  <c r="H125" i="15"/>
  <c r="K125" i="15" s="1"/>
  <c r="H126" i="15"/>
  <c r="L126" i="15" s="1"/>
  <c r="H127" i="15"/>
  <c r="L127" i="15" s="1"/>
  <c r="H128" i="15"/>
  <c r="K128" i="15" s="1"/>
  <c r="H129" i="15"/>
  <c r="K129" i="15" s="1"/>
  <c r="H130" i="15"/>
  <c r="K130" i="15" s="1"/>
  <c r="H131" i="15"/>
  <c r="K131" i="15" s="1"/>
  <c r="H132" i="15"/>
  <c r="L132" i="15" s="1"/>
  <c r="H133" i="15"/>
  <c r="K133" i="15" s="1"/>
  <c r="H134" i="15"/>
  <c r="L134" i="15" s="1"/>
  <c r="H135" i="15"/>
  <c r="K135" i="15" s="1"/>
  <c r="H136" i="15"/>
  <c r="L136" i="15" s="1"/>
  <c r="H137" i="15"/>
  <c r="K137" i="15" s="1"/>
  <c r="H138" i="15"/>
  <c r="L138" i="15" s="1"/>
  <c r="H139" i="15"/>
  <c r="L139" i="15" s="1"/>
  <c r="H140" i="15"/>
  <c r="L140" i="15" s="1"/>
  <c r="H141" i="15"/>
  <c r="K141" i="15" s="1"/>
  <c r="H142" i="15"/>
  <c r="K142" i="15" s="1"/>
  <c r="H143" i="15"/>
  <c r="K143" i="15" s="1"/>
  <c r="H144" i="15"/>
  <c r="L144" i="15" s="1"/>
  <c r="H145" i="15"/>
  <c r="K145" i="15" s="1"/>
  <c r="H146" i="15"/>
  <c r="L146" i="15" s="1"/>
  <c r="H147" i="15"/>
  <c r="K147" i="15" s="1"/>
  <c r="H148" i="15"/>
  <c r="L148" i="15" s="1"/>
  <c r="H149" i="15"/>
  <c r="K149" i="15" s="1"/>
  <c r="H150" i="15"/>
  <c r="L150" i="15" s="1"/>
  <c r="H151" i="15"/>
  <c r="L151" i="15" s="1"/>
  <c r="H152" i="15"/>
  <c r="L152" i="15" s="1"/>
  <c r="H153" i="15"/>
  <c r="L153" i="15" s="1"/>
  <c r="H154" i="15"/>
  <c r="K154" i="15" s="1"/>
  <c r="H155" i="15"/>
  <c r="K155" i="15" s="1"/>
  <c r="H156" i="15"/>
  <c r="L156" i="15" s="1"/>
  <c r="H157" i="15"/>
  <c r="K157" i="15" s="1"/>
  <c r="H158" i="15"/>
  <c r="L158" i="15" s="1"/>
  <c r="H159" i="15"/>
  <c r="K159" i="15" s="1"/>
  <c r="H160" i="15"/>
  <c r="K160" i="15" s="1"/>
  <c r="H161" i="15"/>
  <c r="K161" i="15" s="1"/>
  <c r="H162" i="15"/>
  <c r="L162" i="15" s="1"/>
  <c r="H163" i="15"/>
  <c r="H164" i="15"/>
  <c r="L164" i="15" s="1"/>
  <c r="H165" i="15"/>
  <c r="L165" i="15" s="1"/>
  <c r="H166" i="15"/>
  <c r="L166" i="15" s="1"/>
  <c r="H167" i="15"/>
  <c r="K167" i="15" s="1"/>
  <c r="H168" i="15"/>
  <c r="L168" i="15" s="1"/>
  <c r="H169" i="15"/>
  <c r="K169" i="15" s="1"/>
  <c r="H170" i="15"/>
  <c r="L170" i="15" s="1"/>
  <c r="H171" i="15"/>
  <c r="K171" i="15" s="1"/>
  <c r="H172" i="15"/>
  <c r="K172" i="15" s="1"/>
  <c r="H173" i="15"/>
  <c r="K173" i="15" s="1"/>
  <c r="H174" i="15"/>
  <c r="K174" i="15" s="1"/>
  <c r="H175" i="15"/>
  <c r="H176" i="15"/>
  <c r="L176" i="15" s="1"/>
  <c r="H177" i="15"/>
  <c r="H178" i="15"/>
  <c r="L178" i="15" s="1"/>
  <c r="H179" i="15"/>
  <c r="L179" i="15" s="1"/>
  <c r="H180" i="15"/>
  <c r="L180" i="15" s="1"/>
  <c r="H181" i="15"/>
  <c r="K181" i="15" s="1"/>
  <c r="H182" i="15"/>
  <c r="L182" i="15" s="1"/>
  <c r="H183" i="15"/>
  <c r="L183" i="15" s="1"/>
  <c r="H184" i="15"/>
  <c r="L184" i="15" s="1"/>
  <c r="H185" i="15"/>
  <c r="K185" i="15" s="1"/>
  <c r="H186" i="15"/>
  <c r="K186" i="15" s="1"/>
  <c r="H187" i="15"/>
  <c r="K187" i="15" s="1"/>
  <c r="H188" i="15"/>
  <c r="H189" i="15"/>
  <c r="H190" i="15"/>
  <c r="L190" i="15" s="1"/>
  <c r="H191" i="15"/>
  <c r="K191" i="15" s="1"/>
  <c r="H192" i="15"/>
  <c r="L192" i="15" s="1"/>
  <c r="H193" i="15"/>
  <c r="L193" i="15" s="1"/>
  <c r="H194" i="15"/>
  <c r="L194" i="15" s="1"/>
  <c r="H195" i="15"/>
  <c r="L195" i="15" s="1"/>
  <c r="H196" i="15"/>
  <c r="L196" i="15" s="1"/>
  <c r="H197" i="15"/>
  <c r="K197" i="15" s="1"/>
  <c r="H198" i="15"/>
  <c r="L198" i="15" s="1"/>
  <c r="H199" i="15"/>
  <c r="L199" i="15" s="1"/>
  <c r="H200" i="15"/>
  <c r="L200" i="15" s="1"/>
  <c r="H201" i="15"/>
  <c r="L201" i="15" s="1"/>
  <c r="H202" i="15"/>
  <c r="H203" i="15"/>
  <c r="H204" i="15"/>
  <c r="L204" i="15" s="1"/>
  <c r="H205" i="15"/>
  <c r="L205" i="15" s="1"/>
  <c r="H206" i="15"/>
  <c r="L206" i="15" s="1"/>
  <c r="H207" i="15"/>
  <c r="K207" i="15" s="1"/>
  <c r="H208" i="15"/>
  <c r="L208" i="15" s="1"/>
  <c r="H209" i="15"/>
  <c r="K209" i="15" s="1"/>
  <c r="H210" i="15"/>
  <c r="L210" i="15" s="1"/>
  <c r="H211" i="15"/>
  <c r="L211" i="15" s="1"/>
  <c r="H212" i="15"/>
  <c r="L212" i="15" s="1"/>
  <c r="H213" i="15"/>
  <c r="L213" i="15" s="1"/>
  <c r="H214" i="15"/>
  <c r="L214" i="15" s="1"/>
  <c r="H215" i="15"/>
  <c r="H216" i="15"/>
  <c r="L216" i="15" s="1"/>
  <c r="H217" i="15"/>
  <c r="K217" i="15" s="1"/>
  <c r="H218" i="15"/>
  <c r="L218" i="15" s="1"/>
  <c r="H219" i="15"/>
  <c r="K219" i="15" s="1"/>
  <c r="H220" i="15"/>
  <c r="K220" i="15" s="1"/>
  <c r="H221" i="15"/>
  <c r="K221" i="15" s="1"/>
  <c r="H222" i="15"/>
  <c r="L222" i="15" s="1"/>
  <c r="H223" i="15"/>
  <c r="L223" i="15" s="1"/>
  <c r="H224" i="15"/>
  <c r="L224" i="15" s="1"/>
  <c r="H225" i="15"/>
  <c r="L225" i="15" s="1"/>
  <c r="H226" i="15"/>
  <c r="L226" i="15" s="1"/>
  <c r="H227" i="15"/>
  <c r="L227" i="15" s="1"/>
  <c r="H228" i="15"/>
  <c r="L228" i="15" s="1"/>
  <c r="H229" i="15"/>
  <c r="L229" i="15" s="1"/>
  <c r="H230" i="15"/>
  <c r="L230" i="15" s="1"/>
  <c r="H231" i="15"/>
  <c r="L231" i="15" s="1"/>
  <c r="H232" i="15"/>
  <c r="K232" i="15" s="1"/>
  <c r="H233" i="15"/>
  <c r="K233" i="15" s="1"/>
  <c r="H234" i="15"/>
  <c r="K234" i="15" s="1"/>
  <c r="H235" i="15"/>
  <c r="K235" i="15" s="1"/>
  <c r="H236" i="15"/>
  <c r="L236" i="15" s="1"/>
  <c r="H237" i="15"/>
  <c r="L237" i="15" s="1"/>
  <c r="H238" i="15"/>
  <c r="L238" i="15" s="1"/>
  <c r="H239" i="15"/>
  <c r="L239" i="15" s="1"/>
  <c r="H240" i="15"/>
  <c r="L240" i="15" s="1"/>
  <c r="H241" i="15"/>
  <c r="L241" i="15" s="1"/>
  <c r="H242" i="15"/>
  <c r="L242" i="15" s="1"/>
  <c r="H243" i="15"/>
  <c r="L243" i="15" s="1"/>
  <c r="H244" i="15"/>
  <c r="L244" i="15" s="1"/>
  <c r="H245" i="15"/>
  <c r="K245" i="15" s="1"/>
  <c r="H246" i="15"/>
  <c r="K246" i="15" s="1"/>
  <c r="H247" i="15"/>
  <c r="K247" i="15" s="1"/>
  <c r="H248" i="15"/>
  <c r="K248" i="15" s="1"/>
  <c r="H249" i="15"/>
  <c r="K249" i="15" s="1"/>
  <c r="H250" i="15"/>
  <c r="L250" i="15" s="1"/>
  <c r="H251" i="15"/>
  <c r="L251" i="15" s="1"/>
  <c r="H252" i="15"/>
  <c r="L252" i="15" s="1"/>
  <c r="H253" i="15"/>
  <c r="L253" i="15" s="1"/>
  <c r="H254" i="15"/>
  <c r="L254" i="15" s="1"/>
  <c r="H255" i="15"/>
  <c r="L255" i="15" s="1"/>
  <c r="H256" i="15"/>
  <c r="L256" i="15" s="1"/>
  <c r="H257" i="15"/>
  <c r="K257" i="15" s="1"/>
  <c r="H258" i="15"/>
  <c r="L258" i="15" s="1"/>
  <c r="H259" i="15"/>
  <c r="K259" i="15" s="1"/>
  <c r="H260" i="15"/>
  <c r="K260" i="15" s="1"/>
  <c r="H261" i="15"/>
  <c r="K261" i="15" s="1"/>
  <c r="H262" i="15"/>
  <c r="K262" i="15" s="1"/>
  <c r="H263" i="15"/>
  <c r="K263" i="15" s="1"/>
  <c r="H264" i="15"/>
  <c r="L264" i="15" s="1"/>
  <c r="H265" i="15"/>
  <c r="L265" i="15" s="1"/>
  <c r="H266" i="15"/>
  <c r="L266" i="15" s="1"/>
  <c r="H267" i="15"/>
  <c r="L267" i="15" s="1"/>
  <c r="H268" i="15"/>
  <c r="L268" i="15" s="1"/>
  <c r="H269" i="15"/>
  <c r="K269" i="15" s="1"/>
  <c r="H270" i="15"/>
  <c r="L270" i="15" s="1"/>
  <c r="H271" i="15"/>
  <c r="L271" i="15" s="1"/>
  <c r="H272" i="15"/>
  <c r="K272" i="15" s="1"/>
  <c r="H273" i="15"/>
  <c r="K273" i="15" s="1"/>
  <c r="H274" i="15"/>
  <c r="K274" i="15" s="1"/>
  <c r="H275" i="15"/>
  <c r="K275" i="15" s="1"/>
  <c r="H276" i="15"/>
  <c r="L276" i="15" s="1"/>
  <c r="H277" i="15"/>
  <c r="K277" i="15" s="1"/>
  <c r="H278" i="15"/>
  <c r="K278" i="15" s="1"/>
  <c r="H279" i="15"/>
  <c r="L279" i="15" s="1"/>
  <c r="H280" i="15"/>
  <c r="L280" i="15" s="1"/>
  <c r="H281" i="15"/>
  <c r="K281" i="15" s="1"/>
  <c r="H282" i="15"/>
  <c r="L282" i="15" s="1"/>
  <c r="H283" i="15"/>
  <c r="L283" i="15" s="1"/>
  <c r="H284" i="15"/>
  <c r="L284" i="15" s="1"/>
  <c r="H285" i="15"/>
  <c r="K285" i="15" s="1"/>
  <c r="H286" i="15"/>
  <c r="K286" i="15" s="1"/>
  <c r="H287" i="15"/>
  <c r="K287" i="15" s="1"/>
  <c r="H288" i="15"/>
  <c r="L288" i="15" s="1"/>
  <c r="H289" i="15"/>
  <c r="K289" i="15" s="1"/>
  <c r="H290" i="15"/>
  <c r="K290" i="15" s="1"/>
  <c r="H291" i="15"/>
  <c r="K291" i="15" s="1"/>
  <c r="H292" i="15"/>
  <c r="L292" i="15" s="1"/>
  <c r="H293" i="15"/>
  <c r="K293" i="15" s="1"/>
  <c r="H294" i="15"/>
  <c r="L294" i="15" s="1"/>
  <c r="H295" i="15"/>
  <c r="L295" i="15" s="1"/>
  <c r="H296" i="15"/>
  <c r="L296" i="15" s="1"/>
  <c r="H297" i="15"/>
  <c r="L297" i="15" s="1"/>
  <c r="H298" i="15"/>
  <c r="K298" i="15" s="1"/>
  <c r="H299" i="15"/>
  <c r="K299" i="15" s="1"/>
  <c r="H300" i="15"/>
  <c r="L300" i="15" s="1"/>
  <c r="H301" i="15"/>
  <c r="K301" i="15" s="1"/>
  <c r="H302" i="15"/>
  <c r="K302" i="15" s="1"/>
  <c r="H303" i="15"/>
  <c r="K303" i="15" s="1"/>
  <c r="H304" i="15"/>
  <c r="K304" i="15" s="1"/>
  <c r="H305" i="15"/>
  <c r="K305" i="15" s="1"/>
  <c r="H306" i="15"/>
  <c r="L306" i="15" s="1"/>
  <c r="H307" i="15"/>
  <c r="L307" i="15" s="1"/>
  <c r="H308" i="15"/>
  <c r="L308" i="15" s="1"/>
  <c r="H309" i="15"/>
  <c r="L309" i="15" s="1"/>
  <c r="H310" i="15"/>
  <c r="L310" i="15" s="1"/>
  <c r="H311" i="15"/>
  <c r="K311" i="15" s="1"/>
  <c r="H312" i="15"/>
  <c r="L312" i="15" s="1"/>
  <c r="H313" i="15"/>
  <c r="K313" i="15" s="1"/>
  <c r="H314" i="15"/>
  <c r="K314" i="15" s="1"/>
  <c r="H315" i="15"/>
  <c r="K315" i="15" s="1"/>
  <c r="H316" i="15"/>
  <c r="K316" i="15" s="1"/>
  <c r="H317" i="15"/>
  <c r="K317" i="15" s="1"/>
  <c r="H318" i="15"/>
  <c r="L318" i="15" s="1"/>
  <c r="H319" i="15"/>
  <c r="L319" i="15" s="1"/>
  <c r="H320" i="15"/>
  <c r="L320" i="15" s="1"/>
  <c r="H321" i="15"/>
  <c r="L321" i="15" s="1"/>
  <c r="H322" i="15"/>
  <c r="L322" i="15" s="1"/>
  <c r="H323" i="15"/>
  <c r="L323" i="15" s="1"/>
  <c r="H324" i="15"/>
  <c r="L324" i="15" s="1"/>
  <c r="H325" i="15"/>
  <c r="K325" i="15" s="1"/>
  <c r="H326" i="15"/>
  <c r="K326" i="15" s="1"/>
  <c r="H327" i="15"/>
  <c r="K327" i="15" s="1"/>
  <c r="H328" i="15"/>
  <c r="K328" i="15" s="1"/>
  <c r="H329" i="15"/>
  <c r="K329" i="15" s="1"/>
  <c r="H330" i="15"/>
  <c r="K330" i="15" s="1"/>
  <c r="H331" i="15"/>
  <c r="L331" i="15" s="1"/>
  <c r="H332" i="15"/>
  <c r="L332" i="15" s="1"/>
  <c r="H333" i="15"/>
  <c r="L333" i="15" s="1"/>
  <c r="H334" i="15"/>
  <c r="L334" i="15" s="1"/>
  <c r="H335" i="15"/>
  <c r="L335" i="15" s="1"/>
  <c r="H336" i="15"/>
  <c r="L336" i="15" s="1"/>
  <c r="H337" i="15"/>
  <c r="K337" i="15" s="1"/>
  <c r="H338" i="15"/>
  <c r="K338" i="15" s="1"/>
  <c r="H339" i="15"/>
  <c r="K339" i="15" s="1"/>
  <c r="H340" i="15"/>
  <c r="K340" i="15" s="1"/>
  <c r="H341" i="15"/>
  <c r="K341" i="15" s="1"/>
  <c r="H342" i="15"/>
  <c r="K342" i="15" s="1"/>
  <c r="H343" i="15"/>
  <c r="K343" i="15" s="1"/>
  <c r="H344" i="15"/>
  <c r="L344" i="15" s="1"/>
  <c r="H345" i="15"/>
  <c r="L345" i="15" s="1"/>
  <c r="H346" i="15"/>
  <c r="L346" i="15" s="1"/>
  <c r="H347" i="15"/>
  <c r="L347" i="15" s="1"/>
  <c r="H348" i="15"/>
  <c r="L348" i="15" s="1"/>
  <c r="H349" i="15"/>
  <c r="L349" i="15" s="1"/>
  <c r="H350" i="15"/>
  <c r="K350" i="15" s="1"/>
  <c r="H351" i="15"/>
  <c r="K351" i="15" s="1"/>
  <c r="H352" i="15"/>
  <c r="K352" i="15" s="1"/>
  <c r="H353" i="15"/>
  <c r="K353" i="15" s="1"/>
  <c r="H354" i="15"/>
  <c r="K354" i="15" s="1"/>
  <c r="H355" i="15"/>
  <c r="K355" i="15" s="1"/>
  <c r="H356" i="15"/>
  <c r="K356" i="15" s="1"/>
  <c r="H357" i="15"/>
  <c r="L357" i="15" s="1"/>
  <c r="H358" i="15"/>
  <c r="L358" i="15" s="1"/>
  <c r="H359" i="15"/>
  <c r="L359" i="15" s="1"/>
  <c r="H360" i="15"/>
  <c r="L360" i="15" s="1"/>
  <c r="H361" i="15"/>
  <c r="L361" i="15" s="1"/>
  <c r="H362" i="15"/>
  <c r="L362" i="15" s="1"/>
  <c r="H363" i="15"/>
  <c r="K363" i="15" s="1"/>
  <c r="H364" i="15"/>
  <c r="K364" i="15" s="1"/>
  <c r="H365" i="15"/>
  <c r="K365" i="15" s="1"/>
  <c r="H366" i="15"/>
  <c r="K366" i="15" s="1"/>
  <c r="H367" i="15"/>
  <c r="K367" i="15" s="1"/>
  <c r="H368" i="15"/>
  <c r="K368" i="15" s="1"/>
  <c r="H369" i="15"/>
  <c r="K369" i="15" s="1"/>
  <c r="H370" i="15"/>
  <c r="L370" i="15" s="1"/>
  <c r="H371" i="15"/>
  <c r="L371" i="15" s="1"/>
  <c r="H372" i="15"/>
  <c r="L372" i="15" s="1"/>
  <c r="H373" i="15"/>
  <c r="L373" i="15" s="1"/>
  <c r="H374" i="15"/>
  <c r="L374" i="15" s="1"/>
  <c r="H375" i="15"/>
  <c r="L375" i="15" s="1"/>
  <c r="H376" i="15"/>
  <c r="K376" i="15" s="1"/>
  <c r="H377" i="15"/>
  <c r="K377" i="15" s="1"/>
  <c r="H378" i="15"/>
  <c r="K378" i="15" s="1"/>
  <c r="H379" i="15"/>
  <c r="K379" i="15" s="1"/>
  <c r="H380" i="15"/>
  <c r="K380" i="15" s="1"/>
  <c r="H381" i="15"/>
  <c r="K381" i="15" s="1"/>
  <c r="H382" i="15"/>
  <c r="K382" i="15" s="1"/>
  <c r="H383" i="15"/>
  <c r="L383" i="15" s="1"/>
  <c r="H384" i="15"/>
  <c r="L384" i="15" s="1"/>
  <c r="H385" i="15"/>
  <c r="L385" i="15" s="1"/>
  <c r="H386" i="15"/>
  <c r="L386" i="15" s="1"/>
  <c r="H387" i="15"/>
  <c r="L387" i="15" s="1"/>
  <c r="H388" i="15"/>
  <c r="L388" i="15" s="1"/>
  <c r="H389" i="15"/>
  <c r="K389" i="15" s="1"/>
  <c r="H390" i="15"/>
  <c r="K390" i="15" s="1"/>
  <c r="H391" i="15"/>
  <c r="K391" i="15" s="1"/>
  <c r="H392" i="15"/>
  <c r="K392" i="15" s="1"/>
  <c r="H393" i="15"/>
  <c r="K393" i="15" s="1"/>
  <c r="H394" i="15"/>
  <c r="K394" i="15" s="1"/>
  <c r="H395" i="15"/>
  <c r="K395" i="15" s="1"/>
  <c r="H396" i="15"/>
  <c r="L396" i="15" s="1"/>
  <c r="H397" i="15"/>
  <c r="L397" i="15" s="1"/>
  <c r="H398" i="15"/>
  <c r="L398" i="15" s="1"/>
  <c r="H399" i="15"/>
  <c r="L399" i="15" s="1"/>
  <c r="H400" i="15"/>
  <c r="L400" i="15" s="1"/>
  <c r="H401" i="15"/>
  <c r="K401" i="15" s="1"/>
  <c r="H402" i="15"/>
  <c r="L402" i="15" s="1"/>
  <c r="H403" i="15"/>
  <c r="K403" i="15" s="1"/>
  <c r="H404" i="15"/>
  <c r="K404" i="15" s="1"/>
  <c r="H405" i="15"/>
  <c r="K405" i="15" s="1"/>
  <c r="H406" i="15"/>
  <c r="K406" i="15" s="1"/>
  <c r="H407" i="15"/>
  <c r="K407" i="15" s="1"/>
  <c r="H408" i="15"/>
  <c r="L408" i="15" s="1"/>
  <c r="H409" i="15"/>
  <c r="K409" i="15" s="1"/>
  <c r="H410" i="15"/>
  <c r="L410" i="15" s="1"/>
  <c r="H411" i="15"/>
  <c r="L411" i="15" s="1"/>
  <c r="H412" i="15"/>
  <c r="L412" i="15" s="1"/>
  <c r="H413" i="15"/>
  <c r="K413" i="15" s="1"/>
  <c r="H414" i="15"/>
  <c r="L414" i="15" s="1"/>
  <c r="H415" i="15"/>
  <c r="L415" i="15" s="1"/>
  <c r="H416" i="15"/>
  <c r="K416" i="15" s="1"/>
  <c r="H417" i="15"/>
  <c r="K417" i="15" s="1"/>
  <c r="H418" i="15"/>
  <c r="K418" i="15" s="1"/>
  <c r="H419" i="15"/>
  <c r="K419" i="15" s="1"/>
  <c r="H420" i="15"/>
  <c r="L420" i="15" s="1"/>
  <c r="H421" i="15"/>
  <c r="K421" i="15" s="1"/>
  <c r="H422" i="15"/>
  <c r="K422" i="15" s="1"/>
  <c r="H423" i="15"/>
  <c r="L423" i="15" s="1"/>
  <c r="H424" i="15"/>
  <c r="L424" i="15" s="1"/>
  <c r="H425" i="15"/>
  <c r="K425" i="15" s="1"/>
  <c r="H426" i="15"/>
  <c r="L426" i="15" s="1"/>
  <c r="H427" i="15"/>
  <c r="L427" i="15" s="1"/>
  <c r="H428" i="15"/>
  <c r="L428" i="15" s="1"/>
  <c r="H429" i="15"/>
  <c r="K429" i="15" s="1"/>
  <c r="H430" i="15"/>
  <c r="K430" i="15" s="1"/>
  <c r="H431" i="15"/>
  <c r="K431" i="15" s="1"/>
  <c r="H432" i="15"/>
  <c r="L432" i="15" s="1"/>
  <c r="H433" i="15"/>
  <c r="K433" i="15" s="1"/>
  <c r="H434" i="15"/>
  <c r="K434" i="15" s="1"/>
  <c r="H435" i="15"/>
  <c r="K435" i="15" s="1"/>
  <c r="H436" i="15"/>
  <c r="L436" i="15" s="1"/>
  <c r="H437" i="15"/>
  <c r="K437" i="15" s="1"/>
  <c r="H438" i="15"/>
  <c r="L438" i="15" s="1"/>
  <c r="H439" i="15"/>
  <c r="L439" i="15" s="1"/>
  <c r="H440" i="15"/>
  <c r="L440" i="15" s="1"/>
  <c r="H441" i="15"/>
  <c r="L441" i="15" s="1"/>
  <c r="H442" i="15"/>
  <c r="K442" i="15" s="1"/>
  <c r="H443" i="15"/>
  <c r="K443" i="15" s="1"/>
  <c r="H444" i="15"/>
  <c r="L444" i="15" s="1"/>
  <c r="H445" i="15"/>
  <c r="K445" i="15" s="1"/>
  <c r="H446" i="15"/>
  <c r="K446" i="15" s="1"/>
  <c r="H447" i="15"/>
  <c r="K447" i="15" s="1"/>
  <c r="H448" i="15"/>
  <c r="K448" i="15" s="1"/>
  <c r="H449" i="15"/>
  <c r="K449" i="15" s="1"/>
  <c r="H450" i="15"/>
  <c r="L450" i="15" s="1"/>
  <c r="H451" i="15"/>
  <c r="L451" i="15" s="1"/>
  <c r="H452" i="15"/>
  <c r="L452" i="15" s="1"/>
  <c r="H453" i="15"/>
  <c r="L453" i="15" s="1"/>
  <c r="H454" i="15"/>
  <c r="L454" i="15" s="1"/>
  <c r="H455" i="15"/>
  <c r="K455" i="15" s="1"/>
  <c r="H456" i="15"/>
  <c r="L456" i="15" s="1"/>
  <c r="H457" i="15"/>
  <c r="K457" i="15" s="1"/>
  <c r="H458" i="15"/>
  <c r="K458" i="15" s="1"/>
  <c r="H459" i="15"/>
  <c r="K459" i="15" s="1"/>
  <c r="H460" i="15"/>
  <c r="K460" i="15" s="1"/>
  <c r="H461" i="15"/>
  <c r="K461" i="15" s="1"/>
  <c r="H462" i="15"/>
  <c r="L462" i="15" s="1"/>
  <c r="H463" i="15"/>
  <c r="L463" i="15" s="1"/>
  <c r="H464" i="15"/>
  <c r="L464" i="15" s="1"/>
  <c r="H465" i="15"/>
  <c r="L465" i="15" s="1"/>
  <c r="H466" i="15"/>
  <c r="L466" i="15" s="1"/>
  <c r="H467" i="15"/>
  <c r="L467" i="15" s="1"/>
  <c r="H468" i="15"/>
  <c r="L468" i="15" s="1"/>
  <c r="H469" i="15"/>
  <c r="K469" i="15" s="1"/>
  <c r="H470" i="15"/>
  <c r="K470" i="15" s="1"/>
  <c r="H471" i="15"/>
  <c r="K471" i="15" s="1"/>
  <c r="H472" i="15"/>
  <c r="K472" i="15" s="1"/>
  <c r="H473" i="15"/>
  <c r="K473" i="15" s="1"/>
  <c r="H474" i="15"/>
  <c r="K474" i="15" s="1"/>
  <c r="H475" i="15"/>
  <c r="L475" i="15" s="1"/>
  <c r="H476" i="15"/>
  <c r="L476" i="15" s="1"/>
  <c r="H477" i="15"/>
  <c r="L477" i="15" s="1"/>
  <c r="H478" i="15"/>
  <c r="L478" i="15" s="1"/>
  <c r="H479" i="15"/>
  <c r="L479" i="15" s="1"/>
  <c r="H480" i="15"/>
  <c r="L480" i="15" s="1"/>
  <c r="H481" i="15"/>
  <c r="K481" i="15" s="1"/>
  <c r="H482" i="15"/>
  <c r="K482" i="15" s="1"/>
  <c r="H483" i="15"/>
  <c r="K483" i="15" s="1"/>
  <c r="H484" i="15"/>
  <c r="K484" i="15" s="1"/>
  <c r="H485" i="15"/>
  <c r="K485" i="15" s="1"/>
  <c r="H486" i="15"/>
  <c r="K486" i="15" s="1"/>
  <c r="H487" i="15"/>
  <c r="K487" i="15" s="1"/>
  <c r="H488" i="15"/>
  <c r="L488" i="15" s="1"/>
  <c r="H489" i="15"/>
  <c r="L489" i="15" s="1"/>
  <c r="H490" i="15"/>
  <c r="L490" i="15" s="1"/>
  <c r="H491" i="15"/>
  <c r="L491" i="15" s="1"/>
  <c r="H492" i="15"/>
  <c r="L492" i="15" s="1"/>
  <c r="H493" i="15"/>
  <c r="L493" i="15" s="1"/>
  <c r="H494" i="15"/>
  <c r="K494" i="15" s="1"/>
  <c r="H495" i="15"/>
  <c r="K495" i="15" s="1"/>
  <c r="H496" i="15"/>
  <c r="K496" i="15" s="1"/>
  <c r="H497" i="15"/>
  <c r="K497" i="15" s="1"/>
  <c r="H498" i="15"/>
  <c r="K498" i="15" s="1"/>
  <c r="H499" i="15"/>
  <c r="K499" i="15" s="1"/>
  <c r="H500" i="15"/>
  <c r="K500" i="15" s="1"/>
  <c r="H501" i="15"/>
  <c r="L501" i="15" s="1"/>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 r="G371" i="15"/>
  <c r="G372" i="15"/>
  <c r="G373" i="15"/>
  <c r="G374" i="15"/>
  <c r="G375" i="15"/>
  <c r="G376" i="15"/>
  <c r="G377" i="15"/>
  <c r="G378" i="15"/>
  <c r="G379" i="15"/>
  <c r="G380" i="15"/>
  <c r="G381" i="15"/>
  <c r="G382" i="15"/>
  <c r="G383" i="15"/>
  <c r="G384" i="15"/>
  <c r="G385" i="15"/>
  <c r="G386" i="15"/>
  <c r="G387" i="15"/>
  <c r="G388" i="15"/>
  <c r="G389" i="15"/>
  <c r="G390" i="15"/>
  <c r="G391" i="15"/>
  <c r="G392" i="15"/>
  <c r="G393" i="15"/>
  <c r="G394" i="15"/>
  <c r="G395" i="15"/>
  <c r="G396" i="15"/>
  <c r="G397" i="15"/>
  <c r="G398" i="15"/>
  <c r="G399" i="15"/>
  <c r="G400" i="15"/>
  <c r="G401" i="15"/>
  <c r="G402" i="15"/>
  <c r="G403" i="15"/>
  <c r="G404" i="15"/>
  <c r="G405" i="15"/>
  <c r="G406" i="15"/>
  <c r="G407" i="15"/>
  <c r="G408" i="15"/>
  <c r="G409" i="15"/>
  <c r="G410" i="15"/>
  <c r="G411" i="15"/>
  <c r="G412" i="15"/>
  <c r="G413" i="15"/>
  <c r="G414" i="15"/>
  <c r="G415" i="15"/>
  <c r="G416" i="15"/>
  <c r="G417" i="15"/>
  <c r="G418" i="15"/>
  <c r="G419" i="15"/>
  <c r="G420" i="15"/>
  <c r="G421" i="15"/>
  <c r="G422" i="15"/>
  <c r="G423" i="15"/>
  <c r="G424" i="15"/>
  <c r="G425" i="15"/>
  <c r="G426" i="15"/>
  <c r="G427" i="15"/>
  <c r="G428" i="15"/>
  <c r="G429" i="15"/>
  <c r="G430" i="15"/>
  <c r="G431" i="15"/>
  <c r="G432" i="15"/>
  <c r="G433" i="15"/>
  <c r="G434" i="15"/>
  <c r="G435" i="15"/>
  <c r="G436" i="15"/>
  <c r="G437" i="15"/>
  <c r="G438" i="15"/>
  <c r="G439" i="15"/>
  <c r="G440" i="15"/>
  <c r="G441" i="15"/>
  <c r="G442" i="15"/>
  <c r="G443" i="15"/>
  <c r="G444" i="15"/>
  <c r="G445" i="15"/>
  <c r="G446" i="15"/>
  <c r="G447" i="15"/>
  <c r="G448" i="15"/>
  <c r="G449" i="15"/>
  <c r="G450" i="15"/>
  <c r="G451" i="15"/>
  <c r="G452" i="15"/>
  <c r="G453" i="15"/>
  <c r="G454" i="15"/>
  <c r="G455" i="15"/>
  <c r="G456" i="15"/>
  <c r="G457" i="15"/>
  <c r="G458" i="15"/>
  <c r="G459" i="15"/>
  <c r="G460" i="15"/>
  <c r="G461" i="15"/>
  <c r="G462" i="15"/>
  <c r="G463" i="15"/>
  <c r="G464" i="15"/>
  <c r="G465" i="15"/>
  <c r="G466" i="15"/>
  <c r="G467" i="15"/>
  <c r="G468" i="15"/>
  <c r="G469" i="15"/>
  <c r="G470" i="15"/>
  <c r="G471" i="15"/>
  <c r="G472" i="15"/>
  <c r="G473" i="15"/>
  <c r="G474" i="15"/>
  <c r="G475" i="15"/>
  <c r="G476" i="15"/>
  <c r="G477" i="15"/>
  <c r="G478" i="15"/>
  <c r="G479" i="15"/>
  <c r="G480" i="15"/>
  <c r="G481" i="15"/>
  <c r="G482" i="15"/>
  <c r="G483" i="15"/>
  <c r="G484" i="15"/>
  <c r="G485" i="15"/>
  <c r="G486" i="15"/>
  <c r="G487" i="15"/>
  <c r="G488" i="15"/>
  <c r="G489" i="15"/>
  <c r="G490" i="15"/>
  <c r="G491" i="15"/>
  <c r="G492" i="15"/>
  <c r="G493" i="15"/>
  <c r="G494" i="15"/>
  <c r="G495" i="15"/>
  <c r="G496" i="15"/>
  <c r="G497" i="15"/>
  <c r="G498" i="15"/>
  <c r="G499" i="15"/>
  <c r="G500" i="15"/>
  <c r="G501"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326" i="15"/>
  <c r="F327" i="15"/>
  <c r="F328" i="15"/>
  <c r="F329" i="15"/>
  <c r="F330" i="15"/>
  <c r="F331" i="15"/>
  <c r="F332" i="15"/>
  <c r="F333" i="15"/>
  <c r="F334" i="15"/>
  <c r="F335" i="15"/>
  <c r="F336" i="15"/>
  <c r="F337" i="15"/>
  <c r="F338" i="15"/>
  <c r="F339" i="15"/>
  <c r="F340" i="15"/>
  <c r="F341" i="15"/>
  <c r="F342" i="15"/>
  <c r="F343" i="15"/>
  <c r="F344" i="15"/>
  <c r="F345" i="15"/>
  <c r="F346" i="15"/>
  <c r="F347" i="15"/>
  <c r="F348" i="15"/>
  <c r="F349" i="15"/>
  <c r="F350" i="15"/>
  <c r="F351" i="15"/>
  <c r="F352" i="15"/>
  <c r="F353" i="15"/>
  <c r="F354" i="15"/>
  <c r="F355" i="15"/>
  <c r="F356" i="15"/>
  <c r="F357" i="15"/>
  <c r="F358" i="15"/>
  <c r="F359" i="15"/>
  <c r="F360" i="15"/>
  <c r="F361" i="15"/>
  <c r="F362" i="15"/>
  <c r="F363" i="15"/>
  <c r="F364" i="15"/>
  <c r="F365" i="15"/>
  <c r="F366" i="15"/>
  <c r="F367" i="15"/>
  <c r="F368" i="15"/>
  <c r="F369" i="15"/>
  <c r="F370" i="15"/>
  <c r="F371" i="15"/>
  <c r="F372" i="15"/>
  <c r="F373" i="15"/>
  <c r="F374" i="15"/>
  <c r="F375" i="15"/>
  <c r="F376" i="15"/>
  <c r="F377" i="15"/>
  <c r="F378" i="15"/>
  <c r="F379" i="15"/>
  <c r="F380" i="15"/>
  <c r="F381" i="15"/>
  <c r="F382" i="15"/>
  <c r="F383" i="15"/>
  <c r="F384" i="15"/>
  <c r="F385" i="15"/>
  <c r="F386" i="15"/>
  <c r="F387" i="15"/>
  <c r="F388" i="15"/>
  <c r="F389" i="15"/>
  <c r="F390" i="15"/>
  <c r="F391" i="15"/>
  <c r="F392" i="15"/>
  <c r="F393" i="15"/>
  <c r="F394" i="15"/>
  <c r="F395" i="15"/>
  <c r="F396" i="15"/>
  <c r="F397" i="15"/>
  <c r="F398" i="15"/>
  <c r="F399" i="15"/>
  <c r="F400" i="15"/>
  <c r="F401" i="15"/>
  <c r="F402" i="15"/>
  <c r="F403" i="15"/>
  <c r="F404" i="15"/>
  <c r="F405" i="15"/>
  <c r="F406" i="15"/>
  <c r="F407" i="15"/>
  <c r="F408" i="15"/>
  <c r="F409" i="15"/>
  <c r="F410" i="15"/>
  <c r="F411" i="15"/>
  <c r="F412" i="15"/>
  <c r="F413" i="15"/>
  <c r="F414" i="15"/>
  <c r="F415" i="15"/>
  <c r="F416" i="15"/>
  <c r="F417" i="15"/>
  <c r="F418" i="15"/>
  <c r="F419" i="15"/>
  <c r="F420" i="15"/>
  <c r="F421" i="15"/>
  <c r="F422" i="15"/>
  <c r="F423" i="15"/>
  <c r="F424" i="15"/>
  <c r="F425" i="15"/>
  <c r="F426" i="15"/>
  <c r="F427" i="15"/>
  <c r="F428" i="15"/>
  <c r="F429" i="15"/>
  <c r="F430" i="15"/>
  <c r="F431" i="15"/>
  <c r="F432" i="15"/>
  <c r="F433" i="15"/>
  <c r="F434" i="15"/>
  <c r="F435" i="15"/>
  <c r="F436" i="15"/>
  <c r="F437" i="15"/>
  <c r="F438" i="15"/>
  <c r="F439" i="15"/>
  <c r="F440" i="15"/>
  <c r="F441" i="15"/>
  <c r="F442" i="15"/>
  <c r="F443" i="15"/>
  <c r="F444" i="15"/>
  <c r="F445" i="15"/>
  <c r="F446" i="15"/>
  <c r="F447" i="15"/>
  <c r="F448" i="15"/>
  <c r="F449" i="15"/>
  <c r="F450" i="15"/>
  <c r="F451" i="15"/>
  <c r="F452" i="15"/>
  <c r="F453" i="15"/>
  <c r="F454" i="15"/>
  <c r="F455" i="15"/>
  <c r="F456" i="15"/>
  <c r="F457" i="15"/>
  <c r="F458" i="15"/>
  <c r="F459" i="15"/>
  <c r="F460" i="15"/>
  <c r="F461" i="15"/>
  <c r="F462" i="15"/>
  <c r="F463" i="15"/>
  <c r="F464" i="15"/>
  <c r="F465" i="15"/>
  <c r="F466" i="15"/>
  <c r="F467" i="15"/>
  <c r="F468" i="15"/>
  <c r="F469" i="15"/>
  <c r="F470" i="15"/>
  <c r="F471" i="15"/>
  <c r="F472" i="15"/>
  <c r="F473" i="15"/>
  <c r="F474" i="15"/>
  <c r="F475" i="15"/>
  <c r="F476" i="15"/>
  <c r="F477" i="15"/>
  <c r="F478" i="15"/>
  <c r="F479" i="15"/>
  <c r="F480" i="15"/>
  <c r="F481" i="15"/>
  <c r="F482" i="15"/>
  <c r="F483" i="15"/>
  <c r="F484" i="15"/>
  <c r="F485" i="15"/>
  <c r="F486" i="15"/>
  <c r="F487" i="15"/>
  <c r="F488" i="15"/>
  <c r="F489" i="15"/>
  <c r="F490" i="15"/>
  <c r="F491" i="15"/>
  <c r="F492" i="15"/>
  <c r="F493" i="15"/>
  <c r="F494" i="15"/>
  <c r="F495" i="15"/>
  <c r="F496" i="15"/>
  <c r="F497" i="15"/>
  <c r="F498" i="15"/>
  <c r="F499" i="15"/>
  <c r="F500" i="15"/>
  <c r="F501"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E154" i="15"/>
  <c r="E155" i="15"/>
  <c r="E156" i="15"/>
  <c r="E157" i="15"/>
  <c r="E158" i="15"/>
  <c r="E159" i="15"/>
  <c r="E160" i="15"/>
  <c r="E161" i="15"/>
  <c r="E162" i="15"/>
  <c r="E163" i="15"/>
  <c r="E164" i="15"/>
  <c r="E165" i="15"/>
  <c r="E166" i="15"/>
  <c r="E167" i="15"/>
  <c r="E168" i="15"/>
  <c r="E169" i="15"/>
  <c r="E170" i="15"/>
  <c r="E171" i="15"/>
  <c r="E172" i="15"/>
  <c r="E173" i="15"/>
  <c r="E174" i="15"/>
  <c r="E175" i="15"/>
  <c r="E176" i="15"/>
  <c r="E177" i="15"/>
  <c r="E178" i="15"/>
  <c r="E179" i="15"/>
  <c r="E180" i="15"/>
  <c r="E181" i="15"/>
  <c r="E182" i="15"/>
  <c r="E183" i="15"/>
  <c r="E184" i="15"/>
  <c r="E185" i="15"/>
  <c r="E186" i="15"/>
  <c r="E187" i="15"/>
  <c r="E188" i="15"/>
  <c r="E189" i="15"/>
  <c r="E190" i="15"/>
  <c r="E191" i="15"/>
  <c r="E192" i="15"/>
  <c r="E193" i="15"/>
  <c r="E194" i="15"/>
  <c r="E195" i="15"/>
  <c r="E196" i="15"/>
  <c r="E197" i="15"/>
  <c r="E198" i="15"/>
  <c r="E199" i="15"/>
  <c r="E200" i="15"/>
  <c r="E201" i="15"/>
  <c r="E202" i="15"/>
  <c r="E203" i="15"/>
  <c r="E204" i="15"/>
  <c r="E205" i="15"/>
  <c r="E206" i="15"/>
  <c r="E207" i="15"/>
  <c r="E208" i="15"/>
  <c r="E209" i="15"/>
  <c r="E210" i="15"/>
  <c r="E211" i="15"/>
  <c r="E212" i="15"/>
  <c r="E213" i="15"/>
  <c r="E214" i="15"/>
  <c r="E215" i="15"/>
  <c r="E216" i="15"/>
  <c r="E217" i="15"/>
  <c r="E218" i="15"/>
  <c r="E219" i="15"/>
  <c r="E220" i="15"/>
  <c r="E221" i="15"/>
  <c r="E222" i="15"/>
  <c r="E223" i="15"/>
  <c r="E224" i="15"/>
  <c r="E225" i="15"/>
  <c r="E226" i="15"/>
  <c r="E227" i="15"/>
  <c r="E228" i="15"/>
  <c r="E229" i="15"/>
  <c r="E230" i="15"/>
  <c r="E231" i="15"/>
  <c r="E232" i="15"/>
  <c r="E233" i="15"/>
  <c r="E234" i="15"/>
  <c r="E235" i="15"/>
  <c r="E236" i="15"/>
  <c r="E237" i="15"/>
  <c r="E238" i="15"/>
  <c r="E239" i="15"/>
  <c r="E240" i="15"/>
  <c r="E241" i="15"/>
  <c r="E242" i="15"/>
  <c r="E243" i="15"/>
  <c r="E244" i="15"/>
  <c r="E245" i="15"/>
  <c r="E246" i="15"/>
  <c r="E247" i="15"/>
  <c r="E248" i="15"/>
  <c r="E249" i="15"/>
  <c r="E250" i="15"/>
  <c r="E251" i="15"/>
  <c r="E252" i="15"/>
  <c r="E253" i="15"/>
  <c r="E254" i="15"/>
  <c r="E255" i="15"/>
  <c r="E256" i="15"/>
  <c r="E257" i="15"/>
  <c r="E258" i="15"/>
  <c r="E259" i="15"/>
  <c r="E260" i="15"/>
  <c r="E261" i="15"/>
  <c r="E262" i="15"/>
  <c r="E263" i="15"/>
  <c r="E264" i="15"/>
  <c r="E265" i="15"/>
  <c r="E266" i="15"/>
  <c r="E267" i="15"/>
  <c r="E268" i="15"/>
  <c r="E269" i="15"/>
  <c r="E270" i="15"/>
  <c r="E271" i="15"/>
  <c r="E272" i="15"/>
  <c r="E273" i="15"/>
  <c r="E274" i="15"/>
  <c r="E275" i="15"/>
  <c r="E276" i="15"/>
  <c r="E277" i="15"/>
  <c r="E278" i="15"/>
  <c r="E279" i="15"/>
  <c r="E280" i="15"/>
  <c r="E281" i="15"/>
  <c r="E282" i="15"/>
  <c r="E283" i="15"/>
  <c r="E284" i="15"/>
  <c r="E285" i="15"/>
  <c r="E286" i="15"/>
  <c r="E287" i="15"/>
  <c r="E288" i="15"/>
  <c r="E289" i="15"/>
  <c r="E290" i="15"/>
  <c r="E291" i="15"/>
  <c r="E292" i="15"/>
  <c r="E293" i="15"/>
  <c r="E294" i="15"/>
  <c r="E295" i="15"/>
  <c r="E296" i="15"/>
  <c r="E297" i="15"/>
  <c r="E298" i="15"/>
  <c r="E299" i="15"/>
  <c r="E300" i="15"/>
  <c r="E301" i="15"/>
  <c r="E302" i="15"/>
  <c r="E303" i="15"/>
  <c r="E304" i="15"/>
  <c r="E305" i="15"/>
  <c r="E306" i="15"/>
  <c r="E307" i="15"/>
  <c r="E308" i="15"/>
  <c r="E309" i="15"/>
  <c r="E310" i="15"/>
  <c r="E311" i="15"/>
  <c r="E312" i="15"/>
  <c r="E313" i="15"/>
  <c r="E314" i="15"/>
  <c r="E315" i="15"/>
  <c r="E316" i="15"/>
  <c r="E317" i="15"/>
  <c r="E318" i="15"/>
  <c r="E319" i="15"/>
  <c r="E320" i="15"/>
  <c r="E321" i="15"/>
  <c r="E322" i="15"/>
  <c r="E323" i="15"/>
  <c r="E324" i="15"/>
  <c r="E325" i="15"/>
  <c r="E326" i="15"/>
  <c r="E327" i="15"/>
  <c r="E328" i="15"/>
  <c r="E329" i="15"/>
  <c r="E330" i="15"/>
  <c r="E331" i="15"/>
  <c r="E332" i="15"/>
  <c r="E333" i="15"/>
  <c r="E334" i="15"/>
  <c r="E335" i="15"/>
  <c r="E336" i="15"/>
  <c r="E337" i="15"/>
  <c r="E338" i="15"/>
  <c r="E339" i="15"/>
  <c r="E340" i="15"/>
  <c r="E341" i="15"/>
  <c r="E342" i="15"/>
  <c r="E343" i="15"/>
  <c r="E344" i="15"/>
  <c r="E345" i="15"/>
  <c r="E346" i="15"/>
  <c r="E347" i="15"/>
  <c r="E348" i="15"/>
  <c r="E349" i="15"/>
  <c r="E350" i="15"/>
  <c r="E351" i="15"/>
  <c r="E352" i="15"/>
  <c r="E353" i="15"/>
  <c r="E354" i="15"/>
  <c r="E355" i="15"/>
  <c r="E356" i="15"/>
  <c r="E357" i="15"/>
  <c r="E358" i="15"/>
  <c r="E359" i="15"/>
  <c r="E360" i="15"/>
  <c r="E361" i="15"/>
  <c r="E362" i="15"/>
  <c r="E363" i="15"/>
  <c r="E364" i="15"/>
  <c r="E365" i="15"/>
  <c r="E366" i="15"/>
  <c r="E367" i="15"/>
  <c r="E368" i="15"/>
  <c r="E369" i="15"/>
  <c r="E370" i="15"/>
  <c r="E371" i="15"/>
  <c r="E372" i="15"/>
  <c r="E373" i="15"/>
  <c r="E374" i="15"/>
  <c r="E375" i="15"/>
  <c r="E376" i="15"/>
  <c r="E377" i="15"/>
  <c r="E378" i="15"/>
  <c r="E379" i="15"/>
  <c r="E380" i="15"/>
  <c r="E381" i="15"/>
  <c r="E382" i="15"/>
  <c r="E383" i="15"/>
  <c r="E384" i="15"/>
  <c r="E385" i="15"/>
  <c r="E386" i="15"/>
  <c r="E387" i="15"/>
  <c r="E388" i="15"/>
  <c r="E389" i="15"/>
  <c r="E390" i="15"/>
  <c r="E391" i="15"/>
  <c r="E392" i="15"/>
  <c r="E393" i="15"/>
  <c r="E394" i="15"/>
  <c r="E395" i="15"/>
  <c r="E396" i="15"/>
  <c r="E397" i="15"/>
  <c r="E398" i="15"/>
  <c r="E399" i="15"/>
  <c r="E400" i="15"/>
  <c r="E401" i="15"/>
  <c r="E402" i="15"/>
  <c r="E403" i="15"/>
  <c r="E404" i="15"/>
  <c r="E405" i="15"/>
  <c r="E406" i="15"/>
  <c r="E407" i="15"/>
  <c r="E408" i="15"/>
  <c r="E409" i="15"/>
  <c r="E410" i="15"/>
  <c r="E411" i="15"/>
  <c r="E412" i="15"/>
  <c r="E413" i="15"/>
  <c r="E414" i="15"/>
  <c r="E415" i="15"/>
  <c r="E416" i="15"/>
  <c r="E417" i="15"/>
  <c r="E418" i="15"/>
  <c r="E419" i="15"/>
  <c r="E420" i="15"/>
  <c r="E421" i="15"/>
  <c r="E422" i="15"/>
  <c r="E423" i="15"/>
  <c r="E424" i="15"/>
  <c r="E425" i="15"/>
  <c r="E426" i="15"/>
  <c r="E427" i="15"/>
  <c r="E428" i="15"/>
  <c r="E429" i="15"/>
  <c r="E430" i="15"/>
  <c r="E431" i="15"/>
  <c r="E432" i="15"/>
  <c r="E433" i="15"/>
  <c r="E434" i="15"/>
  <c r="E435" i="15"/>
  <c r="E436" i="15"/>
  <c r="E437" i="15"/>
  <c r="E438" i="15"/>
  <c r="E439" i="15"/>
  <c r="E440" i="15"/>
  <c r="E441" i="15"/>
  <c r="E442" i="15"/>
  <c r="E443" i="15"/>
  <c r="E444" i="15"/>
  <c r="E445" i="15"/>
  <c r="E446" i="15"/>
  <c r="E447" i="15"/>
  <c r="E448" i="15"/>
  <c r="E449" i="15"/>
  <c r="E450" i="15"/>
  <c r="E451" i="15"/>
  <c r="E452" i="15"/>
  <c r="E453" i="15"/>
  <c r="E454" i="15"/>
  <c r="E455" i="15"/>
  <c r="E456" i="15"/>
  <c r="E457" i="15"/>
  <c r="E458" i="15"/>
  <c r="E459" i="15"/>
  <c r="E460" i="15"/>
  <c r="E461" i="15"/>
  <c r="E462" i="15"/>
  <c r="E463" i="15"/>
  <c r="E464" i="15"/>
  <c r="E465" i="15"/>
  <c r="E466" i="15"/>
  <c r="E467" i="15"/>
  <c r="E468" i="15"/>
  <c r="E469" i="15"/>
  <c r="E470" i="15"/>
  <c r="E471" i="15"/>
  <c r="E472" i="15"/>
  <c r="E473" i="15"/>
  <c r="E474" i="15"/>
  <c r="E475" i="15"/>
  <c r="E476" i="15"/>
  <c r="E477" i="15"/>
  <c r="E478" i="15"/>
  <c r="E479" i="15"/>
  <c r="E480" i="15"/>
  <c r="E481" i="15"/>
  <c r="E482" i="15"/>
  <c r="E483" i="15"/>
  <c r="E484" i="15"/>
  <c r="E485" i="15"/>
  <c r="E486" i="15"/>
  <c r="E487" i="15"/>
  <c r="E488" i="15"/>
  <c r="E489" i="15"/>
  <c r="E490" i="15"/>
  <c r="E491" i="15"/>
  <c r="E492" i="15"/>
  <c r="E493" i="15"/>
  <c r="E494" i="15"/>
  <c r="E495" i="15"/>
  <c r="E496" i="15"/>
  <c r="E497" i="15"/>
  <c r="E498" i="15"/>
  <c r="E499" i="15"/>
  <c r="E500" i="15"/>
  <c r="E501" i="15"/>
  <c r="D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65" i="15"/>
  <c r="D366" i="15"/>
  <c r="D367" i="15"/>
  <c r="D368" i="15"/>
  <c r="D369" i="15"/>
  <c r="D370" i="15"/>
  <c r="D371" i="15"/>
  <c r="D372" i="15"/>
  <c r="D373" i="15"/>
  <c r="D374" i="15"/>
  <c r="D375" i="15"/>
  <c r="D376" i="15"/>
  <c r="D377" i="15"/>
  <c r="D378" i="15"/>
  <c r="D379"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450"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N302" i="15" s="1"/>
  <c r="C303" i="15"/>
  <c r="N303" i="15" s="1"/>
  <c r="C304" i="15"/>
  <c r="N304" i="15" s="1"/>
  <c r="C305" i="15"/>
  <c r="N305" i="15" s="1"/>
  <c r="C306" i="15"/>
  <c r="M306" i="15" s="1"/>
  <c r="C307" i="15"/>
  <c r="M307" i="15" s="1"/>
  <c r="C308" i="15"/>
  <c r="C309" i="15"/>
  <c r="M309" i="15" s="1"/>
  <c r="C310" i="15"/>
  <c r="C311" i="15"/>
  <c r="N311" i="15" s="1"/>
  <c r="C312" i="15"/>
  <c r="N312" i="15" s="1"/>
  <c r="C313" i="15"/>
  <c r="N313" i="15" s="1"/>
  <c r="C314" i="15"/>
  <c r="N314" i="15" s="1"/>
  <c r="C315" i="15"/>
  <c r="M315" i="15" s="1"/>
  <c r="C316" i="15"/>
  <c r="M316" i="15" s="1"/>
  <c r="C317" i="15"/>
  <c r="M317" i="15" s="1"/>
  <c r="C318" i="15"/>
  <c r="M318" i="15" s="1"/>
  <c r="C319" i="15"/>
  <c r="M319" i="15" s="1"/>
  <c r="C320" i="15"/>
  <c r="C321" i="15"/>
  <c r="M321" i="15" s="1"/>
  <c r="C322" i="15"/>
  <c r="M322" i="15" s="1"/>
  <c r="C323" i="15"/>
  <c r="N323" i="15" s="1"/>
  <c r="C324" i="15"/>
  <c r="N324" i="15" s="1"/>
  <c r="C325" i="15"/>
  <c r="N325" i="15" s="1"/>
  <c r="C326" i="15"/>
  <c r="N326" i="15" s="1"/>
  <c r="C327" i="15"/>
  <c r="N327" i="15" s="1"/>
  <c r="C328" i="15"/>
  <c r="N328" i="15" s="1"/>
  <c r="C329" i="15"/>
  <c r="M329" i="15" s="1"/>
  <c r="C330" i="15"/>
  <c r="M330" i="15" s="1"/>
  <c r="C331" i="15"/>
  <c r="M331" i="15" s="1"/>
  <c r="C332" i="15"/>
  <c r="C333" i="15"/>
  <c r="M333" i="15" s="1"/>
  <c r="C334" i="15"/>
  <c r="M334" i="15" s="1"/>
  <c r="C335" i="15"/>
  <c r="M335" i="15" s="1"/>
  <c r="C336" i="15"/>
  <c r="N336" i="15" s="1"/>
  <c r="C337" i="15"/>
  <c r="N337" i="15" s="1"/>
  <c r="C338" i="15"/>
  <c r="N338" i="15" s="1"/>
  <c r="C339" i="15"/>
  <c r="N339" i="15" s="1"/>
  <c r="C340" i="15"/>
  <c r="N340" i="15" s="1"/>
  <c r="C341" i="15"/>
  <c r="C342" i="15"/>
  <c r="N342" i="15" s="1"/>
  <c r="C343" i="15"/>
  <c r="M343" i="15" s="1"/>
  <c r="C344" i="15"/>
  <c r="C345" i="15"/>
  <c r="M345" i="15" s="1"/>
  <c r="C346" i="15"/>
  <c r="M346" i="15" s="1"/>
  <c r="C347" i="15"/>
  <c r="M347" i="15" s="1"/>
  <c r="C348" i="15"/>
  <c r="M348" i="15" s="1"/>
  <c r="C349" i="15"/>
  <c r="N349" i="15" s="1"/>
  <c r="C350" i="15"/>
  <c r="N350" i="15" s="1"/>
  <c r="C351" i="15"/>
  <c r="N351" i="15" s="1"/>
  <c r="C352" i="15"/>
  <c r="N352" i="15" s="1"/>
  <c r="C353" i="15"/>
  <c r="N353" i="15" s="1"/>
  <c r="C354" i="15"/>
  <c r="N354" i="15" s="1"/>
  <c r="C355" i="15"/>
  <c r="N355" i="15" s="1"/>
  <c r="C356" i="15"/>
  <c r="C357" i="15"/>
  <c r="M357" i="15" s="1"/>
  <c r="C358" i="15"/>
  <c r="M358" i="15" s="1"/>
  <c r="C359" i="15"/>
  <c r="C360" i="15"/>
  <c r="M360" i="15" s="1"/>
  <c r="C361" i="15"/>
  <c r="N361" i="15" s="1"/>
  <c r="C362" i="15"/>
  <c r="N362" i="15" s="1"/>
  <c r="C363" i="15"/>
  <c r="N363" i="15" s="1"/>
  <c r="C364" i="15"/>
  <c r="N364" i="15" s="1"/>
  <c r="C365" i="15"/>
  <c r="N365" i="15" s="1"/>
  <c r="C366" i="15"/>
  <c r="N366" i="15" s="1"/>
  <c r="C367" i="15"/>
  <c r="M367" i="15" s="1"/>
  <c r="C368" i="15"/>
  <c r="C369" i="15"/>
  <c r="M369" i="15" s="1"/>
  <c r="C370" i="15"/>
  <c r="M370" i="15" s="1"/>
  <c r="C371" i="15"/>
  <c r="N371" i="15" s="1"/>
  <c r="C372" i="15"/>
  <c r="N372" i="15" s="1"/>
  <c r="C373" i="15"/>
  <c r="N373" i="15" s="1"/>
  <c r="C374" i="15"/>
  <c r="N374" i="15" s="1"/>
  <c r="C375" i="15"/>
  <c r="N375" i="15" s="1"/>
  <c r="C376" i="15"/>
  <c r="N376" i="15" s="1"/>
  <c r="C377" i="15"/>
  <c r="N377" i="15" s="1"/>
  <c r="C378" i="15"/>
  <c r="N378" i="15" s="1"/>
  <c r="C379" i="15"/>
  <c r="N379" i="15" s="1"/>
  <c r="C380" i="15"/>
  <c r="C381" i="15"/>
  <c r="M381" i="15" s="1"/>
  <c r="C382" i="15"/>
  <c r="M382" i="15" s="1"/>
  <c r="C383" i="15"/>
  <c r="M383" i="15" s="1"/>
  <c r="C384" i="15"/>
  <c r="M384" i="15" s="1"/>
  <c r="C385" i="15"/>
  <c r="M385" i="15" s="1"/>
  <c r="C386" i="15"/>
  <c r="M386" i="15" s="1"/>
  <c r="C387" i="15"/>
  <c r="N387" i="15" s="1"/>
  <c r="C388" i="15"/>
  <c r="N388" i="15" s="1"/>
  <c r="C389" i="15"/>
  <c r="N389" i="15" s="1"/>
  <c r="C390" i="15"/>
  <c r="N390" i="15" s="1"/>
  <c r="C391" i="15"/>
  <c r="N391" i="15" s="1"/>
  <c r="C392" i="15"/>
  <c r="C393" i="15"/>
  <c r="C394" i="15"/>
  <c r="M394" i="15" s="1"/>
  <c r="C395" i="15"/>
  <c r="M395" i="15" s="1"/>
  <c r="C396" i="15"/>
  <c r="M396" i="15" s="1"/>
  <c r="C397" i="15"/>
  <c r="M397" i="15" s="1"/>
  <c r="C398" i="15"/>
  <c r="M398" i="15" s="1"/>
  <c r="C399" i="15"/>
  <c r="M399" i="15" s="1"/>
  <c r="C400" i="15"/>
  <c r="M400" i="15" s="1"/>
  <c r="C401" i="15"/>
  <c r="N401" i="15" s="1"/>
  <c r="C402" i="15"/>
  <c r="N402" i="15" s="1"/>
  <c r="C403" i="15"/>
  <c r="N403" i="15" s="1"/>
  <c r="C404" i="15"/>
  <c r="C405" i="15"/>
  <c r="C406" i="15"/>
  <c r="C407" i="15"/>
  <c r="C408" i="15"/>
  <c r="M408" i="15" s="1"/>
  <c r="C409" i="15"/>
  <c r="N409" i="15" s="1"/>
  <c r="C410" i="15"/>
  <c r="M410" i="15" s="1"/>
  <c r="C411" i="15"/>
  <c r="N411" i="15" s="1"/>
  <c r="C412" i="15"/>
  <c r="N412" i="15" s="1"/>
  <c r="C413" i="15"/>
  <c r="N413" i="15" s="1"/>
  <c r="C414" i="15"/>
  <c r="N414" i="15" s="1"/>
  <c r="C415" i="15"/>
  <c r="N415" i="15" s="1"/>
  <c r="C416" i="15"/>
  <c r="C417" i="15"/>
  <c r="C418" i="15"/>
  <c r="C419" i="15"/>
  <c r="N419" i="15" s="1"/>
  <c r="C420" i="15"/>
  <c r="N420" i="15" s="1"/>
  <c r="C421" i="15"/>
  <c r="N421" i="15" s="1"/>
  <c r="C422" i="15"/>
  <c r="N422" i="15" s="1"/>
  <c r="C423" i="15"/>
  <c r="N423" i="15" s="1"/>
  <c r="C424" i="15"/>
  <c r="N424" i="15" s="1"/>
  <c r="C425" i="15"/>
  <c r="M425" i="15" s="1"/>
  <c r="C426" i="15"/>
  <c r="M426" i="15" s="1"/>
  <c r="C427" i="15"/>
  <c r="N427" i="15" s="1"/>
  <c r="C428" i="15"/>
  <c r="C429" i="15"/>
  <c r="C430" i="15"/>
  <c r="C431" i="15"/>
  <c r="N431" i="15" s="1"/>
  <c r="C432" i="15"/>
  <c r="N432" i="15" s="1"/>
  <c r="C433" i="15"/>
  <c r="M433" i="15" s="1"/>
  <c r="C434" i="15"/>
  <c r="M434" i="15" s="1"/>
  <c r="C435" i="15"/>
  <c r="N435" i="15" s="1"/>
  <c r="C436" i="15"/>
  <c r="N436" i="15" s="1"/>
  <c r="C437" i="15"/>
  <c r="N437" i="15" s="1"/>
  <c r="C438" i="15"/>
  <c r="N438" i="15" s="1"/>
  <c r="C439" i="15"/>
  <c r="M439" i="15" s="1"/>
  <c r="C440" i="15"/>
  <c r="C441" i="15"/>
  <c r="C442" i="15"/>
  <c r="C443" i="15"/>
  <c r="N443" i="15" s="1"/>
  <c r="C444" i="15"/>
  <c r="N444" i="15" s="1"/>
  <c r="C445" i="15"/>
  <c r="N445" i="15" s="1"/>
  <c r="C446" i="15"/>
  <c r="M446" i="15" s="1"/>
  <c r="C447" i="15"/>
  <c r="M447" i="15" s="1"/>
  <c r="C448" i="15"/>
  <c r="M448" i="15" s="1"/>
  <c r="C449" i="15"/>
  <c r="M449" i="15" s="1"/>
  <c r="C450" i="15"/>
  <c r="M450" i="15" s="1"/>
  <c r="C451" i="15"/>
  <c r="M451" i="15" s="1"/>
  <c r="C452" i="15"/>
  <c r="C453" i="15"/>
  <c r="M453" i="15" s="1"/>
  <c r="C454" i="15"/>
  <c r="C455" i="15"/>
  <c r="N455" i="15" s="1"/>
  <c r="C456" i="15"/>
  <c r="N456" i="15" s="1"/>
  <c r="C457" i="15"/>
  <c r="N457" i="15" s="1"/>
  <c r="C458" i="15"/>
  <c r="N458" i="15" s="1"/>
  <c r="C459" i="15"/>
  <c r="N459" i="15" s="1"/>
  <c r="C460" i="15"/>
  <c r="N460" i="15" s="1"/>
  <c r="C461" i="15"/>
  <c r="N461" i="15" s="1"/>
  <c r="C462" i="15"/>
  <c r="N462" i="15" s="1"/>
  <c r="C463" i="15"/>
  <c r="N463" i="15" s="1"/>
  <c r="C464" i="15"/>
  <c r="C465" i="15"/>
  <c r="M465" i="15" s="1"/>
  <c r="C466" i="15"/>
  <c r="M466" i="15" s="1"/>
  <c r="C467" i="15"/>
  <c r="N467" i="15" s="1"/>
  <c r="C468" i="15"/>
  <c r="N468" i="15" s="1"/>
  <c r="C469" i="15"/>
  <c r="N469" i="15" s="1"/>
  <c r="C470" i="15"/>
  <c r="N470" i="15" s="1"/>
  <c r="C471" i="15"/>
  <c r="N471" i="15" s="1"/>
  <c r="C472" i="15"/>
  <c r="N472" i="15" s="1"/>
  <c r="C473" i="15"/>
  <c r="M473" i="15" s="1"/>
  <c r="C474" i="15"/>
  <c r="M474" i="15" s="1"/>
  <c r="C475" i="15"/>
  <c r="M475" i="15" s="1"/>
  <c r="C476" i="15"/>
  <c r="C477" i="15"/>
  <c r="M477" i="15" s="1"/>
  <c r="C478" i="15"/>
  <c r="M478" i="15" s="1"/>
  <c r="C479" i="15"/>
  <c r="N479" i="15" s="1"/>
  <c r="C480" i="15"/>
  <c r="N480" i="15" s="1"/>
  <c r="C481" i="15"/>
  <c r="N481" i="15" s="1"/>
  <c r="C482" i="15"/>
  <c r="N482" i="15" s="1"/>
  <c r="C483" i="15"/>
  <c r="N483" i="15" s="1"/>
  <c r="C484" i="15"/>
  <c r="N484" i="15" s="1"/>
  <c r="C485" i="15"/>
  <c r="N485" i="15" s="1"/>
  <c r="C486" i="15"/>
  <c r="N486" i="15" s="1"/>
  <c r="C487" i="15"/>
  <c r="M487" i="15" s="1"/>
  <c r="C488" i="15"/>
  <c r="C489" i="15"/>
  <c r="M489" i="15" s="1"/>
  <c r="C490" i="15"/>
  <c r="M490" i="15" s="1"/>
  <c r="C491" i="15"/>
  <c r="M491" i="15" s="1"/>
  <c r="C492" i="15"/>
  <c r="M492" i="15" s="1"/>
  <c r="C493" i="15"/>
  <c r="N493" i="15" s="1"/>
  <c r="C494" i="15"/>
  <c r="N494" i="15" s="1"/>
  <c r="C495" i="15"/>
  <c r="N495" i="15" s="1"/>
  <c r="C496" i="15"/>
  <c r="N496" i="15" s="1"/>
  <c r="C497" i="15"/>
  <c r="N497" i="15" s="1"/>
  <c r="C498" i="15"/>
  <c r="M498" i="15" s="1"/>
  <c r="C499" i="15"/>
  <c r="M499" i="15" s="1"/>
  <c r="C500" i="15"/>
  <c r="C501" i="15"/>
  <c r="M501" i="15" s="1"/>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154" i="15"/>
  <c r="B155" i="15"/>
  <c r="B156" i="15"/>
  <c r="B157" i="15"/>
  <c r="B158" i="15"/>
  <c r="B159" i="15"/>
  <c r="B160" i="15"/>
  <c r="B161" i="15"/>
  <c r="B162" i="15"/>
  <c r="B163" i="15"/>
  <c r="B164" i="15"/>
  <c r="B165" i="15"/>
  <c r="B166" i="15"/>
  <c r="B167" i="15"/>
  <c r="B168" i="15"/>
  <c r="B169" i="15"/>
  <c r="B170" i="15"/>
  <c r="B171" i="15"/>
  <c r="B172" i="15"/>
  <c r="B173" i="15"/>
  <c r="B174" i="15"/>
  <c r="B175" i="15"/>
  <c r="B176" i="15"/>
  <c r="B177" i="15"/>
  <c r="B178" i="15"/>
  <c r="B179" i="15"/>
  <c r="B180" i="15"/>
  <c r="B181" i="15"/>
  <c r="B182" i="15"/>
  <c r="B183" i="15"/>
  <c r="B184" i="15"/>
  <c r="B185" i="15"/>
  <c r="B186" i="15"/>
  <c r="B187" i="15"/>
  <c r="B188" i="15"/>
  <c r="B189" i="15"/>
  <c r="B190" i="15"/>
  <c r="B191" i="15"/>
  <c r="B192" i="15"/>
  <c r="B193" i="15"/>
  <c r="B194" i="15"/>
  <c r="B195" i="15"/>
  <c r="B196" i="15"/>
  <c r="B197" i="15"/>
  <c r="B198" i="15"/>
  <c r="B199" i="15"/>
  <c r="B200" i="15"/>
  <c r="B201" i="15"/>
  <c r="B202" i="15"/>
  <c r="B203" i="15"/>
  <c r="B204" i="15"/>
  <c r="B205" i="15"/>
  <c r="B206" i="15"/>
  <c r="B207" i="15"/>
  <c r="B208" i="15"/>
  <c r="B209" i="15"/>
  <c r="B210" i="15"/>
  <c r="B211" i="15"/>
  <c r="B212" i="15"/>
  <c r="B213" i="15"/>
  <c r="B214" i="15"/>
  <c r="B215" i="15"/>
  <c r="B216" i="15"/>
  <c r="B217" i="15"/>
  <c r="B218" i="15"/>
  <c r="B219" i="15"/>
  <c r="B220" i="15"/>
  <c r="B221" i="15"/>
  <c r="B222" i="15"/>
  <c r="B223" i="15"/>
  <c r="B224" i="15"/>
  <c r="B225" i="15"/>
  <c r="B226" i="15"/>
  <c r="B227" i="15"/>
  <c r="B228" i="15"/>
  <c r="B229" i="15"/>
  <c r="B230" i="15"/>
  <c r="B231" i="15"/>
  <c r="B232" i="15"/>
  <c r="B233" i="15"/>
  <c r="B234" i="15"/>
  <c r="B235" i="15"/>
  <c r="B236" i="15"/>
  <c r="B237" i="15"/>
  <c r="B238" i="15"/>
  <c r="B239" i="15"/>
  <c r="B240" i="15"/>
  <c r="B241" i="15"/>
  <c r="B242" i="15"/>
  <c r="B243" i="15"/>
  <c r="B244" i="15"/>
  <c r="B245" i="15"/>
  <c r="B246" i="15"/>
  <c r="B247" i="15"/>
  <c r="B248" i="15"/>
  <c r="B249" i="15"/>
  <c r="B250" i="15"/>
  <c r="B251" i="15"/>
  <c r="B252" i="15"/>
  <c r="B253" i="15"/>
  <c r="B254" i="15"/>
  <c r="B255" i="15"/>
  <c r="B256" i="15"/>
  <c r="B257" i="15"/>
  <c r="B258" i="15"/>
  <c r="B259" i="15"/>
  <c r="B260" i="15"/>
  <c r="B261" i="15"/>
  <c r="B262" i="15"/>
  <c r="B263" i="15"/>
  <c r="B264" i="15"/>
  <c r="B265" i="15"/>
  <c r="B266" i="15"/>
  <c r="B267" i="15"/>
  <c r="B268" i="15"/>
  <c r="B269" i="15"/>
  <c r="B270" i="15"/>
  <c r="B271" i="15"/>
  <c r="B272" i="15"/>
  <c r="B273" i="15"/>
  <c r="B274" i="15"/>
  <c r="B275" i="15"/>
  <c r="B276" i="15"/>
  <c r="B277" i="15"/>
  <c r="B278" i="15"/>
  <c r="B279" i="15"/>
  <c r="B280" i="15"/>
  <c r="B281" i="15"/>
  <c r="B282" i="15"/>
  <c r="B283" i="15"/>
  <c r="B284" i="15"/>
  <c r="B285" i="15"/>
  <c r="B286" i="15"/>
  <c r="B287" i="15"/>
  <c r="B288" i="15"/>
  <c r="B289" i="15"/>
  <c r="B290" i="15"/>
  <c r="B291" i="15"/>
  <c r="B292" i="15"/>
  <c r="B293" i="15"/>
  <c r="B294" i="15"/>
  <c r="B295" i="15"/>
  <c r="B296" i="15"/>
  <c r="B297" i="15"/>
  <c r="B298" i="15"/>
  <c r="B299" i="15"/>
  <c r="B300" i="15"/>
  <c r="B301" i="15"/>
  <c r="B302" i="15"/>
  <c r="B303" i="15"/>
  <c r="B304" i="15"/>
  <c r="B305" i="15"/>
  <c r="B306" i="15"/>
  <c r="B307" i="15"/>
  <c r="B308" i="15"/>
  <c r="B309" i="15"/>
  <c r="B310" i="15"/>
  <c r="B311" i="15"/>
  <c r="B312" i="15"/>
  <c r="B313" i="15"/>
  <c r="B314" i="15"/>
  <c r="B315" i="15"/>
  <c r="B316" i="15"/>
  <c r="B317" i="15"/>
  <c r="B318" i="15"/>
  <c r="B319" i="15"/>
  <c r="B320" i="15"/>
  <c r="B321" i="15"/>
  <c r="B322" i="15"/>
  <c r="B323" i="15"/>
  <c r="B324" i="15"/>
  <c r="B325" i="15"/>
  <c r="B326" i="15"/>
  <c r="B327" i="15"/>
  <c r="B328" i="15"/>
  <c r="B329" i="15"/>
  <c r="B330" i="15"/>
  <c r="B331" i="15"/>
  <c r="B332" i="15"/>
  <c r="B333" i="15"/>
  <c r="B334" i="15"/>
  <c r="B335" i="15"/>
  <c r="B336" i="15"/>
  <c r="B337" i="15"/>
  <c r="B338" i="15"/>
  <c r="B339" i="15"/>
  <c r="B340" i="15"/>
  <c r="B341" i="15"/>
  <c r="B342" i="15"/>
  <c r="B343" i="15"/>
  <c r="B344" i="15"/>
  <c r="B345" i="15"/>
  <c r="B346" i="15"/>
  <c r="B347" i="15"/>
  <c r="B348" i="15"/>
  <c r="B349" i="15"/>
  <c r="B350" i="15"/>
  <c r="B351" i="15"/>
  <c r="B352" i="15"/>
  <c r="B353" i="15"/>
  <c r="B354" i="15"/>
  <c r="B355" i="15"/>
  <c r="B356" i="15"/>
  <c r="B357" i="15"/>
  <c r="B358" i="15"/>
  <c r="B359" i="15"/>
  <c r="B360" i="15"/>
  <c r="B361" i="15"/>
  <c r="B362" i="15"/>
  <c r="B363" i="15"/>
  <c r="B364" i="15"/>
  <c r="B365" i="15"/>
  <c r="B366" i="15"/>
  <c r="B367" i="15"/>
  <c r="B368" i="15"/>
  <c r="B369" i="15"/>
  <c r="B370" i="15"/>
  <c r="B371" i="15"/>
  <c r="B372" i="15"/>
  <c r="B373" i="15"/>
  <c r="B374" i="15"/>
  <c r="B375" i="15"/>
  <c r="B376" i="15"/>
  <c r="B377" i="15"/>
  <c r="B378" i="15"/>
  <c r="B379" i="15"/>
  <c r="B380" i="15"/>
  <c r="B381" i="15"/>
  <c r="B382" i="15"/>
  <c r="B383" i="15"/>
  <c r="B384" i="15"/>
  <c r="B385" i="15"/>
  <c r="B386" i="15"/>
  <c r="B387" i="15"/>
  <c r="B388" i="15"/>
  <c r="B389" i="15"/>
  <c r="B390" i="15"/>
  <c r="B391" i="15"/>
  <c r="B392" i="15"/>
  <c r="B393" i="15"/>
  <c r="B394" i="15"/>
  <c r="B395" i="15"/>
  <c r="B396" i="15"/>
  <c r="B397" i="15"/>
  <c r="B398" i="15"/>
  <c r="B399" i="15"/>
  <c r="B400" i="15"/>
  <c r="B401" i="15"/>
  <c r="B402" i="15"/>
  <c r="B403" i="15"/>
  <c r="B404" i="15"/>
  <c r="B405" i="15"/>
  <c r="B406" i="15"/>
  <c r="B407" i="15"/>
  <c r="B408" i="15"/>
  <c r="B409" i="15"/>
  <c r="B410" i="15"/>
  <c r="B411" i="15"/>
  <c r="B412" i="15"/>
  <c r="B413" i="15"/>
  <c r="B414" i="15"/>
  <c r="B415" i="15"/>
  <c r="B416" i="15"/>
  <c r="B417" i="15"/>
  <c r="B418" i="15"/>
  <c r="B419" i="15"/>
  <c r="B420" i="15"/>
  <c r="B421" i="15"/>
  <c r="B422" i="15"/>
  <c r="B423" i="15"/>
  <c r="B424" i="15"/>
  <c r="B425" i="15"/>
  <c r="B426" i="15"/>
  <c r="B427" i="15"/>
  <c r="B428" i="15"/>
  <c r="B429" i="15"/>
  <c r="B430" i="15"/>
  <c r="B431" i="15"/>
  <c r="B432" i="15"/>
  <c r="B433" i="15"/>
  <c r="B434" i="15"/>
  <c r="B435" i="15"/>
  <c r="B436" i="15"/>
  <c r="B437" i="15"/>
  <c r="B438" i="15"/>
  <c r="B439" i="15"/>
  <c r="B440" i="15"/>
  <c r="B441" i="15"/>
  <c r="B442" i="15"/>
  <c r="B443" i="15"/>
  <c r="B444" i="15"/>
  <c r="B445" i="15"/>
  <c r="B446" i="15"/>
  <c r="B447" i="15"/>
  <c r="B448" i="15"/>
  <c r="B449" i="15"/>
  <c r="B450" i="15"/>
  <c r="B451" i="15"/>
  <c r="B452" i="15"/>
  <c r="B453" i="15"/>
  <c r="B454" i="15"/>
  <c r="B455" i="15"/>
  <c r="B456" i="15"/>
  <c r="B457" i="15"/>
  <c r="B458" i="15"/>
  <c r="B459" i="15"/>
  <c r="B460" i="15"/>
  <c r="B461" i="15"/>
  <c r="B462" i="15"/>
  <c r="B463" i="15"/>
  <c r="B464" i="15"/>
  <c r="B465" i="15"/>
  <c r="B466" i="15"/>
  <c r="B467" i="15"/>
  <c r="B468" i="15"/>
  <c r="B469" i="15"/>
  <c r="B470" i="15"/>
  <c r="B471" i="15"/>
  <c r="B472" i="15"/>
  <c r="B473" i="15"/>
  <c r="B474" i="15"/>
  <c r="B475" i="15"/>
  <c r="B476" i="15"/>
  <c r="B477" i="15"/>
  <c r="B478" i="15"/>
  <c r="B479" i="15"/>
  <c r="B480" i="15"/>
  <c r="B481" i="15"/>
  <c r="B482" i="15"/>
  <c r="B483" i="15"/>
  <c r="B484" i="15"/>
  <c r="B485" i="15"/>
  <c r="B486" i="15"/>
  <c r="B487" i="15"/>
  <c r="B488" i="15"/>
  <c r="B489" i="15"/>
  <c r="B490" i="15"/>
  <c r="B491" i="15"/>
  <c r="B492" i="15"/>
  <c r="B493" i="15"/>
  <c r="B494" i="15"/>
  <c r="B495" i="15"/>
  <c r="B496" i="15"/>
  <c r="B497" i="15"/>
  <c r="B498" i="15"/>
  <c r="B499" i="15"/>
  <c r="B500" i="15"/>
  <c r="B501" i="15"/>
  <c r="A501" i="15"/>
  <c r="A3" i="15"/>
  <c r="A4" i="15"/>
  <c r="A5" i="15"/>
  <c r="A6"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46" i="15"/>
  <c r="A47" i="15"/>
  <c r="A48" i="15"/>
  <c r="A49" i="15"/>
  <c r="A50" i="15"/>
  <c r="A51" i="15"/>
  <c r="A52" i="15"/>
  <c r="A53" i="15"/>
  <c r="A54" i="15"/>
  <c r="A55" i="15"/>
  <c r="A56" i="15"/>
  <c r="A57" i="15"/>
  <c r="A58" i="15"/>
  <c r="A59" i="15"/>
  <c r="A60" i="15"/>
  <c r="A61" i="15"/>
  <c r="A62" i="15"/>
  <c r="A63" i="15"/>
  <c r="A64" i="15"/>
  <c r="A65" i="15"/>
  <c r="A66" i="15"/>
  <c r="A67" i="15"/>
  <c r="A68" i="15"/>
  <c r="A69" i="15"/>
  <c r="A70" i="15"/>
  <c r="A71" i="15"/>
  <c r="A72" i="15"/>
  <c r="A73" i="15"/>
  <c r="A74" i="15"/>
  <c r="A75" i="15"/>
  <c r="A76" i="15"/>
  <c r="A77" i="15"/>
  <c r="A78" i="15"/>
  <c r="A79" i="15"/>
  <c r="A80" i="15"/>
  <c r="A81" i="15"/>
  <c r="A82" i="15"/>
  <c r="A83" i="15"/>
  <c r="A84" i="15"/>
  <c r="A85" i="15"/>
  <c r="A86" i="15"/>
  <c r="A87" i="15"/>
  <c r="A88" i="15"/>
  <c r="A89" i="15"/>
  <c r="A90" i="15"/>
  <c r="A91" i="15"/>
  <c r="A92" i="15"/>
  <c r="A93" i="15"/>
  <c r="A94" i="15"/>
  <c r="A95" i="15"/>
  <c r="A96" i="15"/>
  <c r="A97" i="15"/>
  <c r="A98" i="15"/>
  <c r="A99" i="15"/>
  <c r="A100" i="15"/>
  <c r="A101" i="15"/>
  <c r="A102" i="15"/>
  <c r="A103" i="15"/>
  <c r="A104" i="15"/>
  <c r="A105" i="15"/>
  <c r="A106" i="15"/>
  <c r="A107" i="15"/>
  <c r="A108" i="15"/>
  <c r="A109" i="15"/>
  <c r="A110" i="15"/>
  <c r="A111" i="15"/>
  <c r="A112" i="15"/>
  <c r="A113" i="15"/>
  <c r="A114" i="15"/>
  <c r="A115" i="15"/>
  <c r="A116" i="15"/>
  <c r="A117" i="15"/>
  <c r="A118" i="15"/>
  <c r="A119" i="15"/>
  <c r="A120" i="15"/>
  <c r="A121" i="15"/>
  <c r="A122" i="15"/>
  <c r="A123" i="15"/>
  <c r="A124" i="15"/>
  <c r="A125" i="15"/>
  <c r="A126" i="15"/>
  <c r="A127" i="15"/>
  <c r="A128" i="15"/>
  <c r="A129" i="15"/>
  <c r="A130" i="15"/>
  <c r="A131" i="15"/>
  <c r="A132" i="15"/>
  <c r="A133" i="15"/>
  <c r="A134" i="15"/>
  <c r="A135" i="15"/>
  <c r="A136" i="15"/>
  <c r="A137" i="15"/>
  <c r="A138" i="15"/>
  <c r="A139" i="15"/>
  <c r="A140" i="15"/>
  <c r="A141" i="15"/>
  <c r="A142" i="15"/>
  <c r="A143" i="15"/>
  <c r="A144" i="15"/>
  <c r="A145" i="15"/>
  <c r="A146" i="15"/>
  <c r="A147" i="15"/>
  <c r="A148" i="15"/>
  <c r="A149" i="15"/>
  <c r="A150" i="15"/>
  <c r="A151" i="15"/>
  <c r="A152" i="15"/>
  <c r="A153" i="15"/>
  <c r="A154" i="15"/>
  <c r="A155" i="15"/>
  <c r="A156" i="15"/>
  <c r="A157" i="15"/>
  <c r="A158" i="15"/>
  <c r="A159" i="15"/>
  <c r="A160" i="15"/>
  <c r="A161" i="15"/>
  <c r="A162" i="15"/>
  <c r="A163" i="15"/>
  <c r="A164" i="15"/>
  <c r="A165" i="15"/>
  <c r="A166" i="15"/>
  <c r="A167" i="15"/>
  <c r="A168" i="15"/>
  <c r="A169" i="15"/>
  <c r="A170" i="15"/>
  <c r="A171" i="15"/>
  <c r="A172" i="15"/>
  <c r="A173" i="15"/>
  <c r="A174" i="15"/>
  <c r="A175" i="15"/>
  <c r="A176" i="15"/>
  <c r="A177" i="15"/>
  <c r="A178" i="15"/>
  <c r="A179" i="15"/>
  <c r="A180" i="15"/>
  <c r="A181" i="15"/>
  <c r="A182" i="15"/>
  <c r="A183" i="15"/>
  <c r="A184" i="15"/>
  <c r="A185" i="15"/>
  <c r="A186" i="15"/>
  <c r="A187" i="15"/>
  <c r="A188" i="15"/>
  <c r="A189" i="15"/>
  <c r="A190" i="15"/>
  <c r="A191" i="15"/>
  <c r="A192" i="15"/>
  <c r="A193" i="15"/>
  <c r="A194" i="15"/>
  <c r="A195" i="15"/>
  <c r="A196" i="15"/>
  <c r="A197" i="15"/>
  <c r="A198" i="15"/>
  <c r="A199" i="15"/>
  <c r="A200" i="15"/>
  <c r="A201" i="15"/>
  <c r="A202" i="15"/>
  <c r="A203" i="15"/>
  <c r="A204" i="15"/>
  <c r="A205" i="15"/>
  <c r="A206" i="15"/>
  <c r="A207" i="15"/>
  <c r="A208" i="15"/>
  <c r="A209" i="15"/>
  <c r="A210" i="15"/>
  <c r="A211" i="15"/>
  <c r="A212" i="15"/>
  <c r="A213" i="15"/>
  <c r="A214" i="15"/>
  <c r="A215" i="15"/>
  <c r="A216" i="15"/>
  <c r="A217" i="15"/>
  <c r="A218" i="15"/>
  <c r="A219" i="15"/>
  <c r="A220" i="15"/>
  <c r="A221" i="15"/>
  <c r="A222" i="15"/>
  <c r="A223" i="15"/>
  <c r="A224" i="15"/>
  <c r="A225" i="15"/>
  <c r="A226" i="15"/>
  <c r="A227" i="15"/>
  <c r="A228" i="15"/>
  <c r="A229" i="15"/>
  <c r="A230" i="15"/>
  <c r="A231" i="15"/>
  <c r="A232" i="15"/>
  <c r="A233" i="15"/>
  <c r="A234" i="15"/>
  <c r="A235" i="15"/>
  <c r="A236" i="15"/>
  <c r="A237" i="15"/>
  <c r="A238" i="15"/>
  <c r="A239" i="15"/>
  <c r="A240" i="15"/>
  <c r="A241" i="15"/>
  <c r="A242" i="15"/>
  <c r="A243" i="15"/>
  <c r="A244" i="15"/>
  <c r="A245" i="15"/>
  <c r="A246" i="15"/>
  <c r="A247" i="15"/>
  <c r="A248" i="15"/>
  <c r="A249" i="15"/>
  <c r="A250" i="15"/>
  <c r="A251" i="15"/>
  <c r="A252" i="15"/>
  <c r="A253" i="15"/>
  <c r="A254" i="15"/>
  <c r="A255" i="15"/>
  <c r="A256" i="15"/>
  <c r="A257" i="15"/>
  <c r="A258" i="15"/>
  <c r="A259" i="15"/>
  <c r="A260" i="15"/>
  <c r="A261" i="15"/>
  <c r="A262" i="15"/>
  <c r="A263" i="15"/>
  <c r="A264" i="15"/>
  <c r="A265" i="15"/>
  <c r="A266" i="15"/>
  <c r="A267" i="15"/>
  <c r="A268" i="15"/>
  <c r="A269" i="15"/>
  <c r="A270" i="15"/>
  <c r="A271" i="15"/>
  <c r="A272" i="15"/>
  <c r="A273" i="15"/>
  <c r="A274" i="15"/>
  <c r="A275" i="15"/>
  <c r="A276" i="15"/>
  <c r="A277" i="15"/>
  <c r="A278" i="15"/>
  <c r="A279" i="15"/>
  <c r="A280" i="15"/>
  <c r="A281" i="15"/>
  <c r="A282" i="15"/>
  <c r="A283" i="15"/>
  <c r="A284" i="15"/>
  <c r="A285" i="15"/>
  <c r="A286" i="15"/>
  <c r="A287" i="15"/>
  <c r="A288" i="15"/>
  <c r="A289" i="15"/>
  <c r="A290" i="15"/>
  <c r="A291" i="15"/>
  <c r="A292" i="15"/>
  <c r="A293" i="15"/>
  <c r="A294" i="15"/>
  <c r="A295" i="15"/>
  <c r="A296" i="15"/>
  <c r="A297" i="15"/>
  <c r="A298" i="15"/>
  <c r="A299" i="15"/>
  <c r="A300" i="15"/>
  <c r="A301" i="15"/>
  <c r="A302" i="15"/>
  <c r="A303" i="15"/>
  <c r="A304" i="15"/>
  <c r="A305" i="15"/>
  <c r="A306" i="15"/>
  <c r="A307" i="15"/>
  <c r="A308" i="15"/>
  <c r="A309" i="15"/>
  <c r="A310" i="15"/>
  <c r="A311" i="15"/>
  <c r="A312" i="15"/>
  <c r="A313" i="15"/>
  <c r="A314" i="15"/>
  <c r="A315" i="15"/>
  <c r="A316" i="15"/>
  <c r="A317" i="15"/>
  <c r="A318" i="15"/>
  <c r="A319" i="15"/>
  <c r="A320" i="15"/>
  <c r="A321" i="15"/>
  <c r="A322" i="15"/>
  <c r="A323" i="15"/>
  <c r="A324" i="15"/>
  <c r="A325" i="15"/>
  <c r="A326" i="15"/>
  <c r="A327" i="15"/>
  <c r="A328" i="15"/>
  <c r="A329" i="15"/>
  <c r="A330" i="15"/>
  <c r="A331" i="15"/>
  <c r="A332" i="15"/>
  <c r="A333" i="15"/>
  <c r="A334" i="15"/>
  <c r="A335" i="15"/>
  <c r="A336" i="15"/>
  <c r="A337" i="15"/>
  <c r="A338" i="15"/>
  <c r="A339" i="15"/>
  <c r="A340" i="15"/>
  <c r="A341" i="15"/>
  <c r="A342" i="15"/>
  <c r="A343" i="15"/>
  <c r="A344" i="15"/>
  <c r="A345" i="15"/>
  <c r="A346" i="15"/>
  <c r="A347" i="15"/>
  <c r="A348" i="15"/>
  <c r="A349" i="15"/>
  <c r="A350" i="15"/>
  <c r="A351" i="15"/>
  <c r="A352" i="15"/>
  <c r="A353" i="15"/>
  <c r="A354" i="15"/>
  <c r="A355" i="15"/>
  <c r="A356" i="15"/>
  <c r="A357" i="15"/>
  <c r="A358" i="15"/>
  <c r="A359" i="15"/>
  <c r="A360" i="15"/>
  <c r="A361" i="15"/>
  <c r="A362" i="15"/>
  <c r="A363" i="15"/>
  <c r="A364" i="15"/>
  <c r="A365" i="15"/>
  <c r="A366" i="15"/>
  <c r="A367" i="15"/>
  <c r="A368" i="15"/>
  <c r="A369" i="15"/>
  <c r="A370" i="15"/>
  <c r="A371" i="15"/>
  <c r="A372" i="15"/>
  <c r="A373" i="15"/>
  <c r="A374" i="15"/>
  <c r="A375" i="15"/>
  <c r="A376" i="15"/>
  <c r="A377" i="15"/>
  <c r="A378" i="15"/>
  <c r="A379" i="15"/>
  <c r="A380" i="15"/>
  <c r="A381" i="15"/>
  <c r="A382" i="15"/>
  <c r="A383" i="15"/>
  <c r="A384" i="15"/>
  <c r="A385" i="15"/>
  <c r="A386" i="15"/>
  <c r="A387" i="15"/>
  <c r="A388" i="15"/>
  <c r="A389" i="15"/>
  <c r="A390" i="15"/>
  <c r="A391" i="15"/>
  <c r="A392" i="15"/>
  <c r="A393" i="15"/>
  <c r="A394" i="15"/>
  <c r="A395" i="15"/>
  <c r="A396" i="15"/>
  <c r="A397" i="15"/>
  <c r="A398" i="15"/>
  <c r="A399" i="15"/>
  <c r="A400" i="15"/>
  <c r="A401" i="15"/>
  <c r="A402" i="15"/>
  <c r="A403" i="15"/>
  <c r="A404" i="15"/>
  <c r="A405" i="15"/>
  <c r="A406" i="15"/>
  <c r="A407" i="15"/>
  <c r="A408" i="15"/>
  <c r="A409" i="15"/>
  <c r="A410" i="15"/>
  <c r="A411" i="15"/>
  <c r="A412" i="15"/>
  <c r="A413" i="15"/>
  <c r="A414" i="15"/>
  <c r="A415" i="15"/>
  <c r="A416" i="15"/>
  <c r="A417" i="15"/>
  <c r="A418" i="15"/>
  <c r="A419" i="15"/>
  <c r="A420" i="15"/>
  <c r="A421" i="15"/>
  <c r="A422" i="15"/>
  <c r="A423" i="15"/>
  <c r="A424" i="15"/>
  <c r="A425" i="15"/>
  <c r="A426" i="15"/>
  <c r="A427" i="15"/>
  <c r="A428" i="15"/>
  <c r="A429" i="15"/>
  <c r="A430" i="15"/>
  <c r="A431" i="15"/>
  <c r="A432" i="15"/>
  <c r="A433" i="15"/>
  <c r="A434" i="15"/>
  <c r="A435" i="15"/>
  <c r="A436" i="15"/>
  <c r="A437" i="15"/>
  <c r="A438" i="15"/>
  <c r="A439" i="15"/>
  <c r="A440" i="15"/>
  <c r="A441" i="15"/>
  <c r="A442" i="15"/>
  <c r="A443" i="15"/>
  <c r="A444" i="15"/>
  <c r="A445" i="15"/>
  <c r="A446" i="15"/>
  <c r="A447" i="15"/>
  <c r="A448" i="15"/>
  <c r="A449" i="15"/>
  <c r="A450" i="15"/>
  <c r="A451" i="15"/>
  <c r="A452" i="15"/>
  <c r="A453" i="15"/>
  <c r="A454" i="15"/>
  <c r="A455" i="15"/>
  <c r="A456" i="15"/>
  <c r="A457" i="15"/>
  <c r="A458" i="15"/>
  <c r="A459" i="15"/>
  <c r="A460" i="15"/>
  <c r="A461" i="15"/>
  <c r="A462" i="15"/>
  <c r="A463" i="15"/>
  <c r="A464" i="15"/>
  <c r="A465" i="15"/>
  <c r="A466" i="15"/>
  <c r="A467" i="15"/>
  <c r="A468" i="15"/>
  <c r="A469" i="15"/>
  <c r="A470" i="15"/>
  <c r="A471" i="15"/>
  <c r="A472" i="15"/>
  <c r="A473" i="15"/>
  <c r="A474" i="15"/>
  <c r="A475" i="15"/>
  <c r="A476" i="15"/>
  <c r="A477" i="15"/>
  <c r="A478" i="15"/>
  <c r="A479" i="15"/>
  <c r="A480" i="15"/>
  <c r="A481" i="15"/>
  <c r="A482" i="15"/>
  <c r="A483" i="15"/>
  <c r="A484" i="15"/>
  <c r="A485" i="15"/>
  <c r="A486" i="15"/>
  <c r="A487" i="15"/>
  <c r="A488" i="15"/>
  <c r="A489" i="15"/>
  <c r="A490" i="15"/>
  <c r="A491" i="15"/>
  <c r="A492" i="15"/>
  <c r="A493" i="15"/>
  <c r="A494" i="15"/>
  <c r="A495" i="15"/>
  <c r="A496" i="15"/>
  <c r="A497" i="15"/>
  <c r="A498" i="15"/>
  <c r="A499" i="15"/>
  <c r="A500" i="15"/>
  <c r="J2" i="15"/>
  <c r="Q2" i="15" s="1"/>
  <c r="I2" i="15"/>
  <c r="H2" i="15"/>
  <c r="L2" i="15" s="1"/>
  <c r="G2" i="15"/>
  <c r="F2" i="15"/>
  <c r="E2" i="15"/>
  <c r="D2" i="15"/>
  <c r="C2" i="15"/>
  <c r="B2" i="15"/>
  <c r="A2" i="15"/>
  <c r="AB27" i="14"/>
  <c r="AB26" i="14"/>
  <c r="AB25" i="14"/>
  <c r="AB24" i="14"/>
  <c r="AB23" i="14"/>
  <c r="AB22" i="14"/>
  <c r="J15" i="14"/>
  <c r="J25" i="14"/>
  <c r="J3" i="14"/>
  <c r="J4" i="14"/>
  <c r="J20" i="14"/>
  <c r="J12" i="14"/>
  <c r="J17" i="14"/>
  <c r="J6" i="14"/>
  <c r="J9" i="14"/>
  <c r="J14" i="14"/>
  <c r="J10" i="14"/>
  <c r="J22" i="14"/>
  <c r="J11" i="14"/>
  <c r="J18" i="14"/>
  <c r="J2" i="14"/>
  <c r="J5" i="14"/>
  <c r="J23" i="14"/>
  <c r="J19" i="14"/>
  <c r="J26" i="14"/>
  <c r="J16" i="14"/>
  <c r="J13" i="14"/>
  <c r="J8" i="14"/>
  <c r="J24" i="14"/>
  <c r="J7" i="14"/>
  <c r="I15" i="14"/>
  <c r="I25" i="14"/>
  <c r="I3" i="14"/>
  <c r="I4" i="14"/>
  <c r="I20" i="14"/>
  <c r="I12" i="14"/>
  <c r="I17" i="14"/>
  <c r="I6" i="14"/>
  <c r="I9" i="14"/>
  <c r="I14" i="14"/>
  <c r="I10" i="14"/>
  <c r="I22" i="14"/>
  <c r="I11" i="14"/>
  <c r="I18" i="14"/>
  <c r="I2" i="14"/>
  <c r="I5" i="14"/>
  <c r="I23" i="14"/>
  <c r="I19" i="14"/>
  <c r="I26" i="14"/>
  <c r="I16" i="14"/>
  <c r="I13" i="14"/>
  <c r="I8" i="14"/>
  <c r="I24" i="14"/>
  <c r="I7" i="14"/>
  <c r="H15" i="14"/>
  <c r="H25" i="14"/>
  <c r="H3" i="14"/>
  <c r="H4" i="14"/>
  <c r="H20" i="14"/>
  <c r="H12" i="14"/>
  <c r="H17" i="14"/>
  <c r="H6" i="14"/>
  <c r="H9" i="14"/>
  <c r="H14" i="14"/>
  <c r="H10" i="14"/>
  <c r="H22" i="14"/>
  <c r="H11" i="14"/>
  <c r="H18" i="14"/>
  <c r="H2" i="14"/>
  <c r="H5" i="14"/>
  <c r="H23" i="14"/>
  <c r="H19" i="14"/>
  <c r="H26" i="14"/>
  <c r="H16" i="14"/>
  <c r="H13" i="14"/>
  <c r="H8" i="14"/>
  <c r="H24" i="14"/>
  <c r="H7" i="14"/>
  <c r="G15" i="14"/>
  <c r="G25" i="14"/>
  <c r="G3" i="14"/>
  <c r="G4" i="14"/>
  <c r="G20" i="14"/>
  <c r="G12" i="14"/>
  <c r="G17" i="14"/>
  <c r="G6" i="14"/>
  <c r="G9" i="14"/>
  <c r="G14" i="14"/>
  <c r="G10" i="14"/>
  <c r="G22" i="14"/>
  <c r="G11" i="14"/>
  <c r="G18" i="14"/>
  <c r="G2" i="14"/>
  <c r="G5" i="14"/>
  <c r="G23" i="14"/>
  <c r="G19" i="14"/>
  <c r="G26" i="14"/>
  <c r="G16" i="14"/>
  <c r="G13" i="14"/>
  <c r="G8" i="14"/>
  <c r="G24" i="14"/>
  <c r="G7" i="14"/>
  <c r="F15" i="14"/>
  <c r="L15" i="14" s="1"/>
  <c r="F25" i="14"/>
  <c r="F3" i="14"/>
  <c r="L3" i="14" s="1"/>
  <c r="F4" i="14"/>
  <c r="L4" i="14" s="1"/>
  <c r="F20" i="14"/>
  <c r="L20" i="14" s="1"/>
  <c r="F12" i="14"/>
  <c r="L12" i="14" s="1"/>
  <c r="F17" i="14"/>
  <c r="L17" i="14" s="1"/>
  <c r="F6" i="14"/>
  <c r="L6" i="14" s="1"/>
  <c r="F9" i="14"/>
  <c r="F14" i="14"/>
  <c r="L14" i="14" s="1"/>
  <c r="F10" i="14"/>
  <c r="L10" i="14" s="1"/>
  <c r="F22" i="14"/>
  <c r="L22" i="14" s="1"/>
  <c r="F11" i="14"/>
  <c r="L11" i="14" s="1"/>
  <c r="F18" i="14"/>
  <c r="F2" i="14"/>
  <c r="F5" i="14"/>
  <c r="F23" i="14"/>
  <c r="F19" i="14"/>
  <c r="L19" i="14" s="1"/>
  <c r="F26" i="14"/>
  <c r="L26" i="14" s="1"/>
  <c r="F16" i="14"/>
  <c r="L16" i="14" s="1"/>
  <c r="F13" i="14"/>
  <c r="F8" i="14"/>
  <c r="L8" i="14" s="1"/>
  <c r="F24" i="14"/>
  <c r="L24" i="14" s="1"/>
  <c r="F7" i="14"/>
  <c r="L7" i="14" s="1"/>
  <c r="E15" i="14"/>
  <c r="E25" i="14"/>
  <c r="E3" i="14"/>
  <c r="E4" i="14"/>
  <c r="E20" i="14"/>
  <c r="E12" i="14"/>
  <c r="E17" i="14"/>
  <c r="E6" i="14"/>
  <c r="E9" i="14"/>
  <c r="E14" i="14"/>
  <c r="E10" i="14"/>
  <c r="E22" i="14"/>
  <c r="E11" i="14"/>
  <c r="E18" i="14"/>
  <c r="E2" i="14"/>
  <c r="E5" i="14"/>
  <c r="E23" i="14"/>
  <c r="E19" i="14"/>
  <c r="E26" i="14"/>
  <c r="E16" i="14"/>
  <c r="E13" i="14"/>
  <c r="E8" i="14"/>
  <c r="E24" i="14"/>
  <c r="E7" i="14"/>
  <c r="D15" i="14"/>
  <c r="K15" i="14" s="1"/>
  <c r="M15" i="14" s="1"/>
  <c r="D25" i="14"/>
  <c r="K25" i="14" s="1"/>
  <c r="M25" i="14" s="1"/>
  <c r="D3" i="14"/>
  <c r="K3" i="14" s="1"/>
  <c r="M3" i="14" s="1"/>
  <c r="D4" i="14"/>
  <c r="K4" i="14" s="1"/>
  <c r="M4" i="14" s="1"/>
  <c r="D20" i="14"/>
  <c r="K20" i="14" s="1"/>
  <c r="M20" i="14" s="1"/>
  <c r="D12" i="14"/>
  <c r="K12" i="14" s="1"/>
  <c r="M12" i="14" s="1"/>
  <c r="D17" i="14"/>
  <c r="K17" i="14" s="1"/>
  <c r="M17" i="14" s="1"/>
  <c r="D6" i="14"/>
  <c r="K6" i="14" s="1"/>
  <c r="M6" i="14" s="1"/>
  <c r="D9" i="14"/>
  <c r="K9" i="14" s="1"/>
  <c r="M9" i="14" s="1"/>
  <c r="D14" i="14"/>
  <c r="K14" i="14" s="1"/>
  <c r="M14" i="14" s="1"/>
  <c r="D10" i="14"/>
  <c r="K10" i="14" s="1"/>
  <c r="M10" i="14" s="1"/>
  <c r="D22" i="14"/>
  <c r="K22" i="14" s="1"/>
  <c r="M22" i="14" s="1"/>
  <c r="D11" i="14"/>
  <c r="K11" i="14" s="1"/>
  <c r="M11" i="14" s="1"/>
  <c r="D18" i="14"/>
  <c r="K18" i="14" s="1"/>
  <c r="M18" i="14" s="1"/>
  <c r="D2" i="14"/>
  <c r="K2" i="14" s="1"/>
  <c r="M2" i="14" s="1"/>
  <c r="D5" i="14"/>
  <c r="K5" i="14" s="1"/>
  <c r="M5" i="14" s="1"/>
  <c r="D23" i="14"/>
  <c r="K23" i="14" s="1"/>
  <c r="D19" i="14"/>
  <c r="K19" i="14" s="1"/>
  <c r="M19" i="14" s="1"/>
  <c r="D26" i="14"/>
  <c r="K26" i="14" s="1"/>
  <c r="D16" i="14"/>
  <c r="K16" i="14" s="1"/>
  <c r="M16" i="14" s="1"/>
  <c r="D13" i="14"/>
  <c r="K13" i="14" s="1"/>
  <c r="M13" i="14" s="1"/>
  <c r="D8" i="14"/>
  <c r="K8" i="14" s="1"/>
  <c r="M8" i="14" s="1"/>
  <c r="D24" i="14"/>
  <c r="K24" i="14" s="1"/>
  <c r="M24" i="14" s="1"/>
  <c r="D7" i="14"/>
  <c r="K7" i="14" s="1"/>
  <c r="M7" i="14" s="1"/>
  <c r="C15" i="14"/>
  <c r="C25" i="14"/>
  <c r="C3" i="14"/>
  <c r="C4" i="14"/>
  <c r="C20" i="14"/>
  <c r="C12" i="14"/>
  <c r="C17" i="14"/>
  <c r="C6" i="14"/>
  <c r="C9" i="14"/>
  <c r="C14" i="14"/>
  <c r="C10" i="14"/>
  <c r="C22" i="14"/>
  <c r="C11" i="14"/>
  <c r="C18" i="14"/>
  <c r="C2" i="14"/>
  <c r="C5" i="14"/>
  <c r="C23" i="14"/>
  <c r="C19" i="14"/>
  <c r="C26" i="14"/>
  <c r="C16" i="14"/>
  <c r="C13" i="14"/>
  <c r="C8" i="14"/>
  <c r="C24" i="14"/>
  <c r="C7" i="14"/>
  <c r="B15" i="14"/>
  <c r="B25" i="14"/>
  <c r="B3" i="14"/>
  <c r="B4" i="14"/>
  <c r="B20" i="14"/>
  <c r="B12" i="14"/>
  <c r="B17" i="14"/>
  <c r="B6" i="14"/>
  <c r="B9" i="14"/>
  <c r="B14" i="14"/>
  <c r="B10" i="14"/>
  <c r="B22" i="14"/>
  <c r="B11" i="14"/>
  <c r="B18" i="14"/>
  <c r="B2" i="14"/>
  <c r="B5" i="14"/>
  <c r="B23" i="14"/>
  <c r="B19" i="14"/>
  <c r="B26" i="14"/>
  <c r="B16" i="14"/>
  <c r="B13" i="14"/>
  <c r="B8" i="14"/>
  <c r="B24" i="14"/>
  <c r="B7" i="14"/>
  <c r="A15" i="14"/>
  <c r="A25" i="14"/>
  <c r="A3" i="14"/>
  <c r="A4" i="14"/>
  <c r="A20" i="14"/>
  <c r="A12" i="14"/>
  <c r="A17" i="14"/>
  <c r="A6" i="14"/>
  <c r="A9" i="14"/>
  <c r="A14" i="14"/>
  <c r="A10" i="14"/>
  <c r="A22" i="14"/>
  <c r="A11" i="14"/>
  <c r="A18" i="14"/>
  <c r="A2" i="14"/>
  <c r="A5" i="14"/>
  <c r="A23" i="14"/>
  <c r="A19" i="14"/>
  <c r="A26" i="14"/>
  <c r="A16" i="14"/>
  <c r="A13" i="14"/>
  <c r="A8" i="14"/>
  <c r="A24" i="14"/>
  <c r="A7" i="14"/>
  <c r="J21" i="14"/>
  <c r="I21" i="14"/>
  <c r="H21" i="14"/>
  <c r="G21" i="14"/>
  <c r="F21" i="14"/>
  <c r="L21" i="14" s="1"/>
  <c r="E21" i="14"/>
  <c r="D21" i="14"/>
  <c r="K21" i="14" s="1"/>
  <c r="C21" i="14"/>
  <c r="B21" i="14"/>
  <c r="A21" i="14"/>
  <c r="N16" i="13"/>
  <c r="N15" i="13"/>
  <c r="N14" i="13"/>
  <c r="N9" i="13"/>
  <c r="N8" i="13"/>
  <c r="N7" i="13"/>
  <c r="N6" i="13"/>
  <c r="N5" i="13"/>
  <c r="N4" i="13"/>
  <c r="H11" i="13"/>
  <c r="I11" i="13" s="1"/>
  <c r="K3" i="13"/>
  <c r="K4" i="13"/>
  <c r="K5" i="13"/>
  <c r="K6" i="13"/>
  <c r="K7" i="13"/>
  <c r="K8" i="13"/>
  <c r="K9" i="13"/>
  <c r="K10" i="13"/>
  <c r="K12" i="13"/>
  <c r="K13" i="13"/>
  <c r="K14" i="13"/>
  <c r="K15" i="13"/>
  <c r="K16" i="13"/>
  <c r="K17" i="13"/>
  <c r="K18" i="13"/>
  <c r="K19" i="13"/>
  <c r="K20" i="13"/>
  <c r="K21" i="13"/>
  <c r="K22" i="13"/>
  <c r="K23" i="13"/>
  <c r="K24" i="13"/>
  <c r="K25" i="13"/>
  <c r="K26" i="13"/>
  <c r="J3" i="13"/>
  <c r="J4" i="13"/>
  <c r="J5" i="13"/>
  <c r="J6" i="13"/>
  <c r="J7" i="13"/>
  <c r="J8" i="13"/>
  <c r="J9" i="13"/>
  <c r="J10" i="13"/>
  <c r="J12" i="13"/>
  <c r="J13" i="13"/>
  <c r="J14" i="13"/>
  <c r="J15" i="13"/>
  <c r="J16" i="13"/>
  <c r="J17" i="13"/>
  <c r="J18" i="13"/>
  <c r="J19" i="13"/>
  <c r="J20" i="13"/>
  <c r="J21" i="13"/>
  <c r="J22" i="13"/>
  <c r="J23" i="13"/>
  <c r="J24" i="13"/>
  <c r="J25" i="13"/>
  <c r="J26" i="13"/>
  <c r="I3" i="13"/>
  <c r="I4" i="13"/>
  <c r="I5" i="13"/>
  <c r="I6" i="13"/>
  <c r="I7" i="13"/>
  <c r="I8" i="13"/>
  <c r="I9" i="13"/>
  <c r="I10" i="13"/>
  <c r="I12" i="13"/>
  <c r="I13" i="13"/>
  <c r="I14" i="13"/>
  <c r="I15" i="13"/>
  <c r="I16" i="13"/>
  <c r="I17" i="13"/>
  <c r="I18" i="13"/>
  <c r="I19" i="13"/>
  <c r="I20" i="13"/>
  <c r="I21" i="13"/>
  <c r="I22" i="13"/>
  <c r="I23" i="13"/>
  <c r="I24" i="13"/>
  <c r="I25" i="13"/>
  <c r="I26" i="13"/>
  <c r="H3" i="13"/>
  <c r="H4" i="13"/>
  <c r="H5" i="13"/>
  <c r="H6" i="13"/>
  <c r="H7" i="13"/>
  <c r="H8" i="13"/>
  <c r="H9" i="13"/>
  <c r="H10" i="13"/>
  <c r="H12" i="13"/>
  <c r="H13" i="13"/>
  <c r="H14" i="13"/>
  <c r="H15" i="13"/>
  <c r="H16" i="13"/>
  <c r="H17" i="13"/>
  <c r="H18" i="13"/>
  <c r="H19" i="13"/>
  <c r="H20" i="13"/>
  <c r="H21" i="13"/>
  <c r="H22" i="13"/>
  <c r="H23" i="13"/>
  <c r="H24" i="13"/>
  <c r="H25" i="13"/>
  <c r="H26" i="13"/>
  <c r="G3" i="13"/>
  <c r="G4" i="13"/>
  <c r="G5" i="13"/>
  <c r="G6" i="13"/>
  <c r="G7" i="13"/>
  <c r="G8" i="13"/>
  <c r="G9" i="13"/>
  <c r="G10" i="13"/>
  <c r="G11" i="13"/>
  <c r="G12" i="13"/>
  <c r="G13" i="13"/>
  <c r="G14" i="13"/>
  <c r="G15" i="13"/>
  <c r="G16" i="13"/>
  <c r="G17" i="13"/>
  <c r="G18" i="13"/>
  <c r="G19" i="13"/>
  <c r="G20" i="13"/>
  <c r="G21" i="13"/>
  <c r="G22" i="13"/>
  <c r="G23" i="13"/>
  <c r="G24" i="13"/>
  <c r="G25" i="13"/>
  <c r="G26" i="13"/>
  <c r="F3" i="13"/>
  <c r="F4" i="13"/>
  <c r="F5" i="13"/>
  <c r="F6" i="13"/>
  <c r="F7" i="13"/>
  <c r="F8" i="13"/>
  <c r="F9" i="13"/>
  <c r="F10" i="13"/>
  <c r="F11" i="13"/>
  <c r="F12" i="13"/>
  <c r="F13" i="13"/>
  <c r="F14" i="13"/>
  <c r="F15" i="13"/>
  <c r="F16" i="13"/>
  <c r="F17" i="13"/>
  <c r="F18" i="13"/>
  <c r="F19" i="13"/>
  <c r="F20" i="13"/>
  <c r="F21" i="13"/>
  <c r="F22" i="13"/>
  <c r="F23" i="13"/>
  <c r="F24" i="13"/>
  <c r="F25" i="13"/>
  <c r="F26" i="13"/>
  <c r="E3" i="13"/>
  <c r="E4" i="13"/>
  <c r="E5" i="13"/>
  <c r="E6" i="13"/>
  <c r="E7" i="13"/>
  <c r="E8" i="13"/>
  <c r="E9" i="13"/>
  <c r="E10" i="13"/>
  <c r="E11" i="13"/>
  <c r="E12" i="13"/>
  <c r="E13" i="13"/>
  <c r="E14" i="13"/>
  <c r="E15" i="13"/>
  <c r="E16" i="13"/>
  <c r="E17" i="13"/>
  <c r="E18" i="13"/>
  <c r="E19" i="13"/>
  <c r="E20" i="13"/>
  <c r="E21" i="13"/>
  <c r="E22" i="13"/>
  <c r="E23" i="13"/>
  <c r="E24" i="13"/>
  <c r="E25" i="13"/>
  <c r="E26" i="13"/>
  <c r="D3" i="13"/>
  <c r="D4" i="13"/>
  <c r="D5" i="13"/>
  <c r="D6" i="13"/>
  <c r="D7" i="13"/>
  <c r="D8" i="13"/>
  <c r="D9" i="13"/>
  <c r="D10" i="13"/>
  <c r="D11" i="13"/>
  <c r="D12" i="13"/>
  <c r="D13" i="13"/>
  <c r="D14" i="13"/>
  <c r="D15" i="13"/>
  <c r="D16" i="13"/>
  <c r="D17" i="13"/>
  <c r="D18" i="13"/>
  <c r="D19" i="13"/>
  <c r="D20" i="13"/>
  <c r="D21" i="13"/>
  <c r="D22" i="13"/>
  <c r="D23" i="13"/>
  <c r="D24" i="13"/>
  <c r="D25" i="13"/>
  <c r="D26" i="13"/>
  <c r="C3" i="13"/>
  <c r="C4" i="13"/>
  <c r="C5" i="13"/>
  <c r="C6" i="13"/>
  <c r="C7" i="13"/>
  <c r="C8" i="13"/>
  <c r="C9" i="13"/>
  <c r="C10" i="13"/>
  <c r="C11" i="13"/>
  <c r="C12" i="13"/>
  <c r="C13" i="13"/>
  <c r="C14" i="13"/>
  <c r="C15" i="13"/>
  <c r="C16" i="13"/>
  <c r="C17" i="13"/>
  <c r="C18" i="13"/>
  <c r="C19" i="13"/>
  <c r="C20" i="13"/>
  <c r="C21" i="13"/>
  <c r="C22" i="13"/>
  <c r="C23" i="13"/>
  <c r="C24" i="13"/>
  <c r="C25" i="13"/>
  <c r="C26" i="13"/>
  <c r="B3" i="13"/>
  <c r="B4" i="13"/>
  <c r="B5" i="13"/>
  <c r="B6" i="13"/>
  <c r="B7" i="13"/>
  <c r="B8" i="13"/>
  <c r="B9" i="13"/>
  <c r="B10" i="13"/>
  <c r="B11" i="13"/>
  <c r="B12" i="13"/>
  <c r="B13" i="13"/>
  <c r="B14" i="13"/>
  <c r="B15" i="13"/>
  <c r="B16" i="13"/>
  <c r="B17" i="13"/>
  <c r="B18" i="13"/>
  <c r="B19" i="13"/>
  <c r="B20" i="13"/>
  <c r="B21" i="13"/>
  <c r="B22" i="13"/>
  <c r="B23" i="13"/>
  <c r="B24" i="13"/>
  <c r="B25" i="13"/>
  <c r="B26" i="13"/>
  <c r="A3" i="13"/>
  <c r="A4" i="13"/>
  <c r="A5" i="13"/>
  <c r="A6" i="13"/>
  <c r="A7" i="13"/>
  <c r="A8" i="13"/>
  <c r="A9" i="13"/>
  <c r="A10" i="13"/>
  <c r="A11" i="13"/>
  <c r="A12" i="13"/>
  <c r="A13" i="13"/>
  <c r="A14" i="13"/>
  <c r="A15" i="13"/>
  <c r="A16" i="13"/>
  <c r="A17" i="13"/>
  <c r="A18" i="13"/>
  <c r="A19" i="13"/>
  <c r="A20" i="13"/>
  <c r="A21" i="13"/>
  <c r="A22" i="13"/>
  <c r="A23" i="13"/>
  <c r="A24" i="13"/>
  <c r="A25" i="13"/>
  <c r="A26" i="13"/>
  <c r="K2" i="13"/>
  <c r="J2" i="13"/>
  <c r="I2" i="13"/>
  <c r="H2" i="13"/>
  <c r="G2" i="13"/>
  <c r="F2" i="13"/>
  <c r="E2" i="13"/>
  <c r="D2" i="13"/>
  <c r="C2" i="13"/>
  <c r="B2" i="13"/>
  <c r="A2" i="13"/>
  <c r="I2" i="12"/>
  <c r="M6" i="12"/>
  <c r="M5" i="12"/>
  <c r="M4" i="12"/>
  <c r="B2" i="12"/>
  <c r="J3" i="12"/>
  <c r="J4" i="12"/>
  <c r="J5" i="12"/>
  <c r="J6" i="12"/>
  <c r="J7" i="12"/>
  <c r="J8" i="12"/>
  <c r="J9" i="12"/>
  <c r="J10" i="12"/>
  <c r="J11" i="12"/>
  <c r="J12" i="12"/>
  <c r="J13" i="12"/>
  <c r="J14" i="12"/>
  <c r="J15" i="12"/>
  <c r="J16" i="12"/>
  <c r="J17" i="12"/>
  <c r="J18" i="12"/>
  <c r="J19" i="12"/>
  <c r="J20" i="12"/>
  <c r="J21" i="12"/>
  <c r="J22" i="12"/>
  <c r="J23" i="12"/>
  <c r="J24" i="12"/>
  <c r="J25" i="12"/>
  <c r="J26" i="12"/>
  <c r="I3" i="12"/>
  <c r="I4" i="12"/>
  <c r="I5" i="12"/>
  <c r="I6" i="12"/>
  <c r="I7" i="12"/>
  <c r="I8" i="12"/>
  <c r="I9" i="12"/>
  <c r="I10" i="12"/>
  <c r="I11" i="12"/>
  <c r="I12" i="12"/>
  <c r="I13" i="12"/>
  <c r="I14" i="12"/>
  <c r="I15" i="12"/>
  <c r="I16" i="12"/>
  <c r="I17" i="12"/>
  <c r="I18" i="12"/>
  <c r="I19" i="12"/>
  <c r="I20" i="12"/>
  <c r="I21" i="12"/>
  <c r="I22" i="12"/>
  <c r="I23" i="12"/>
  <c r="I24" i="12"/>
  <c r="I25" i="12"/>
  <c r="I26" i="12"/>
  <c r="H3" i="12"/>
  <c r="H4" i="12"/>
  <c r="H5" i="12"/>
  <c r="H6" i="12"/>
  <c r="H7" i="12"/>
  <c r="H8" i="12"/>
  <c r="H9" i="12"/>
  <c r="H10" i="12"/>
  <c r="H11" i="12"/>
  <c r="H12" i="12"/>
  <c r="H13" i="12"/>
  <c r="H14" i="12"/>
  <c r="H15" i="12"/>
  <c r="H16" i="12"/>
  <c r="H17" i="12"/>
  <c r="H18" i="12"/>
  <c r="H19" i="12"/>
  <c r="H20" i="12"/>
  <c r="H21" i="12"/>
  <c r="H22" i="12"/>
  <c r="H23" i="12"/>
  <c r="H24" i="12"/>
  <c r="H25" i="12"/>
  <c r="H26" i="12"/>
  <c r="G6" i="12"/>
  <c r="G26" i="12"/>
  <c r="G3" i="12"/>
  <c r="G4" i="12"/>
  <c r="G5" i="12"/>
  <c r="G7" i="12"/>
  <c r="G8" i="12"/>
  <c r="G9" i="12"/>
  <c r="G10" i="12"/>
  <c r="G11" i="12"/>
  <c r="G12" i="12"/>
  <c r="G13" i="12"/>
  <c r="G14" i="12"/>
  <c r="G15" i="12"/>
  <c r="G16" i="12"/>
  <c r="G17" i="12"/>
  <c r="G18" i="12"/>
  <c r="G19" i="12"/>
  <c r="G20" i="12"/>
  <c r="G21" i="12"/>
  <c r="G22" i="12"/>
  <c r="G23" i="12"/>
  <c r="G24" i="12"/>
  <c r="G25" i="12"/>
  <c r="F3" i="12"/>
  <c r="F4" i="12"/>
  <c r="F5" i="12"/>
  <c r="F6" i="12"/>
  <c r="F7" i="12"/>
  <c r="F8" i="12"/>
  <c r="F9" i="12"/>
  <c r="F10" i="12"/>
  <c r="F11" i="12"/>
  <c r="F12" i="12"/>
  <c r="F13" i="12"/>
  <c r="F14" i="12"/>
  <c r="F15" i="12"/>
  <c r="F16" i="12"/>
  <c r="F17" i="12"/>
  <c r="F18" i="12"/>
  <c r="F19" i="12"/>
  <c r="F20" i="12"/>
  <c r="F21" i="12"/>
  <c r="F22" i="12"/>
  <c r="F23" i="12"/>
  <c r="F24" i="12"/>
  <c r="F25" i="12"/>
  <c r="F26" i="12"/>
  <c r="E3" i="12"/>
  <c r="E4" i="12"/>
  <c r="E5" i="12"/>
  <c r="E6" i="12"/>
  <c r="E7" i="12"/>
  <c r="E8" i="12"/>
  <c r="E9" i="12"/>
  <c r="E10" i="12"/>
  <c r="E11" i="12"/>
  <c r="E12" i="12"/>
  <c r="E13" i="12"/>
  <c r="E14" i="12"/>
  <c r="E15" i="12"/>
  <c r="E16" i="12"/>
  <c r="E17" i="12"/>
  <c r="E18" i="12"/>
  <c r="E19" i="12"/>
  <c r="E20" i="12"/>
  <c r="E21" i="12"/>
  <c r="E22" i="12"/>
  <c r="E23" i="12"/>
  <c r="E24" i="12"/>
  <c r="E25" i="12"/>
  <c r="E26" i="12"/>
  <c r="D3" i="12"/>
  <c r="D4" i="12"/>
  <c r="D5" i="12"/>
  <c r="D6" i="12"/>
  <c r="D7" i="12"/>
  <c r="D8" i="12"/>
  <c r="D9" i="12"/>
  <c r="D10" i="12"/>
  <c r="D11" i="12"/>
  <c r="D12" i="12"/>
  <c r="D13" i="12"/>
  <c r="D14" i="12"/>
  <c r="D15" i="12"/>
  <c r="D16" i="12"/>
  <c r="D17" i="12"/>
  <c r="D18" i="12"/>
  <c r="D19" i="12"/>
  <c r="D20" i="12"/>
  <c r="D21" i="12"/>
  <c r="D22" i="12"/>
  <c r="D23" i="12"/>
  <c r="D24" i="12"/>
  <c r="D25" i="12"/>
  <c r="D26" i="12"/>
  <c r="C3" i="12"/>
  <c r="C4" i="12"/>
  <c r="C5" i="12"/>
  <c r="C6" i="12"/>
  <c r="C7" i="12"/>
  <c r="C8" i="12"/>
  <c r="C9" i="12"/>
  <c r="C10" i="12"/>
  <c r="C11" i="12"/>
  <c r="C12" i="12"/>
  <c r="C13" i="12"/>
  <c r="C14" i="12"/>
  <c r="C15" i="12"/>
  <c r="C16" i="12"/>
  <c r="C17" i="12"/>
  <c r="C18" i="12"/>
  <c r="C19" i="12"/>
  <c r="C20" i="12"/>
  <c r="C21" i="12"/>
  <c r="C22" i="12"/>
  <c r="C23" i="12"/>
  <c r="C24" i="12"/>
  <c r="C25" i="12"/>
  <c r="C26" i="12"/>
  <c r="B3" i="12"/>
  <c r="B4" i="12"/>
  <c r="B5" i="12"/>
  <c r="B6" i="12"/>
  <c r="B7" i="12"/>
  <c r="B8" i="12"/>
  <c r="B9" i="12"/>
  <c r="B10" i="12"/>
  <c r="B11" i="12"/>
  <c r="B12" i="12"/>
  <c r="B13" i="12"/>
  <c r="B14" i="12"/>
  <c r="B15" i="12"/>
  <c r="B16" i="12"/>
  <c r="B17" i="12"/>
  <c r="B18" i="12"/>
  <c r="B19" i="12"/>
  <c r="B20" i="12"/>
  <c r="B21" i="12"/>
  <c r="B22" i="12"/>
  <c r="B23" i="12"/>
  <c r="B24" i="12"/>
  <c r="B25" i="12"/>
  <c r="B26" i="12"/>
  <c r="A3" i="12"/>
  <c r="A4" i="12"/>
  <c r="A5" i="12"/>
  <c r="A6" i="12"/>
  <c r="A7" i="12"/>
  <c r="A8" i="12"/>
  <c r="A9" i="12"/>
  <c r="A10" i="12"/>
  <c r="A11" i="12"/>
  <c r="A12" i="12"/>
  <c r="A13" i="12"/>
  <c r="A14" i="12"/>
  <c r="A15" i="12"/>
  <c r="A16" i="12"/>
  <c r="A17" i="12"/>
  <c r="A18" i="12"/>
  <c r="A19" i="12"/>
  <c r="A20" i="12"/>
  <c r="A21" i="12"/>
  <c r="A22" i="12"/>
  <c r="A23" i="12"/>
  <c r="A24" i="12"/>
  <c r="A25" i="12"/>
  <c r="A26" i="12"/>
  <c r="G2" i="12"/>
  <c r="F2" i="12"/>
  <c r="E2" i="12"/>
  <c r="J2" i="12" s="1"/>
  <c r="M9" i="12" s="1"/>
  <c r="D2" i="12"/>
  <c r="C2" i="12"/>
  <c r="A2" i="12"/>
  <c r="P14" i="11"/>
  <c r="P13" i="11"/>
  <c r="P12" i="11"/>
  <c r="P11" i="11"/>
  <c r="P10" i="11"/>
  <c r="Q6" i="11"/>
  <c r="Q5" i="11"/>
  <c r="Q4" i="11"/>
  <c r="P5" i="11"/>
  <c r="P4" i="11"/>
  <c r="K498" i="11"/>
  <c r="M498" i="11" s="1"/>
  <c r="I498"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9" i="11"/>
  <c r="M500" i="11"/>
  <c r="M501"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J496"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9" i="11"/>
  <c r="K500" i="11"/>
  <c r="K501"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7" i="11"/>
  <c r="J498" i="11"/>
  <c r="J499" i="11"/>
  <c r="J500" i="11"/>
  <c r="J501"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9" i="11"/>
  <c r="I500" i="11"/>
  <c r="I501" i="11"/>
  <c r="H3" i="1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2" i="11"/>
  <c r="A63" i="11"/>
  <c r="A64" i="11"/>
  <c r="A65" i="11"/>
  <c r="A66" i="11"/>
  <c r="A67" i="11"/>
  <c r="A68" i="11"/>
  <c r="A69" i="11"/>
  <c r="A70" i="11"/>
  <c r="A71" i="11"/>
  <c r="A72" i="11"/>
  <c r="A73"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2" i="11"/>
  <c r="A123" i="11"/>
  <c r="A124" i="11"/>
  <c r="A125" i="11"/>
  <c r="A126" i="11"/>
  <c r="A127" i="11"/>
  <c r="A128"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181" i="11"/>
  <c r="A182" i="11"/>
  <c r="A183" i="11"/>
  <c r="A184"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237" i="11"/>
  <c r="A238" i="11"/>
  <c r="A239" i="11"/>
  <c r="A240" i="11"/>
  <c r="A241"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296" i="11"/>
  <c r="A297" i="11"/>
  <c r="A298" i="11"/>
  <c r="A299" i="11"/>
  <c r="A300" i="11"/>
  <c r="A301"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3" i="11"/>
  <c r="A334" i="11"/>
  <c r="A335" i="11"/>
  <c r="A336" i="11"/>
  <c r="A337" i="11"/>
  <c r="A338" i="11"/>
  <c r="A339" i="11"/>
  <c r="A340" i="11"/>
  <c r="A341" i="11"/>
  <c r="A342" i="11"/>
  <c r="A343" i="11"/>
  <c r="A344" i="11"/>
  <c r="A345" i="11"/>
  <c r="A346" i="11"/>
  <c r="A347" i="11"/>
  <c r="A348" i="11"/>
  <c r="A349" i="11"/>
  <c r="A350" i="11"/>
  <c r="A351" i="11"/>
  <c r="A352" i="11"/>
  <c r="A353" i="11"/>
  <c r="A354" i="11"/>
  <c r="A355" i="11"/>
  <c r="A356" i="11"/>
  <c r="A357" i="11"/>
  <c r="A358" i="11"/>
  <c r="A35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398" i="11"/>
  <c r="A399" i="11"/>
  <c r="A400" i="11"/>
  <c r="A401" i="11"/>
  <c r="A402" i="11"/>
  <c r="A403" i="11"/>
  <c r="A404" i="11"/>
  <c r="A405" i="11"/>
  <c r="A406" i="11"/>
  <c r="A407" i="11"/>
  <c r="A408" i="11"/>
  <c r="A409" i="11"/>
  <c r="A410" i="11"/>
  <c r="A411" i="11"/>
  <c r="A412" i="11"/>
  <c r="A413" i="11"/>
  <c r="A414" i="11"/>
  <c r="A415" i="11"/>
  <c r="A416" i="11"/>
  <c r="A417" i="11"/>
  <c r="A418" i="11"/>
  <c r="A419" i="11"/>
  <c r="A420" i="11"/>
  <c r="A421" i="11"/>
  <c r="A422" i="11"/>
  <c r="A423" i="11"/>
  <c r="A424" i="11"/>
  <c r="A425" i="11"/>
  <c r="A426" i="11"/>
  <c r="A427" i="11"/>
  <c r="A428" i="11"/>
  <c r="A429" i="11"/>
  <c r="A430" i="11"/>
  <c r="A431" i="11"/>
  <c r="A432" i="11"/>
  <c r="A433" i="11"/>
  <c r="A434" i="11"/>
  <c r="A435" i="11"/>
  <c r="A436" i="11"/>
  <c r="A437" i="11"/>
  <c r="A438" i="11"/>
  <c r="A439" i="11"/>
  <c r="A440" i="11"/>
  <c r="A441" i="11"/>
  <c r="A442" i="11"/>
  <c r="A443" i="11"/>
  <c r="A444" i="11"/>
  <c r="A445" i="11"/>
  <c r="A446" i="11"/>
  <c r="A447" i="11"/>
  <c r="A448" i="11"/>
  <c r="A449" i="11"/>
  <c r="A450" i="11"/>
  <c r="A451" i="11"/>
  <c r="A452" i="11"/>
  <c r="A453" i="11"/>
  <c r="A454" i="11"/>
  <c r="A455" i="11"/>
  <c r="A456" i="11"/>
  <c r="A457" i="11"/>
  <c r="A458" i="11"/>
  <c r="A459" i="11"/>
  <c r="A460" i="11"/>
  <c r="A461" i="11"/>
  <c r="A462" i="11"/>
  <c r="A463" i="11"/>
  <c r="A464" i="11"/>
  <c r="A465" i="11"/>
  <c r="A466" i="11"/>
  <c r="A467" i="11"/>
  <c r="A468" i="11"/>
  <c r="A469" i="11"/>
  <c r="A470"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M2" i="11"/>
  <c r="L2" i="11"/>
  <c r="K2" i="11"/>
  <c r="I2" i="11"/>
  <c r="J2" i="11"/>
  <c r="H2" i="11"/>
  <c r="G2" i="11"/>
  <c r="F2" i="11"/>
  <c r="E2" i="11"/>
  <c r="D2" i="11"/>
  <c r="C2" i="11"/>
  <c r="B2" i="11"/>
  <c r="A2" i="11"/>
  <c r="R6" i="10"/>
  <c r="O3" i="10"/>
  <c r="R14" i="10"/>
  <c r="R13" i="10"/>
  <c r="R12" i="10"/>
  <c r="R11" i="10"/>
  <c r="S6" i="10"/>
  <c r="S5" i="10"/>
  <c r="S4" i="10"/>
  <c r="R5" i="10"/>
  <c r="R4" i="10"/>
  <c r="O8" i="10"/>
  <c r="O7" i="10"/>
  <c r="O6" i="10"/>
  <c r="O5" i="10"/>
  <c r="O4" i="10"/>
  <c r="L17" i="10"/>
  <c r="L18" i="10"/>
  <c r="L19" i="10"/>
  <c r="L20" i="10"/>
  <c r="L21" i="10"/>
  <c r="L22" i="10"/>
  <c r="L29" i="10"/>
  <c r="L30" i="10"/>
  <c r="L31" i="10"/>
  <c r="L32" i="10"/>
  <c r="L33" i="10"/>
  <c r="L34" i="10"/>
  <c r="L41" i="10"/>
  <c r="L42" i="10"/>
  <c r="L43" i="10"/>
  <c r="L44" i="10"/>
  <c r="L45" i="10"/>
  <c r="L46" i="10"/>
  <c r="L53" i="10"/>
  <c r="L54" i="10"/>
  <c r="L55" i="10"/>
  <c r="L56" i="10"/>
  <c r="L57" i="10"/>
  <c r="L58" i="10"/>
  <c r="L65" i="10"/>
  <c r="L66" i="10"/>
  <c r="L67" i="10"/>
  <c r="L68" i="10"/>
  <c r="L69" i="10"/>
  <c r="L70" i="10"/>
  <c r="L77" i="10"/>
  <c r="L78" i="10"/>
  <c r="L79" i="10"/>
  <c r="L80" i="10"/>
  <c r="L81" i="10"/>
  <c r="L82" i="10"/>
  <c r="L89" i="10"/>
  <c r="L90" i="10"/>
  <c r="L91" i="10"/>
  <c r="L92" i="10"/>
  <c r="L93" i="10"/>
  <c r="L94" i="10"/>
  <c r="L101" i="10"/>
  <c r="L102" i="10"/>
  <c r="L103" i="10"/>
  <c r="L104" i="10"/>
  <c r="L105" i="10"/>
  <c r="L106" i="10"/>
  <c r="L113" i="10"/>
  <c r="L114" i="10"/>
  <c r="L115" i="10"/>
  <c r="L116" i="10"/>
  <c r="L117" i="10"/>
  <c r="L118" i="10"/>
  <c r="L125" i="10"/>
  <c r="L126" i="10"/>
  <c r="L127" i="10"/>
  <c r="L128" i="10"/>
  <c r="L129" i="10"/>
  <c r="L130" i="10"/>
  <c r="L137" i="10"/>
  <c r="L138" i="10"/>
  <c r="L139" i="10"/>
  <c r="L140" i="10"/>
  <c r="L141" i="10"/>
  <c r="L142" i="10"/>
  <c r="L149" i="10"/>
  <c r="L150" i="10"/>
  <c r="L151" i="10"/>
  <c r="L152" i="10"/>
  <c r="L153" i="10"/>
  <c r="L154" i="10"/>
  <c r="L161" i="10"/>
  <c r="L162" i="10"/>
  <c r="L163" i="10"/>
  <c r="L164" i="10"/>
  <c r="L165" i="10"/>
  <c r="L166" i="10"/>
  <c r="L173" i="10"/>
  <c r="L174" i="10"/>
  <c r="L175" i="10"/>
  <c r="L176" i="10"/>
  <c r="L177" i="10"/>
  <c r="L178" i="10"/>
  <c r="L185" i="10"/>
  <c r="L186" i="10"/>
  <c r="L187" i="10"/>
  <c r="L188" i="10"/>
  <c r="L189" i="10"/>
  <c r="L190" i="10"/>
  <c r="L197" i="10"/>
  <c r="L198" i="10"/>
  <c r="L199" i="10"/>
  <c r="L200" i="10"/>
  <c r="L201" i="10"/>
  <c r="L202" i="10"/>
  <c r="L209" i="10"/>
  <c r="L210" i="10"/>
  <c r="L211" i="10"/>
  <c r="L212" i="10"/>
  <c r="L213" i="10"/>
  <c r="L214" i="10"/>
  <c r="L221" i="10"/>
  <c r="L222" i="10"/>
  <c r="L223" i="10"/>
  <c r="L224" i="10"/>
  <c r="L225" i="10"/>
  <c r="L226" i="10"/>
  <c r="L233" i="10"/>
  <c r="L234" i="10"/>
  <c r="L235" i="10"/>
  <c r="L236" i="10"/>
  <c r="L237" i="10"/>
  <c r="L238" i="10"/>
  <c r="L245" i="10"/>
  <c r="L246" i="10"/>
  <c r="L247" i="10"/>
  <c r="L248" i="10"/>
  <c r="L249" i="10"/>
  <c r="L250" i="10"/>
  <c r="L257" i="10"/>
  <c r="L258" i="10"/>
  <c r="L259" i="10"/>
  <c r="L260" i="10"/>
  <c r="L261" i="10"/>
  <c r="L262" i="10"/>
  <c r="L269" i="10"/>
  <c r="L270" i="10"/>
  <c r="L271" i="10"/>
  <c r="L272" i="10"/>
  <c r="L273" i="10"/>
  <c r="L274" i="10"/>
  <c r="L281" i="10"/>
  <c r="L282" i="10"/>
  <c r="L283" i="10"/>
  <c r="L284" i="10"/>
  <c r="L285" i="10"/>
  <c r="L286" i="10"/>
  <c r="L293" i="10"/>
  <c r="L294" i="10"/>
  <c r="L295" i="10"/>
  <c r="L296" i="10"/>
  <c r="L297" i="10"/>
  <c r="L298" i="10"/>
  <c r="L305" i="10"/>
  <c r="L306" i="10"/>
  <c r="L307" i="10"/>
  <c r="L308" i="10"/>
  <c r="L309" i="10"/>
  <c r="L310" i="10"/>
  <c r="L317" i="10"/>
  <c r="L318" i="10"/>
  <c r="L319" i="10"/>
  <c r="L320" i="10"/>
  <c r="L321" i="10"/>
  <c r="L322" i="10"/>
  <c r="L329" i="10"/>
  <c r="L330" i="10"/>
  <c r="L331" i="10"/>
  <c r="L332" i="10"/>
  <c r="L333" i="10"/>
  <c r="L334" i="10"/>
  <c r="L341" i="10"/>
  <c r="L342" i="10"/>
  <c r="L343" i="10"/>
  <c r="L344" i="10"/>
  <c r="L345" i="10"/>
  <c r="L346" i="10"/>
  <c r="L353" i="10"/>
  <c r="L354" i="10"/>
  <c r="L355" i="10"/>
  <c r="L356" i="10"/>
  <c r="L357" i="10"/>
  <c r="L358" i="10"/>
  <c r="L365" i="10"/>
  <c r="L366" i="10"/>
  <c r="L367" i="10"/>
  <c r="L368" i="10"/>
  <c r="L369" i="10"/>
  <c r="L370" i="10"/>
  <c r="L377" i="10"/>
  <c r="L378" i="10"/>
  <c r="L379" i="10"/>
  <c r="L380" i="10"/>
  <c r="L381" i="10"/>
  <c r="L382" i="10"/>
  <c r="L389" i="10"/>
  <c r="L390" i="10"/>
  <c r="L391" i="10"/>
  <c r="L392" i="10"/>
  <c r="L393" i="10"/>
  <c r="L394" i="10"/>
  <c r="L401" i="10"/>
  <c r="L402" i="10"/>
  <c r="L403" i="10"/>
  <c r="L404" i="10"/>
  <c r="L405" i="10"/>
  <c r="L406" i="10"/>
  <c r="L413" i="10"/>
  <c r="L414" i="10"/>
  <c r="L415" i="10"/>
  <c r="L416" i="10"/>
  <c r="L417" i="10"/>
  <c r="L418" i="10"/>
  <c r="L425" i="10"/>
  <c r="L426" i="10"/>
  <c r="L427" i="10"/>
  <c r="L428" i="10"/>
  <c r="L429" i="10"/>
  <c r="L430" i="10"/>
  <c r="L437" i="10"/>
  <c r="L438" i="10"/>
  <c r="L439" i="10"/>
  <c r="L440" i="10"/>
  <c r="L441" i="10"/>
  <c r="L442" i="10"/>
  <c r="L449" i="10"/>
  <c r="L450" i="10"/>
  <c r="L451" i="10"/>
  <c r="L452" i="10"/>
  <c r="L453" i="10"/>
  <c r="L454" i="10"/>
  <c r="L461" i="10"/>
  <c r="L462" i="10"/>
  <c r="L463" i="10"/>
  <c r="L464" i="10"/>
  <c r="L465" i="10"/>
  <c r="L466" i="10"/>
  <c r="L473" i="10"/>
  <c r="L474" i="10"/>
  <c r="L475" i="10"/>
  <c r="L476" i="10"/>
  <c r="L477" i="10"/>
  <c r="L478" i="10"/>
  <c r="L485" i="10"/>
  <c r="L486" i="10"/>
  <c r="L487" i="10"/>
  <c r="L488" i="10"/>
  <c r="L489" i="10"/>
  <c r="L490" i="10"/>
  <c r="L497" i="10"/>
  <c r="L498" i="10"/>
  <c r="L499" i="10"/>
  <c r="L500" i="10"/>
  <c r="L501"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I3" i="10"/>
  <c r="L3" i="10" s="1"/>
  <c r="I4" i="10"/>
  <c r="L4" i="10" s="1"/>
  <c r="I5" i="10"/>
  <c r="L5" i="10" s="1"/>
  <c r="I6" i="10"/>
  <c r="L6" i="10" s="1"/>
  <c r="I7" i="10"/>
  <c r="L7" i="10" s="1"/>
  <c r="I8" i="10"/>
  <c r="L8" i="10" s="1"/>
  <c r="I9" i="10"/>
  <c r="L9" i="10" s="1"/>
  <c r="I10" i="10"/>
  <c r="L10" i="10" s="1"/>
  <c r="I11" i="10"/>
  <c r="L11" i="10" s="1"/>
  <c r="I12" i="10"/>
  <c r="L12" i="10" s="1"/>
  <c r="I13" i="10"/>
  <c r="L13" i="10" s="1"/>
  <c r="I14" i="10"/>
  <c r="L14" i="10" s="1"/>
  <c r="I15" i="10"/>
  <c r="L15" i="10" s="1"/>
  <c r="I16" i="10"/>
  <c r="L16" i="10" s="1"/>
  <c r="I17" i="10"/>
  <c r="I18" i="10"/>
  <c r="I19" i="10"/>
  <c r="I20" i="10"/>
  <c r="I21" i="10"/>
  <c r="I22" i="10"/>
  <c r="I23" i="10"/>
  <c r="L23" i="10" s="1"/>
  <c r="I24" i="10"/>
  <c r="L24" i="10" s="1"/>
  <c r="I25" i="10"/>
  <c r="L25" i="10" s="1"/>
  <c r="I26" i="10"/>
  <c r="L26" i="10" s="1"/>
  <c r="I27" i="10"/>
  <c r="L27" i="10" s="1"/>
  <c r="I28" i="10"/>
  <c r="L28" i="10" s="1"/>
  <c r="I29" i="10"/>
  <c r="I30" i="10"/>
  <c r="I31" i="10"/>
  <c r="I32" i="10"/>
  <c r="I33" i="10"/>
  <c r="I34" i="10"/>
  <c r="I35" i="10"/>
  <c r="L35" i="10" s="1"/>
  <c r="I36" i="10"/>
  <c r="L36" i="10" s="1"/>
  <c r="I37" i="10"/>
  <c r="L37" i="10" s="1"/>
  <c r="I38" i="10"/>
  <c r="L38" i="10" s="1"/>
  <c r="I39" i="10"/>
  <c r="L39" i="10" s="1"/>
  <c r="I40" i="10"/>
  <c r="L40" i="10" s="1"/>
  <c r="I41" i="10"/>
  <c r="I42" i="10"/>
  <c r="I43" i="10"/>
  <c r="I44" i="10"/>
  <c r="I45" i="10"/>
  <c r="I46" i="10"/>
  <c r="I47" i="10"/>
  <c r="L47" i="10" s="1"/>
  <c r="I48" i="10"/>
  <c r="L48" i="10" s="1"/>
  <c r="I49" i="10"/>
  <c r="L49" i="10" s="1"/>
  <c r="I50" i="10"/>
  <c r="L50" i="10" s="1"/>
  <c r="I51" i="10"/>
  <c r="L51" i="10" s="1"/>
  <c r="I52" i="10"/>
  <c r="L52" i="10" s="1"/>
  <c r="I53" i="10"/>
  <c r="I54" i="10"/>
  <c r="I55" i="10"/>
  <c r="I56" i="10"/>
  <c r="I57" i="10"/>
  <c r="I58" i="10"/>
  <c r="I59" i="10"/>
  <c r="L59" i="10" s="1"/>
  <c r="I60" i="10"/>
  <c r="L60" i="10" s="1"/>
  <c r="I61" i="10"/>
  <c r="L61" i="10" s="1"/>
  <c r="I62" i="10"/>
  <c r="L62" i="10" s="1"/>
  <c r="I63" i="10"/>
  <c r="L63" i="10" s="1"/>
  <c r="I64" i="10"/>
  <c r="L64" i="10" s="1"/>
  <c r="I65" i="10"/>
  <c r="I66" i="10"/>
  <c r="I67" i="10"/>
  <c r="I68" i="10"/>
  <c r="I69" i="10"/>
  <c r="I70" i="10"/>
  <c r="I71" i="10"/>
  <c r="L71" i="10" s="1"/>
  <c r="I72" i="10"/>
  <c r="L72" i="10" s="1"/>
  <c r="I73" i="10"/>
  <c r="L73" i="10" s="1"/>
  <c r="I74" i="10"/>
  <c r="L74" i="10" s="1"/>
  <c r="I75" i="10"/>
  <c r="L75" i="10" s="1"/>
  <c r="I76" i="10"/>
  <c r="L76" i="10" s="1"/>
  <c r="I77" i="10"/>
  <c r="I78" i="10"/>
  <c r="I79" i="10"/>
  <c r="I80" i="10"/>
  <c r="I81" i="10"/>
  <c r="I82" i="10"/>
  <c r="I83" i="10"/>
  <c r="L83" i="10" s="1"/>
  <c r="I84" i="10"/>
  <c r="L84" i="10" s="1"/>
  <c r="I85" i="10"/>
  <c r="L85" i="10" s="1"/>
  <c r="I86" i="10"/>
  <c r="L86" i="10" s="1"/>
  <c r="I87" i="10"/>
  <c r="L87" i="10" s="1"/>
  <c r="I88" i="10"/>
  <c r="L88" i="10" s="1"/>
  <c r="I89" i="10"/>
  <c r="I90" i="10"/>
  <c r="I91" i="10"/>
  <c r="I92" i="10"/>
  <c r="I93" i="10"/>
  <c r="I94" i="10"/>
  <c r="I95" i="10"/>
  <c r="L95" i="10" s="1"/>
  <c r="I96" i="10"/>
  <c r="L96" i="10" s="1"/>
  <c r="I97" i="10"/>
  <c r="L97" i="10" s="1"/>
  <c r="I98" i="10"/>
  <c r="L98" i="10" s="1"/>
  <c r="I99" i="10"/>
  <c r="L99" i="10" s="1"/>
  <c r="I100" i="10"/>
  <c r="L100" i="10" s="1"/>
  <c r="I101" i="10"/>
  <c r="I102" i="10"/>
  <c r="I103" i="10"/>
  <c r="I104" i="10"/>
  <c r="I105" i="10"/>
  <c r="I106" i="10"/>
  <c r="I107" i="10"/>
  <c r="L107" i="10" s="1"/>
  <c r="I108" i="10"/>
  <c r="L108" i="10" s="1"/>
  <c r="I109" i="10"/>
  <c r="L109" i="10" s="1"/>
  <c r="I110" i="10"/>
  <c r="L110" i="10" s="1"/>
  <c r="I111" i="10"/>
  <c r="L111" i="10" s="1"/>
  <c r="I112" i="10"/>
  <c r="L112" i="10" s="1"/>
  <c r="I113" i="10"/>
  <c r="I114" i="10"/>
  <c r="I115" i="10"/>
  <c r="I116" i="10"/>
  <c r="I117" i="10"/>
  <c r="I118" i="10"/>
  <c r="I119" i="10"/>
  <c r="L119" i="10" s="1"/>
  <c r="I120" i="10"/>
  <c r="L120" i="10" s="1"/>
  <c r="I121" i="10"/>
  <c r="L121" i="10" s="1"/>
  <c r="I122" i="10"/>
  <c r="L122" i="10" s="1"/>
  <c r="I123" i="10"/>
  <c r="L123" i="10" s="1"/>
  <c r="I124" i="10"/>
  <c r="L124" i="10" s="1"/>
  <c r="I125" i="10"/>
  <c r="I126" i="10"/>
  <c r="I127" i="10"/>
  <c r="I128" i="10"/>
  <c r="I129" i="10"/>
  <c r="I130" i="10"/>
  <c r="I131" i="10"/>
  <c r="L131" i="10" s="1"/>
  <c r="I132" i="10"/>
  <c r="L132" i="10" s="1"/>
  <c r="I133" i="10"/>
  <c r="L133" i="10" s="1"/>
  <c r="I134" i="10"/>
  <c r="L134" i="10" s="1"/>
  <c r="I135" i="10"/>
  <c r="L135" i="10" s="1"/>
  <c r="I136" i="10"/>
  <c r="L136" i="10" s="1"/>
  <c r="I137" i="10"/>
  <c r="I138" i="10"/>
  <c r="I139" i="10"/>
  <c r="I140" i="10"/>
  <c r="I141" i="10"/>
  <c r="I142" i="10"/>
  <c r="I143" i="10"/>
  <c r="L143" i="10" s="1"/>
  <c r="I144" i="10"/>
  <c r="L144" i="10" s="1"/>
  <c r="I145" i="10"/>
  <c r="L145" i="10" s="1"/>
  <c r="I146" i="10"/>
  <c r="L146" i="10" s="1"/>
  <c r="I147" i="10"/>
  <c r="L147" i="10" s="1"/>
  <c r="I148" i="10"/>
  <c r="L148" i="10" s="1"/>
  <c r="I149" i="10"/>
  <c r="I150" i="10"/>
  <c r="I151" i="10"/>
  <c r="I152" i="10"/>
  <c r="I153" i="10"/>
  <c r="I154" i="10"/>
  <c r="I155" i="10"/>
  <c r="L155" i="10" s="1"/>
  <c r="I156" i="10"/>
  <c r="L156" i="10" s="1"/>
  <c r="I157" i="10"/>
  <c r="L157" i="10" s="1"/>
  <c r="I158" i="10"/>
  <c r="L158" i="10" s="1"/>
  <c r="I159" i="10"/>
  <c r="L159" i="10" s="1"/>
  <c r="I160" i="10"/>
  <c r="L160" i="10" s="1"/>
  <c r="I161" i="10"/>
  <c r="I162" i="10"/>
  <c r="I163" i="10"/>
  <c r="I164" i="10"/>
  <c r="I165" i="10"/>
  <c r="I166" i="10"/>
  <c r="I167" i="10"/>
  <c r="L167" i="10" s="1"/>
  <c r="I168" i="10"/>
  <c r="L168" i="10" s="1"/>
  <c r="I169" i="10"/>
  <c r="L169" i="10" s="1"/>
  <c r="I170" i="10"/>
  <c r="L170" i="10" s="1"/>
  <c r="I171" i="10"/>
  <c r="L171" i="10" s="1"/>
  <c r="I172" i="10"/>
  <c r="L172" i="10" s="1"/>
  <c r="I173" i="10"/>
  <c r="I174" i="10"/>
  <c r="I175" i="10"/>
  <c r="I176" i="10"/>
  <c r="I177" i="10"/>
  <c r="I178" i="10"/>
  <c r="I179" i="10"/>
  <c r="L179" i="10" s="1"/>
  <c r="I180" i="10"/>
  <c r="L180" i="10" s="1"/>
  <c r="I181" i="10"/>
  <c r="L181" i="10" s="1"/>
  <c r="I182" i="10"/>
  <c r="L182" i="10" s="1"/>
  <c r="I183" i="10"/>
  <c r="L183" i="10" s="1"/>
  <c r="I184" i="10"/>
  <c r="L184" i="10" s="1"/>
  <c r="I185" i="10"/>
  <c r="I186" i="10"/>
  <c r="I187" i="10"/>
  <c r="I188" i="10"/>
  <c r="I189" i="10"/>
  <c r="I190" i="10"/>
  <c r="I191" i="10"/>
  <c r="L191" i="10" s="1"/>
  <c r="I192" i="10"/>
  <c r="L192" i="10" s="1"/>
  <c r="I193" i="10"/>
  <c r="L193" i="10" s="1"/>
  <c r="I194" i="10"/>
  <c r="L194" i="10" s="1"/>
  <c r="I195" i="10"/>
  <c r="L195" i="10" s="1"/>
  <c r="I196" i="10"/>
  <c r="L196" i="10" s="1"/>
  <c r="I197" i="10"/>
  <c r="I198" i="10"/>
  <c r="I199" i="10"/>
  <c r="I200" i="10"/>
  <c r="I201" i="10"/>
  <c r="I202" i="10"/>
  <c r="I203" i="10"/>
  <c r="L203" i="10" s="1"/>
  <c r="I204" i="10"/>
  <c r="L204" i="10" s="1"/>
  <c r="I205" i="10"/>
  <c r="L205" i="10" s="1"/>
  <c r="I206" i="10"/>
  <c r="L206" i="10" s="1"/>
  <c r="I207" i="10"/>
  <c r="L207" i="10" s="1"/>
  <c r="I208" i="10"/>
  <c r="L208" i="10" s="1"/>
  <c r="I209" i="10"/>
  <c r="I210" i="10"/>
  <c r="I211" i="10"/>
  <c r="I212" i="10"/>
  <c r="I213" i="10"/>
  <c r="I214" i="10"/>
  <c r="I215" i="10"/>
  <c r="L215" i="10" s="1"/>
  <c r="I216" i="10"/>
  <c r="L216" i="10" s="1"/>
  <c r="I217" i="10"/>
  <c r="L217" i="10" s="1"/>
  <c r="I218" i="10"/>
  <c r="L218" i="10" s="1"/>
  <c r="I219" i="10"/>
  <c r="L219" i="10" s="1"/>
  <c r="I220" i="10"/>
  <c r="L220" i="10" s="1"/>
  <c r="I221" i="10"/>
  <c r="I222" i="10"/>
  <c r="I223" i="10"/>
  <c r="I224" i="10"/>
  <c r="I225" i="10"/>
  <c r="I226" i="10"/>
  <c r="I227" i="10"/>
  <c r="L227" i="10" s="1"/>
  <c r="I228" i="10"/>
  <c r="L228" i="10" s="1"/>
  <c r="I229" i="10"/>
  <c r="L229" i="10" s="1"/>
  <c r="I230" i="10"/>
  <c r="L230" i="10" s="1"/>
  <c r="I231" i="10"/>
  <c r="L231" i="10" s="1"/>
  <c r="I232" i="10"/>
  <c r="L232" i="10" s="1"/>
  <c r="I233" i="10"/>
  <c r="I234" i="10"/>
  <c r="I235" i="10"/>
  <c r="I236" i="10"/>
  <c r="I237" i="10"/>
  <c r="I238" i="10"/>
  <c r="I239" i="10"/>
  <c r="L239" i="10" s="1"/>
  <c r="I240" i="10"/>
  <c r="L240" i="10" s="1"/>
  <c r="I241" i="10"/>
  <c r="L241" i="10" s="1"/>
  <c r="I242" i="10"/>
  <c r="L242" i="10" s="1"/>
  <c r="I243" i="10"/>
  <c r="L243" i="10" s="1"/>
  <c r="I244" i="10"/>
  <c r="L244" i="10" s="1"/>
  <c r="I245" i="10"/>
  <c r="I246" i="10"/>
  <c r="I247" i="10"/>
  <c r="I248" i="10"/>
  <c r="I249" i="10"/>
  <c r="I250" i="10"/>
  <c r="I251" i="10"/>
  <c r="L251" i="10" s="1"/>
  <c r="I252" i="10"/>
  <c r="L252" i="10" s="1"/>
  <c r="I253" i="10"/>
  <c r="L253" i="10" s="1"/>
  <c r="I254" i="10"/>
  <c r="L254" i="10" s="1"/>
  <c r="I255" i="10"/>
  <c r="L255" i="10" s="1"/>
  <c r="I256" i="10"/>
  <c r="L256" i="10" s="1"/>
  <c r="I257" i="10"/>
  <c r="I258" i="10"/>
  <c r="I259" i="10"/>
  <c r="I260" i="10"/>
  <c r="I261" i="10"/>
  <c r="I262" i="10"/>
  <c r="I263" i="10"/>
  <c r="L263" i="10" s="1"/>
  <c r="I264" i="10"/>
  <c r="L264" i="10" s="1"/>
  <c r="I265" i="10"/>
  <c r="L265" i="10" s="1"/>
  <c r="I266" i="10"/>
  <c r="L266" i="10" s="1"/>
  <c r="I267" i="10"/>
  <c r="L267" i="10" s="1"/>
  <c r="I268" i="10"/>
  <c r="L268" i="10" s="1"/>
  <c r="I269" i="10"/>
  <c r="I270" i="10"/>
  <c r="I271" i="10"/>
  <c r="I272" i="10"/>
  <c r="I273" i="10"/>
  <c r="I274" i="10"/>
  <c r="I275" i="10"/>
  <c r="L275" i="10" s="1"/>
  <c r="I276" i="10"/>
  <c r="L276" i="10" s="1"/>
  <c r="I277" i="10"/>
  <c r="L277" i="10" s="1"/>
  <c r="I278" i="10"/>
  <c r="L278" i="10" s="1"/>
  <c r="I279" i="10"/>
  <c r="L279" i="10" s="1"/>
  <c r="I280" i="10"/>
  <c r="L280" i="10" s="1"/>
  <c r="I281" i="10"/>
  <c r="I282" i="10"/>
  <c r="I283" i="10"/>
  <c r="I284" i="10"/>
  <c r="I285" i="10"/>
  <c r="I286" i="10"/>
  <c r="I287" i="10"/>
  <c r="L287" i="10" s="1"/>
  <c r="I288" i="10"/>
  <c r="L288" i="10" s="1"/>
  <c r="I289" i="10"/>
  <c r="L289" i="10" s="1"/>
  <c r="I290" i="10"/>
  <c r="L290" i="10" s="1"/>
  <c r="I291" i="10"/>
  <c r="L291" i="10" s="1"/>
  <c r="I292" i="10"/>
  <c r="L292" i="10" s="1"/>
  <c r="I293" i="10"/>
  <c r="I294" i="10"/>
  <c r="I295" i="10"/>
  <c r="I296" i="10"/>
  <c r="I297" i="10"/>
  <c r="I298" i="10"/>
  <c r="I299" i="10"/>
  <c r="L299" i="10" s="1"/>
  <c r="I300" i="10"/>
  <c r="L300" i="10" s="1"/>
  <c r="I301" i="10"/>
  <c r="L301" i="10" s="1"/>
  <c r="I302" i="10"/>
  <c r="L302" i="10" s="1"/>
  <c r="I303" i="10"/>
  <c r="L303" i="10" s="1"/>
  <c r="I304" i="10"/>
  <c r="L304" i="10" s="1"/>
  <c r="I305" i="10"/>
  <c r="I306" i="10"/>
  <c r="I307" i="10"/>
  <c r="I308" i="10"/>
  <c r="I309" i="10"/>
  <c r="I310" i="10"/>
  <c r="I311" i="10"/>
  <c r="L311" i="10" s="1"/>
  <c r="I312" i="10"/>
  <c r="L312" i="10" s="1"/>
  <c r="I313" i="10"/>
  <c r="L313" i="10" s="1"/>
  <c r="I314" i="10"/>
  <c r="L314" i="10" s="1"/>
  <c r="I315" i="10"/>
  <c r="L315" i="10" s="1"/>
  <c r="I316" i="10"/>
  <c r="L316" i="10" s="1"/>
  <c r="I317" i="10"/>
  <c r="I318" i="10"/>
  <c r="I319" i="10"/>
  <c r="I320" i="10"/>
  <c r="I321" i="10"/>
  <c r="I322" i="10"/>
  <c r="I323" i="10"/>
  <c r="L323" i="10" s="1"/>
  <c r="I324" i="10"/>
  <c r="L324" i="10" s="1"/>
  <c r="I325" i="10"/>
  <c r="L325" i="10" s="1"/>
  <c r="I326" i="10"/>
  <c r="L326" i="10" s="1"/>
  <c r="I327" i="10"/>
  <c r="L327" i="10" s="1"/>
  <c r="I328" i="10"/>
  <c r="L328" i="10" s="1"/>
  <c r="I329" i="10"/>
  <c r="I330" i="10"/>
  <c r="I331" i="10"/>
  <c r="I332" i="10"/>
  <c r="I333" i="10"/>
  <c r="I334" i="10"/>
  <c r="I335" i="10"/>
  <c r="L335" i="10" s="1"/>
  <c r="I336" i="10"/>
  <c r="L336" i="10" s="1"/>
  <c r="I337" i="10"/>
  <c r="L337" i="10" s="1"/>
  <c r="I338" i="10"/>
  <c r="L338" i="10" s="1"/>
  <c r="I339" i="10"/>
  <c r="L339" i="10" s="1"/>
  <c r="I340" i="10"/>
  <c r="L340" i="10" s="1"/>
  <c r="I341" i="10"/>
  <c r="I342" i="10"/>
  <c r="I343" i="10"/>
  <c r="I344" i="10"/>
  <c r="I345" i="10"/>
  <c r="I346" i="10"/>
  <c r="I347" i="10"/>
  <c r="L347" i="10" s="1"/>
  <c r="I348" i="10"/>
  <c r="L348" i="10" s="1"/>
  <c r="I349" i="10"/>
  <c r="L349" i="10" s="1"/>
  <c r="I350" i="10"/>
  <c r="L350" i="10" s="1"/>
  <c r="I351" i="10"/>
  <c r="L351" i="10" s="1"/>
  <c r="I352" i="10"/>
  <c r="L352" i="10" s="1"/>
  <c r="I353" i="10"/>
  <c r="I354" i="10"/>
  <c r="I355" i="10"/>
  <c r="I356" i="10"/>
  <c r="I357" i="10"/>
  <c r="I358" i="10"/>
  <c r="I359" i="10"/>
  <c r="L359" i="10" s="1"/>
  <c r="I360" i="10"/>
  <c r="L360" i="10" s="1"/>
  <c r="I361" i="10"/>
  <c r="L361" i="10" s="1"/>
  <c r="I362" i="10"/>
  <c r="L362" i="10" s="1"/>
  <c r="I363" i="10"/>
  <c r="L363" i="10" s="1"/>
  <c r="I364" i="10"/>
  <c r="L364" i="10" s="1"/>
  <c r="I365" i="10"/>
  <c r="I366" i="10"/>
  <c r="I367" i="10"/>
  <c r="I368" i="10"/>
  <c r="I369" i="10"/>
  <c r="I370" i="10"/>
  <c r="I371" i="10"/>
  <c r="L371" i="10" s="1"/>
  <c r="I372" i="10"/>
  <c r="L372" i="10" s="1"/>
  <c r="I373" i="10"/>
  <c r="L373" i="10" s="1"/>
  <c r="I374" i="10"/>
  <c r="L374" i="10" s="1"/>
  <c r="I375" i="10"/>
  <c r="L375" i="10" s="1"/>
  <c r="I376" i="10"/>
  <c r="L376" i="10" s="1"/>
  <c r="I377" i="10"/>
  <c r="I378" i="10"/>
  <c r="I379" i="10"/>
  <c r="I380" i="10"/>
  <c r="I381" i="10"/>
  <c r="I382" i="10"/>
  <c r="I383" i="10"/>
  <c r="L383" i="10" s="1"/>
  <c r="I384" i="10"/>
  <c r="L384" i="10" s="1"/>
  <c r="I385" i="10"/>
  <c r="L385" i="10" s="1"/>
  <c r="I386" i="10"/>
  <c r="L386" i="10" s="1"/>
  <c r="I387" i="10"/>
  <c r="L387" i="10" s="1"/>
  <c r="I388" i="10"/>
  <c r="L388" i="10" s="1"/>
  <c r="I389" i="10"/>
  <c r="I390" i="10"/>
  <c r="I391" i="10"/>
  <c r="I392" i="10"/>
  <c r="I393" i="10"/>
  <c r="I394" i="10"/>
  <c r="I395" i="10"/>
  <c r="L395" i="10" s="1"/>
  <c r="I396" i="10"/>
  <c r="L396" i="10" s="1"/>
  <c r="I397" i="10"/>
  <c r="L397" i="10" s="1"/>
  <c r="I398" i="10"/>
  <c r="L398" i="10" s="1"/>
  <c r="I399" i="10"/>
  <c r="L399" i="10" s="1"/>
  <c r="I400" i="10"/>
  <c r="L400" i="10" s="1"/>
  <c r="I401" i="10"/>
  <c r="I402" i="10"/>
  <c r="I403" i="10"/>
  <c r="I404" i="10"/>
  <c r="I405" i="10"/>
  <c r="I406" i="10"/>
  <c r="I407" i="10"/>
  <c r="L407" i="10" s="1"/>
  <c r="I408" i="10"/>
  <c r="L408" i="10" s="1"/>
  <c r="I409" i="10"/>
  <c r="L409" i="10" s="1"/>
  <c r="I410" i="10"/>
  <c r="L410" i="10" s="1"/>
  <c r="I411" i="10"/>
  <c r="L411" i="10" s="1"/>
  <c r="I412" i="10"/>
  <c r="L412" i="10" s="1"/>
  <c r="I413" i="10"/>
  <c r="I414" i="10"/>
  <c r="I415" i="10"/>
  <c r="I416" i="10"/>
  <c r="I417" i="10"/>
  <c r="I418" i="10"/>
  <c r="I419" i="10"/>
  <c r="L419" i="10" s="1"/>
  <c r="I420" i="10"/>
  <c r="L420" i="10" s="1"/>
  <c r="I421" i="10"/>
  <c r="L421" i="10" s="1"/>
  <c r="I422" i="10"/>
  <c r="L422" i="10" s="1"/>
  <c r="I423" i="10"/>
  <c r="L423" i="10" s="1"/>
  <c r="I424" i="10"/>
  <c r="L424" i="10" s="1"/>
  <c r="I425" i="10"/>
  <c r="I426" i="10"/>
  <c r="I427" i="10"/>
  <c r="I428" i="10"/>
  <c r="I429" i="10"/>
  <c r="I430" i="10"/>
  <c r="I431" i="10"/>
  <c r="L431" i="10" s="1"/>
  <c r="I432" i="10"/>
  <c r="L432" i="10" s="1"/>
  <c r="I433" i="10"/>
  <c r="L433" i="10" s="1"/>
  <c r="I434" i="10"/>
  <c r="L434" i="10" s="1"/>
  <c r="I435" i="10"/>
  <c r="L435" i="10" s="1"/>
  <c r="I436" i="10"/>
  <c r="L436" i="10" s="1"/>
  <c r="I437" i="10"/>
  <c r="I438" i="10"/>
  <c r="I439" i="10"/>
  <c r="I440" i="10"/>
  <c r="I441" i="10"/>
  <c r="I442" i="10"/>
  <c r="I443" i="10"/>
  <c r="L443" i="10" s="1"/>
  <c r="I444" i="10"/>
  <c r="L444" i="10" s="1"/>
  <c r="I445" i="10"/>
  <c r="L445" i="10" s="1"/>
  <c r="I446" i="10"/>
  <c r="L446" i="10" s="1"/>
  <c r="I447" i="10"/>
  <c r="L447" i="10" s="1"/>
  <c r="I448" i="10"/>
  <c r="L448" i="10" s="1"/>
  <c r="I449" i="10"/>
  <c r="I450" i="10"/>
  <c r="I451" i="10"/>
  <c r="I452" i="10"/>
  <c r="I453" i="10"/>
  <c r="I454" i="10"/>
  <c r="I455" i="10"/>
  <c r="L455" i="10" s="1"/>
  <c r="I456" i="10"/>
  <c r="L456" i="10" s="1"/>
  <c r="I457" i="10"/>
  <c r="L457" i="10" s="1"/>
  <c r="I458" i="10"/>
  <c r="L458" i="10" s="1"/>
  <c r="I459" i="10"/>
  <c r="L459" i="10" s="1"/>
  <c r="I460" i="10"/>
  <c r="L460" i="10" s="1"/>
  <c r="I461" i="10"/>
  <c r="I462" i="10"/>
  <c r="I463" i="10"/>
  <c r="I464" i="10"/>
  <c r="I465" i="10"/>
  <c r="I466" i="10"/>
  <c r="I467" i="10"/>
  <c r="L467" i="10" s="1"/>
  <c r="I468" i="10"/>
  <c r="L468" i="10" s="1"/>
  <c r="I469" i="10"/>
  <c r="L469" i="10" s="1"/>
  <c r="I470" i="10"/>
  <c r="L470" i="10" s="1"/>
  <c r="I471" i="10"/>
  <c r="L471" i="10" s="1"/>
  <c r="I472" i="10"/>
  <c r="L472" i="10" s="1"/>
  <c r="I473" i="10"/>
  <c r="I474" i="10"/>
  <c r="I475" i="10"/>
  <c r="I476" i="10"/>
  <c r="I477" i="10"/>
  <c r="I478" i="10"/>
  <c r="I479" i="10"/>
  <c r="L479" i="10" s="1"/>
  <c r="I480" i="10"/>
  <c r="L480" i="10" s="1"/>
  <c r="I481" i="10"/>
  <c r="L481" i="10" s="1"/>
  <c r="I482" i="10"/>
  <c r="L482" i="10" s="1"/>
  <c r="I483" i="10"/>
  <c r="L483" i="10" s="1"/>
  <c r="I484" i="10"/>
  <c r="L484" i="10" s="1"/>
  <c r="I485" i="10"/>
  <c r="I486" i="10"/>
  <c r="I487" i="10"/>
  <c r="I488" i="10"/>
  <c r="I489" i="10"/>
  <c r="I490" i="10"/>
  <c r="I491" i="10"/>
  <c r="L491" i="10" s="1"/>
  <c r="I492" i="10"/>
  <c r="L492" i="10" s="1"/>
  <c r="I493" i="10"/>
  <c r="L493" i="10" s="1"/>
  <c r="I494" i="10"/>
  <c r="L494" i="10" s="1"/>
  <c r="I495" i="10"/>
  <c r="L495" i="10" s="1"/>
  <c r="I496" i="10"/>
  <c r="L496" i="10" s="1"/>
  <c r="I497" i="10"/>
  <c r="I498" i="10"/>
  <c r="I499" i="10"/>
  <c r="I500" i="10"/>
  <c r="I501"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3" i="10"/>
  <c r="A4" i="10"/>
  <c r="A5" i="10"/>
  <c r="A6" i="10"/>
  <c r="A7" i="10"/>
  <c r="A8" i="10"/>
  <c r="A9" i="10"/>
  <c r="A10" i="10"/>
  <c r="A11" i="10"/>
  <c r="A12" i="10"/>
  <c r="A13" i="10"/>
  <c r="A14" i="10"/>
  <c r="A15" i="10"/>
  <c r="A16" i="10"/>
  <c r="A17" i="10"/>
  <c r="A18" i="10"/>
  <c r="K2" i="10"/>
  <c r="J2" i="10"/>
  <c r="I2" i="10"/>
  <c r="L2" i="10" s="1"/>
  <c r="H2" i="10"/>
  <c r="G2" i="10"/>
  <c r="F2" i="10"/>
  <c r="E2" i="10"/>
  <c r="D2" i="10"/>
  <c r="C2" i="10"/>
  <c r="B2" i="10"/>
  <c r="A2" i="10"/>
  <c r="X11" i="16" l="1"/>
  <c r="AJ39" i="16" s="1"/>
  <c r="AJ7" i="16"/>
  <c r="AI7" i="16"/>
  <c r="X23" i="16"/>
  <c r="AJ51" i="16" s="1"/>
  <c r="AC18" i="16"/>
  <c r="AK46" i="16" s="1"/>
  <c r="AC23" i="16"/>
  <c r="AK51" i="16" s="1"/>
  <c r="AC21" i="16"/>
  <c r="AK49" i="16" s="1"/>
  <c r="L17" i="16"/>
  <c r="AH45" i="16" s="1"/>
  <c r="AJ6" i="16"/>
  <c r="X3" i="16"/>
  <c r="AJ5" i="16"/>
  <c r="AI6" i="16"/>
  <c r="J8" i="16"/>
  <c r="M8" i="16" s="1"/>
  <c r="U22" i="16"/>
  <c r="U21" i="16"/>
  <c r="O10" i="16"/>
  <c r="Q10" i="16" s="1"/>
  <c r="R10" i="16" s="1"/>
  <c r="AI38" i="16" s="1"/>
  <c r="O9" i="16"/>
  <c r="S9" i="16" s="1"/>
  <c r="U19" i="16"/>
  <c r="O7" i="16"/>
  <c r="O6" i="16"/>
  <c r="Q6" i="16" s="1"/>
  <c r="R6" i="16" s="1"/>
  <c r="AI34" i="16" s="1"/>
  <c r="U10" i="16"/>
  <c r="AC11" i="16"/>
  <c r="AK39" i="16" s="1"/>
  <c r="W22" i="16"/>
  <c r="Y22" i="16" s="1"/>
  <c r="AD22" i="16"/>
  <c r="J22" i="16"/>
  <c r="K22" i="16" s="1"/>
  <c r="L22" i="16" s="1"/>
  <c r="AH50" i="16" s="1"/>
  <c r="AC20" i="16"/>
  <c r="AK48" i="16" s="1"/>
  <c r="S8" i="16"/>
  <c r="AC10" i="16"/>
  <c r="AK38" i="16" s="1"/>
  <c r="Q9" i="16"/>
  <c r="R9" i="16" s="1"/>
  <c r="AI37" i="16" s="1"/>
  <c r="Q8" i="16"/>
  <c r="R8" i="16" s="1"/>
  <c r="AI36" i="16" s="1"/>
  <c r="W21" i="16"/>
  <c r="Y21" i="16" s="1"/>
  <c r="AD23" i="16"/>
  <c r="S11" i="16"/>
  <c r="AD21" i="16"/>
  <c r="Q7" i="16"/>
  <c r="R7" i="16" s="1"/>
  <c r="AI35" i="16" s="1"/>
  <c r="AA9" i="16"/>
  <c r="AD9" i="16" s="1"/>
  <c r="AA8" i="16"/>
  <c r="AD8" i="16" s="1"/>
  <c r="J23" i="16"/>
  <c r="M23" i="16" s="1"/>
  <c r="M21" i="16"/>
  <c r="O5" i="16"/>
  <c r="Q5" i="16" s="1"/>
  <c r="R5" i="16" s="1"/>
  <c r="AI33" i="16" s="1"/>
  <c r="U17" i="16"/>
  <c r="W17" i="16" s="1"/>
  <c r="Y17" i="16" s="1"/>
  <c r="AD11" i="16"/>
  <c r="W11" i="16"/>
  <c r="Y11" i="16" s="1"/>
  <c r="J20" i="16"/>
  <c r="S10" i="16"/>
  <c r="U9" i="16"/>
  <c r="W9" i="16" s="1"/>
  <c r="Y9" i="16" s="1"/>
  <c r="W20" i="16"/>
  <c r="Y20" i="16" s="1"/>
  <c r="AC22" i="16"/>
  <c r="AK50" i="16" s="1"/>
  <c r="AH4" i="16"/>
  <c r="J11" i="16"/>
  <c r="K11" i="16" s="1"/>
  <c r="L11" i="16" s="1"/>
  <c r="AH39" i="16" s="1"/>
  <c r="O21" i="16"/>
  <c r="Q21" i="16" s="1"/>
  <c r="R21" i="16" s="1"/>
  <c r="AI49" i="16" s="1"/>
  <c r="AD10" i="16"/>
  <c r="O23" i="16"/>
  <c r="Q23" i="16" s="1"/>
  <c r="R23" i="16" s="1"/>
  <c r="AI51" i="16" s="1"/>
  <c r="AI5" i="16"/>
  <c r="AD17" i="16"/>
  <c r="W10" i="16"/>
  <c r="Y10" i="16" s="1"/>
  <c r="AK4" i="16"/>
  <c r="Y3" i="16"/>
  <c r="M10" i="16"/>
  <c r="K10" i="16"/>
  <c r="L10" i="16" s="1"/>
  <c r="AH38" i="16" s="1"/>
  <c r="K9" i="16"/>
  <c r="L9" i="16" s="1"/>
  <c r="AH37" i="16" s="1"/>
  <c r="M9" i="16"/>
  <c r="AC17" i="16"/>
  <c r="AK45" i="16" s="1"/>
  <c r="S19" i="16"/>
  <c r="AD18" i="16"/>
  <c r="M6" i="16"/>
  <c r="W19" i="16"/>
  <c r="Y19" i="16" s="1"/>
  <c r="W5" i="16"/>
  <c r="Y5" i="16" s="1"/>
  <c r="W18" i="16"/>
  <c r="Y18" i="16" s="1"/>
  <c r="M11" i="16"/>
  <c r="K8" i="16"/>
  <c r="L8" i="16" s="1"/>
  <c r="AH36" i="16" s="1"/>
  <c r="M17" i="16"/>
  <c r="AA6" i="16"/>
  <c r="AD6" i="16" s="1"/>
  <c r="AA16" i="16"/>
  <c r="AD16" i="16" s="1"/>
  <c r="U26" i="16"/>
  <c r="W26" i="16" s="1"/>
  <c r="Y26" i="16" s="1"/>
  <c r="O26" i="16"/>
  <c r="Q26" i="16" s="1"/>
  <c r="R26" i="16" s="1"/>
  <c r="AI54" i="16" s="1"/>
  <c r="J26" i="16"/>
  <c r="K26" i="16" s="1"/>
  <c r="L26" i="16" s="1"/>
  <c r="AH54" i="16" s="1"/>
  <c r="AA14" i="16"/>
  <c r="AD14" i="16" s="1"/>
  <c r="Q20" i="16"/>
  <c r="R20" i="16" s="1"/>
  <c r="AI48" i="16" s="1"/>
  <c r="U25" i="16"/>
  <c r="W25" i="16" s="1"/>
  <c r="Y25" i="16" s="1"/>
  <c r="O25" i="16"/>
  <c r="Q25" i="16" s="1"/>
  <c r="R25" i="16" s="1"/>
  <c r="AI53" i="16" s="1"/>
  <c r="J25" i="16"/>
  <c r="K25" i="16" s="1"/>
  <c r="L25" i="16" s="1"/>
  <c r="AH53" i="16" s="1"/>
  <c r="U13" i="16"/>
  <c r="W13" i="16" s="1"/>
  <c r="Y13" i="16" s="1"/>
  <c r="O13" i="16"/>
  <c r="Q13" i="16" s="1"/>
  <c r="R13" i="16" s="1"/>
  <c r="AI41" i="16" s="1"/>
  <c r="J13" i="16"/>
  <c r="K13" i="16" s="1"/>
  <c r="L13" i="16" s="1"/>
  <c r="AH41" i="16" s="1"/>
  <c r="AA25" i="16"/>
  <c r="AD25" i="16" s="1"/>
  <c r="AA13" i="16"/>
  <c r="AD13" i="16" s="1"/>
  <c r="J19" i="16"/>
  <c r="K19" i="16" s="1"/>
  <c r="L19" i="16" s="1"/>
  <c r="AH47" i="16" s="1"/>
  <c r="U6" i="16"/>
  <c r="W6" i="16" s="1"/>
  <c r="Y6" i="16" s="1"/>
  <c r="AA19" i="16"/>
  <c r="AB3" i="16"/>
  <c r="AC3" i="16" s="1"/>
  <c r="J7" i="16"/>
  <c r="K7" i="16" s="1"/>
  <c r="L7" i="16" s="1"/>
  <c r="AH35" i="16" s="1"/>
  <c r="M18" i="16"/>
  <c r="AA7" i="16"/>
  <c r="AD7" i="16" s="1"/>
  <c r="U16" i="16"/>
  <c r="W16" i="16" s="1"/>
  <c r="Y16" i="16" s="1"/>
  <c r="O16" i="16"/>
  <c r="Q16" i="16" s="1"/>
  <c r="R16" i="16" s="1"/>
  <c r="AI44" i="16" s="1"/>
  <c r="J16" i="16"/>
  <c r="K16" i="16" s="1"/>
  <c r="L16" i="16" s="1"/>
  <c r="AH44" i="16" s="1"/>
  <c r="AA4" i="16"/>
  <c r="J5" i="16"/>
  <c r="O18" i="16"/>
  <c r="Q22" i="16"/>
  <c r="R22" i="16" s="1"/>
  <c r="AI50" i="16" s="1"/>
  <c r="S7" i="16"/>
  <c r="AA5" i="16"/>
  <c r="AD5" i="16" s="1"/>
  <c r="U15" i="16"/>
  <c r="W15" i="16" s="1"/>
  <c r="Y15" i="16" s="1"/>
  <c r="O15" i="16"/>
  <c r="Q15" i="16" s="1"/>
  <c r="R15" i="16" s="1"/>
  <c r="AI43" i="16" s="1"/>
  <c r="J15" i="16"/>
  <c r="K15" i="16" s="1"/>
  <c r="L15" i="16" s="1"/>
  <c r="AH43" i="16" s="1"/>
  <c r="AA15" i="16"/>
  <c r="AD15" i="16" s="1"/>
  <c r="O17" i="16"/>
  <c r="S6" i="16"/>
  <c r="AI4" i="16"/>
  <c r="U14" i="16"/>
  <c r="W14" i="16" s="1"/>
  <c r="Y14" i="16" s="1"/>
  <c r="O14" i="16"/>
  <c r="Q14" i="16" s="1"/>
  <c r="R14" i="16" s="1"/>
  <c r="AI42" i="16" s="1"/>
  <c r="J14" i="16"/>
  <c r="K14" i="16" s="1"/>
  <c r="L14" i="16" s="1"/>
  <c r="AH42" i="16" s="1"/>
  <c r="AJ4" i="16"/>
  <c r="U24" i="16"/>
  <c r="W24" i="16" s="1"/>
  <c r="Y24" i="16" s="1"/>
  <c r="O24" i="16"/>
  <c r="Q24" i="16" s="1"/>
  <c r="R24" i="16" s="1"/>
  <c r="AI52" i="16" s="1"/>
  <c r="J24" i="16"/>
  <c r="K24" i="16" s="1"/>
  <c r="L24" i="16" s="1"/>
  <c r="AH52" i="16" s="1"/>
  <c r="U12" i="16"/>
  <c r="W12" i="16" s="1"/>
  <c r="O12" i="16"/>
  <c r="Q12" i="16" s="1"/>
  <c r="R12" i="16" s="1"/>
  <c r="AI40" i="16" s="1"/>
  <c r="J12" i="16"/>
  <c r="K12" i="16" s="1"/>
  <c r="L12" i="16" s="1"/>
  <c r="AH40" i="16" s="1"/>
  <c r="AA24" i="16"/>
  <c r="AD24" i="16" s="1"/>
  <c r="AA12" i="16"/>
  <c r="AD12" i="16" s="1"/>
  <c r="Y12" i="16"/>
  <c r="S3" i="16"/>
  <c r="M3" i="16"/>
  <c r="U4" i="16"/>
  <c r="W4" i="16" s="1"/>
  <c r="O4" i="16"/>
  <c r="Q4" i="16" s="1"/>
  <c r="R4" i="16" s="1"/>
  <c r="AI32" i="16" s="1"/>
  <c r="J4" i="16"/>
  <c r="K4" i="16" s="1"/>
  <c r="L4" i="16" s="1"/>
  <c r="AH32" i="16" s="1"/>
  <c r="U27" i="16"/>
  <c r="W27" i="16" s="1"/>
  <c r="Y27" i="16" s="1"/>
  <c r="O27" i="16"/>
  <c r="Q27" i="16" s="1"/>
  <c r="R27" i="16" s="1"/>
  <c r="AI55" i="16" s="1"/>
  <c r="J27" i="16"/>
  <c r="K27" i="16" s="1"/>
  <c r="L27" i="16" s="1"/>
  <c r="AH55" i="16" s="1"/>
  <c r="AA27" i="16"/>
  <c r="AD27" i="16" s="1"/>
  <c r="AA26" i="16"/>
  <c r="AD26" i="16" s="1"/>
  <c r="N367" i="15"/>
  <c r="N343" i="15"/>
  <c r="N319" i="15"/>
  <c r="K492" i="15"/>
  <c r="K479" i="15"/>
  <c r="K466" i="15"/>
  <c r="K453" i="15"/>
  <c r="K440" i="15"/>
  <c r="K427" i="15"/>
  <c r="K414" i="15"/>
  <c r="K400" i="15"/>
  <c r="K387" i="15"/>
  <c r="K374" i="15"/>
  <c r="K361" i="15"/>
  <c r="K348" i="15"/>
  <c r="K335" i="15"/>
  <c r="K322" i="15"/>
  <c r="K309" i="15"/>
  <c r="K296" i="15"/>
  <c r="K283" i="15"/>
  <c r="K270" i="15"/>
  <c r="K256" i="15"/>
  <c r="K243" i="15"/>
  <c r="K230" i="15"/>
  <c r="M230" i="15" s="1"/>
  <c r="N230" i="15" s="1"/>
  <c r="K204" i="15"/>
  <c r="K178" i="15"/>
  <c r="M178" i="15" s="1"/>
  <c r="N178" i="15" s="1"/>
  <c r="K165" i="15"/>
  <c r="K152" i="15"/>
  <c r="K139" i="15"/>
  <c r="K126" i="15"/>
  <c r="K112" i="15"/>
  <c r="K99" i="15"/>
  <c r="K86" i="15"/>
  <c r="M86" i="15" s="1"/>
  <c r="N86" i="15" s="1"/>
  <c r="K73" i="15"/>
  <c r="K60" i="15"/>
  <c r="K47" i="15"/>
  <c r="K34" i="15"/>
  <c r="K21" i="15"/>
  <c r="M21" i="15" s="1"/>
  <c r="N21" i="15" s="1"/>
  <c r="K8" i="15"/>
  <c r="L79" i="15"/>
  <c r="L66" i="15"/>
  <c r="L52" i="15"/>
  <c r="L39" i="15"/>
  <c r="L26" i="15"/>
  <c r="L13" i="15"/>
  <c r="L499" i="15"/>
  <c r="L486" i="15"/>
  <c r="L473" i="15"/>
  <c r="L460" i="15"/>
  <c r="L447" i="15"/>
  <c r="L434" i="15"/>
  <c r="L421" i="15"/>
  <c r="L407" i="15"/>
  <c r="L394" i="15"/>
  <c r="L381" i="15"/>
  <c r="L368" i="15"/>
  <c r="L355" i="15"/>
  <c r="L342" i="15"/>
  <c r="L329" i="15"/>
  <c r="L316" i="15"/>
  <c r="L303" i="15"/>
  <c r="L290" i="15"/>
  <c r="L277" i="15"/>
  <c r="L262" i="15"/>
  <c r="L248" i="15"/>
  <c r="L234" i="15"/>
  <c r="L220" i="15"/>
  <c r="L133" i="15"/>
  <c r="L118" i="15"/>
  <c r="L103" i="15"/>
  <c r="L88" i="15"/>
  <c r="M486" i="15"/>
  <c r="M471" i="15"/>
  <c r="M456" i="15"/>
  <c r="M438" i="15"/>
  <c r="M423" i="15"/>
  <c r="M390" i="15"/>
  <c r="M375" i="15"/>
  <c r="M342" i="15"/>
  <c r="M327" i="15"/>
  <c r="M305" i="15"/>
  <c r="N499" i="15"/>
  <c r="N475" i="15"/>
  <c r="N451" i="15"/>
  <c r="N433" i="15"/>
  <c r="N385" i="15"/>
  <c r="N318" i="15"/>
  <c r="K151" i="15"/>
  <c r="K111" i="15"/>
  <c r="M111" i="15" s="1"/>
  <c r="N111" i="15" s="1"/>
  <c r="L233" i="15"/>
  <c r="L161" i="15"/>
  <c r="N474" i="15"/>
  <c r="K451" i="15"/>
  <c r="K424" i="15"/>
  <c r="K411" i="15"/>
  <c r="K398" i="15"/>
  <c r="K307" i="15"/>
  <c r="K280" i="15"/>
  <c r="K267" i="15"/>
  <c r="K254" i="15"/>
  <c r="K163" i="15"/>
  <c r="K136" i="15"/>
  <c r="M136" i="15" s="1"/>
  <c r="N136" i="15" s="1"/>
  <c r="K123" i="15"/>
  <c r="K110" i="15"/>
  <c r="M110" i="15" s="1"/>
  <c r="N110" i="15" s="1"/>
  <c r="K19" i="15"/>
  <c r="M19" i="15" s="1"/>
  <c r="N19" i="15" s="1"/>
  <c r="L63" i="15"/>
  <c r="L50" i="15"/>
  <c r="L497" i="15"/>
  <c r="L471" i="15"/>
  <c r="L458" i="15"/>
  <c r="L353" i="15"/>
  <c r="L327" i="15"/>
  <c r="L314" i="15"/>
  <c r="L101" i="15"/>
  <c r="M484" i="15"/>
  <c r="M436" i="15"/>
  <c r="M403" i="15"/>
  <c r="M388" i="15"/>
  <c r="M355" i="15"/>
  <c r="M340" i="15"/>
  <c r="M303" i="15"/>
  <c r="N316" i="15"/>
  <c r="L29" i="15"/>
  <c r="K29" i="15"/>
  <c r="M29" i="15" s="1"/>
  <c r="N29" i="15" s="1"/>
  <c r="K295" i="15"/>
  <c r="K255" i="15"/>
  <c r="L147" i="15"/>
  <c r="M304" i="15"/>
  <c r="N498" i="15"/>
  <c r="N450" i="15"/>
  <c r="N426" i="15"/>
  <c r="K489" i="15"/>
  <c r="K463" i="15"/>
  <c r="K436" i="15"/>
  <c r="K423" i="15"/>
  <c r="K410" i="15"/>
  <c r="K397" i="15"/>
  <c r="K384" i="15"/>
  <c r="K358" i="15"/>
  <c r="K345" i="15"/>
  <c r="K319" i="15"/>
  <c r="K292" i="15"/>
  <c r="M292" i="15" s="1"/>
  <c r="N292" i="15" s="1"/>
  <c r="K279" i="15"/>
  <c r="K266" i="15"/>
  <c r="M266" i="15" s="1"/>
  <c r="N266" i="15" s="1"/>
  <c r="K253" i="15"/>
  <c r="M253" i="15" s="1"/>
  <c r="N253" i="15" s="1"/>
  <c r="K240" i="15"/>
  <c r="K214" i="15"/>
  <c r="M214" i="15" s="1"/>
  <c r="N214" i="15" s="1"/>
  <c r="K201" i="15"/>
  <c r="K175" i="15"/>
  <c r="K148" i="15"/>
  <c r="M148" i="15" s="1"/>
  <c r="N148" i="15" s="1"/>
  <c r="K122" i="15"/>
  <c r="K109" i="15"/>
  <c r="M109" i="15" s="1"/>
  <c r="N109" i="15" s="1"/>
  <c r="K96" i="15"/>
  <c r="M96" i="15" s="1"/>
  <c r="N96" i="15" s="1"/>
  <c r="K70" i="15"/>
  <c r="K57" i="15"/>
  <c r="K31" i="15"/>
  <c r="K4" i="15"/>
  <c r="M4" i="15" s="1"/>
  <c r="N4" i="15" s="1"/>
  <c r="L75" i="15"/>
  <c r="L62" i="15"/>
  <c r="L49" i="15"/>
  <c r="L36" i="15"/>
  <c r="L10" i="15"/>
  <c r="L483" i="15"/>
  <c r="L470" i="15"/>
  <c r="L457" i="15"/>
  <c r="L430" i="15"/>
  <c r="L417" i="15"/>
  <c r="L365" i="15"/>
  <c r="L339" i="15"/>
  <c r="L326" i="15"/>
  <c r="L313" i="15"/>
  <c r="L286" i="15"/>
  <c r="L273" i="15"/>
  <c r="L245" i="15"/>
  <c r="L173" i="15"/>
  <c r="L159" i="15"/>
  <c r="L129" i="15"/>
  <c r="M483" i="15"/>
  <c r="M468" i="15"/>
  <c r="M435" i="15"/>
  <c r="M420" i="15"/>
  <c r="M402" i="15"/>
  <c r="M387" i="15"/>
  <c r="M372" i="15"/>
  <c r="M354" i="15"/>
  <c r="M339" i="15"/>
  <c r="M324" i="15"/>
  <c r="M302" i="15"/>
  <c r="N491" i="15"/>
  <c r="N448" i="15"/>
  <c r="N400" i="15"/>
  <c r="N382" i="15"/>
  <c r="N358" i="15"/>
  <c r="N334" i="15"/>
  <c r="N315" i="15"/>
  <c r="L53" i="15"/>
  <c r="K53" i="15"/>
  <c r="M53" i="15" s="1"/>
  <c r="N53" i="15" s="1"/>
  <c r="K2" i="15"/>
  <c r="M268" i="15" s="1"/>
  <c r="N268" i="15" s="1"/>
  <c r="K501" i="15"/>
  <c r="K488" i="15"/>
  <c r="K475" i="15"/>
  <c r="K462" i="15"/>
  <c r="K396" i="15"/>
  <c r="K383" i="15"/>
  <c r="K370" i="15"/>
  <c r="K357" i="15"/>
  <c r="K344" i="15"/>
  <c r="K331" i="15"/>
  <c r="K318" i="15"/>
  <c r="K265" i="15"/>
  <c r="K252" i="15"/>
  <c r="M252" i="15" s="1"/>
  <c r="N252" i="15" s="1"/>
  <c r="K239" i="15"/>
  <c r="M239" i="15" s="1"/>
  <c r="N239" i="15" s="1"/>
  <c r="K226" i="15"/>
  <c r="K213" i="15"/>
  <c r="M213" i="15" s="1"/>
  <c r="N213" i="15" s="1"/>
  <c r="K200" i="15"/>
  <c r="K134" i="15"/>
  <c r="M134" i="15" s="1"/>
  <c r="N134" i="15" s="1"/>
  <c r="K121" i="15"/>
  <c r="K108" i="15"/>
  <c r="K95" i="15"/>
  <c r="M95" i="15" s="1"/>
  <c r="N95" i="15" s="1"/>
  <c r="K82" i="15"/>
  <c r="K69" i="15"/>
  <c r="K56" i="15"/>
  <c r="K43" i="15"/>
  <c r="K30" i="15"/>
  <c r="M30" i="15" s="1"/>
  <c r="N30" i="15" s="1"/>
  <c r="K16" i="15"/>
  <c r="M16" i="15" s="1"/>
  <c r="N16" i="15" s="1"/>
  <c r="K3" i="15"/>
  <c r="M238" i="15" s="1"/>
  <c r="N238" i="15" s="1"/>
  <c r="L495" i="15"/>
  <c r="L482" i="15"/>
  <c r="L469" i="15"/>
  <c r="L455" i="15"/>
  <c r="L442" i="15"/>
  <c r="L429" i="15"/>
  <c r="L416" i="15"/>
  <c r="L403" i="15"/>
  <c r="L390" i="15"/>
  <c r="L377" i="15"/>
  <c r="L364" i="15"/>
  <c r="L351" i="15"/>
  <c r="L338" i="15"/>
  <c r="L325" i="15"/>
  <c r="L311" i="15"/>
  <c r="L298" i="15"/>
  <c r="L285" i="15"/>
  <c r="L272" i="15"/>
  <c r="L186" i="15"/>
  <c r="L172" i="15"/>
  <c r="L157" i="15"/>
  <c r="L142" i="15"/>
  <c r="L128" i="15"/>
  <c r="M497" i="15"/>
  <c r="M482" i="15"/>
  <c r="M467" i="15"/>
  <c r="M419" i="15"/>
  <c r="M401" i="15"/>
  <c r="M371" i="15"/>
  <c r="M353" i="15"/>
  <c r="M338" i="15"/>
  <c r="M323" i="15"/>
  <c r="N490" i="15"/>
  <c r="N466" i="15"/>
  <c r="N447" i="15"/>
  <c r="N399" i="15"/>
  <c r="N381" i="15"/>
  <c r="N357" i="15"/>
  <c r="N333" i="15"/>
  <c r="N309" i="15"/>
  <c r="L5" i="15"/>
  <c r="K5" i="15"/>
  <c r="M5" i="15" s="1"/>
  <c r="N5" i="15" s="1"/>
  <c r="K271" i="15"/>
  <c r="K399" i="15"/>
  <c r="K7" i="15"/>
  <c r="L485" i="15"/>
  <c r="L459" i="15"/>
  <c r="L341" i="15"/>
  <c r="L315" i="15"/>
  <c r="L219" i="15"/>
  <c r="K408" i="15"/>
  <c r="K264" i="15"/>
  <c r="K251" i="15"/>
  <c r="M251" i="15" s="1"/>
  <c r="N251" i="15" s="1"/>
  <c r="K238" i="15"/>
  <c r="K225" i="15"/>
  <c r="K212" i="15"/>
  <c r="K199" i="15"/>
  <c r="K146" i="15"/>
  <c r="M146" i="15" s="1"/>
  <c r="N146" i="15" s="1"/>
  <c r="K120" i="15"/>
  <c r="K107" i="15"/>
  <c r="M107" i="15" s="1"/>
  <c r="N107" i="15" s="1"/>
  <c r="K94" i="15"/>
  <c r="K81" i="15"/>
  <c r="K68" i="15"/>
  <c r="K55" i="15"/>
  <c r="K42" i="15"/>
  <c r="M42" i="15" s="1"/>
  <c r="N42" i="15" s="1"/>
  <c r="K28" i="15"/>
  <c r="M28" i="15" s="1"/>
  <c r="N28" i="15" s="1"/>
  <c r="K15" i="15"/>
  <c r="M15" i="15" s="1"/>
  <c r="N15" i="15" s="1"/>
  <c r="L494" i="15"/>
  <c r="L481" i="15"/>
  <c r="L389" i="15"/>
  <c r="L376" i="15"/>
  <c r="L363" i="15"/>
  <c r="L350" i="15"/>
  <c r="L337" i="15"/>
  <c r="L257" i="15"/>
  <c r="L185" i="15"/>
  <c r="L171" i="15"/>
  <c r="L155" i="15"/>
  <c r="L141" i="15"/>
  <c r="L113" i="15"/>
  <c r="M496" i="15"/>
  <c r="M481" i="15"/>
  <c r="M463" i="15"/>
  <c r="M415" i="15"/>
  <c r="M352" i="15"/>
  <c r="M337" i="15"/>
  <c r="N489" i="15"/>
  <c r="N465" i="15"/>
  <c r="N446" i="15"/>
  <c r="N398" i="15"/>
  <c r="N331" i="15"/>
  <c r="N307" i="15"/>
  <c r="L77" i="15"/>
  <c r="K77" i="15"/>
  <c r="K420" i="15"/>
  <c r="K276" i="15"/>
  <c r="M276" i="15" s="1"/>
  <c r="N276" i="15" s="1"/>
  <c r="K250" i="15"/>
  <c r="K237" i="15"/>
  <c r="K224" i="15"/>
  <c r="K211" i="15"/>
  <c r="K198" i="15"/>
  <c r="K184" i="15"/>
  <c r="M184" i="15" s="1"/>
  <c r="N184" i="15" s="1"/>
  <c r="K158" i="15"/>
  <c r="M158" i="15" s="1"/>
  <c r="N158" i="15" s="1"/>
  <c r="K132" i="15"/>
  <c r="M132" i="15" s="1"/>
  <c r="N132" i="15" s="1"/>
  <c r="K106" i="15"/>
  <c r="M106" i="15" s="1"/>
  <c r="N106" i="15" s="1"/>
  <c r="K93" i="15"/>
  <c r="L401" i="15"/>
  <c r="L169" i="15"/>
  <c r="L154" i="15"/>
  <c r="M495" i="15"/>
  <c r="M480" i="15"/>
  <c r="M462" i="15"/>
  <c r="M432" i="15"/>
  <c r="M414" i="15"/>
  <c r="M366" i="15"/>
  <c r="M351" i="15"/>
  <c r="M336" i="15"/>
  <c r="N487" i="15"/>
  <c r="N439" i="15"/>
  <c r="N397" i="15"/>
  <c r="N330" i="15"/>
  <c r="N306" i="15"/>
  <c r="L41" i="15"/>
  <c r="K41" i="15"/>
  <c r="M41" i="15" s="1"/>
  <c r="N41" i="15" s="1"/>
  <c r="L221" i="15"/>
  <c r="L89" i="15"/>
  <c r="K439" i="15"/>
  <c r="N454" i="15"/>
  <c r="M454" i="15"/>
  <c r="N442" i="15"/>
  <c r="M442" i="15"/>
  <c r="N430" i="15"/>
  <c r="M430" i="15"/>
  <c r="N418" i="15"/>
  <c r="M418" i="15"/>
  <c r="N406" i="15"/>
  <c r="M406" i="15"/>
  <c r="N310" i="15"/>
  <c r="M310" i="15"/>
  <c r="M250" i="15"/>
  <c r="N250" i="15" s="1"/>
  <c r="K432" i="15"/>
  <c r="K288" i="15"/>
  <c r="M288" i="15" s="1"/>
  <c r="N288" i="15" s="1"/>
  <c r="K236" i="15"/>
  <c r="K223" i="15"/>
  <c r="K210" i="15"/>
  <c r="M210" i="15" s="1"/>
  <c r="N210" i="15" s="1"/>
  <c r="K196" i="15"/>
  <c r="M196" i="15" s="1"/>
  <c r="N196" i="15" s="1"/>
  <c r="K183" i="15"/>
  <c r="M183" i="15" s="1"/>
  <c r="N183" i="15" s="1"/>
  <c r="K170" i="15"/>
  <c r="K144" i="15"/>
  <c r="M144" i="15" s="1"/>
  <c r="N144" i="15" s="1"/>
  <c r="K105" i="15"/>
  <c r="K92" i="15"/>
  <c r="L413" i="15"/>
  <c r="L269" i="15"/>
  <c r="L197" i="15"/>
  <c r="L167" i="15"/>
  <c r="L125" i="15"/>
  <c r="M494" i="15"/>
  <c r="M479" i="15"/>
  <c r="M461" i="15"/>
  <c r="M431" i="15"/>
  <c r="M413" i="15"/>
  <c r="M365" i="15"/>
  <c r="M350" i="15"/>
  <c r="N396" i="15"/>
  <c r="N348" i="15"/>
  <c r="N329" i="15"/>
  <c r="L17" i="15"/>
  <c r="K17" i="15"/>
  <c r="L317" i="15"/>
  <c r="L149" i="15"/>
  <c r="M391" i="15"/>
  <c r="L51" i="15"/>
  <c r="N441" i="15"/>
  <c r="M441" i="15"/>
  <c r="N429" i="15"/>
  <c r="M429" i="15"/>
  <c r="N417" i="15"/>
  <c r="M417" i="15"/>
  <c r="N405" i="15"/>
  <c r="M405" i="15"/>
  <c r="M393" i="15"/>
  <c r="N393" i="15"/>
  <c r="M261" i="15"/>
  <c r="N261" i="15" s="1"/>
  <c r="M45" i="15"/>
  <c r="N45" i="15" s="1"/>
  <c r="K444" i="15"/>
  <c r="K300" i="15"/>
  <c r="K222" i="15"/>
  <c r="K208" i="15"/>
  <c r="K195" i="15"/>
  <c r="M195" i="15" s="1"/>
  <c r="N195" i="15" s="1"/>
  <c r="K182" i="15"/>
  <c r="K156" i="15"/>
  <c r="M156" i="15" s="1"/>
  <c r="N156" i="15" s="1"/>
  <c r="K91" i="15"/>
  <c r="L425" i="15"/>
  <c r="L281" i="15"/>
  <c r="L181" i="15"/>
  <c r="M493" i="15"/>
  <c r="M460" i="15"/>
  <c r="M445" i="15"/>
  <c r="M427" i="15"/>
  <c r="M412" i="15"/>
  <c r="M379" i="15"/>
  <c r="M364" i="15"/>
  <c r="M349" i="15"/>
  <c r="M314" i="15"/>
  <c r="N395" i="15"/>
  <c r="N347" i="15"/>
  <c r="M222" i="15"/>
  <c r="N222" i="15" s="1"/>
  <c r="L65" i="15"/>
  <c r="K65" i="15"/>
  <c r="M65" i="15" s="1"/>
  <c r="N65" i="15" s="1"/>
  <c r="K415" i="15"/>
  <c r="K127" i="15"/>
  <c r="M127" i="15" s="1"/>
  <c r="N127" i="15" s="1"/>
  <c r="L461" i="15"/>
  <c r="N500" i="15"/>
  <c r="M500" i="15"/>
  <c r="N488" i="15"/>
  <c r="M488" i="15"/>
  <c r="N476" i="15"/>
  <c r="M476" i="15"/>
  <c r="N464" i="15"/>
  <c r="M464" i="15"/>
  <c r="N452" i="15"/>
  <c r="M452" i="15"/>
  <c r="N440" i="15"/>
  <c r="M440" i="15"/>
  <c r="N428" i="15"/>
  <c r="M428" i="15"/>
  <c r="N416" i="15"/>
  <c r="M416" i="15"/>
  <c r="N404" i="15"/>
  <c r="M404" i="15"/>
  <c r="N392" i="15"/>
  <c r="M392" i="15"/>
  <c r="N380" i="15"/>
  <c r="M380" i="15"/>
  <c r="N368" i="15"/>
  <c r="M368" i="15"/>
  <c r="N356" i="15"/>
  <c r="M356" i="15"/>
  <c r="N344" i="15"/>
  <c r="M344" i="15"/>
  <c r="N332" i="15"/>
  <c r="M332" i="15"/>
  <c r="N320" i="15"/>
  <c r="M320" i="15"/>
  <c r="N308" i="15"/>
  <c r="M308" i="15"/>
  <c r="K456" i="15"/>
  <c r="K312" i="15"/>
  <c r="K194" i="15"/>
  <c r="M6" i="15" s="1"/>
  <c r="N6" i="15" s="1"/>
  <c r="K168" i="15"/>
  <c r="K90" i="15"/>
  <c r="M90" i="15" s="1"/>
  <c r="N90" i="15" s="1"/>
  <c r="L437" i="15"/>
  <c r="L293" i="15"/>
  <c r="L209" i="15"/>
  <c r="L137" i="15"/>
  <c r="M459" i="15"/>
  <c r="M444" i="15"/>
  <c r="M411" i="15"/>
  <c r="M378" i="15"/>
  <c r="M363" i="15"/>
  <c r="M313" i="15"/>
  <c r="N394" i="15"/>
  <c r="N370" i="15"/>
  <c r="N346" i="15"/>
  <c r="N322" i="15"/>
  <c r="M31" i="15"/>
  <c r="N31" i="15" s="1"/>
  <c r="K468" i="15"/>
  <c r="K324" i="15"/>
  <c r="K206" i="15"/>
  <c r="K193" i="15"/>
  <c r="M193" i="15" s="1"/>
  <c r="N193" i="15" s="1"/>
  <c r="K180" i="15"/>
  <c r="M180" i="15" s="1"/>
  <c r="N180" i="15" s="1"/>
  <c r="L449" i="15"/>
  <c r="L305" i="15"/>
  <c r="M458" i="15"/>
  <c r="M443" i="15"/>
  <c r="M377" i="15"/>
  <c r="M362" i="15"/>
  <c r="M312" i="15"/>
  <c r="N478" i="15"/>
  <c r="N369" i="15"/>
  <c r="N345" i="15"/>
  <c r="N321" i="15"/>
  <c r="M23" i="14"/>
  <c r="L25" i="14"/>
  <c r="L2" i="14"/>
  <c r="L18" i="14"/>
  <c r="L23" i="14"/>
  <c r="L5" i="14"/>
  <c r="P4" i="14"/>
  <c r="P7" i="14"/>
  <c r="P8" i="14"/>
  <c r="M21" i="14"/>
  <c r="P5" i="14"/>
  <c r="L13" i="14"/>
  <c r="M26" i="14"/>
  <c r="P9" i="14"/>
  <c r="L9" i="14"/>
  <c r="P10" i="14"/>
  <c r="J11" i="13"/>
  <c r="K11" i="13"/>
  <c r="M7" i="12"/>
  <c r="M8" i="12"/>
  <c r="H2" i="12"/>
  <c r="AD4" i="16" l="1"/>
  <c r="AI8" i="16"/>
  <c r="AK31" i="16"/>
  <c r="AJ31" i="16"/>
  <c r="AK7" i="16"/>
  <c r="AC12" i="16"/>
  <c r="AK40" i="16" s="1"/>
  <c r="AC13" i="16"/>
  <c r="AK41" i="16" s="1"/>
  <c r="S23" i="16"/>
  <c r="M22" i="16"/>
  <c r="M24" i="16"/>
  <c r="M4" i="16"/>
  <c r="AC6" i="16"/>
  <c r="AK34" i="16" s="1"/>
  <c r="S5" i="16"/>
  <c r="K23" i="16"/>
  <c r="L23" i="16" s="1"/>
  <c r="AH51" i="16" s="1"/>
  <c r="S4" i="16"/>
  <c r="M7" i="16"/>
  <c r="K20" i="16"/>
  <c r="L20" i="16" s="1"/>
  <c r="AH48" i="16" s="1"/>
  <c r="M20" i="16"/>
  <c r="S21" i="16"/>
  <c r="M27" i="16"/>
  <c r="AC27" i="16"/>
  <c r="AK55" i="16" s="1"/>
  <c r="AC16" i="16"/>
  <c r="AK44" i="16" s="1"/>
  <c r="AC7" i="16"/>
  <c r="AK35" i="16" s="1"/>
  <c r="AC8" i="16"/>
  <c r="AK36" i="16" s="1"/>
  <c r="AC25" i="16"/>
  <c r="AK53" i="16" s="1"/>
  <c r="S27" i="16"/>
  <c r="AC9" i="16"/>
  <c r="AK37" i="16" s="1"/>
  <c r="AC24" i="16"/>
  <c r="AK52" i="16" s="1"/>
  <c r="S13" i="16"/>
  <c r="M12" i="16"/>
  <c r="Q17" i="16"/>
  <c r="R17" i="16" s="1"/>
  <c r="AI45" i="16" s="1"/>
  <c r="S17" i="16"/>
  <c r="AC15" i="16"/>
  <c r="AK43" i="16" s="1"/>
  <c r="S12" i="16"/>
  <c r="Q18" i="16"/>
  <c r="R18" i="16" s="1"/>
  <c r="S18" i="16"/>
  <c r="M16" i="16"/>
  <c r="M13" i="16"/>
  <c r="M26" i="16"/>
  <c r="M19" i="16"/>
  <c r="S25" i="16"/>
  <c r="S26" i="16"/>
  <c r="M15" i="16"/>
  <c r="AD3" i="16"/>
  <c r="M14" i="16"/>
  <c r="AC26" i="16"/>
  <c r="AK54" i="16" s="1"/>
  <c r="AC14" i="16"/>
  <c r="AK42" i="16" s="1"/>
  <c r="S15" i="16"/>
  <c r="K5" i="16"/>
  <c r="M5" i="16"/>
  <c r="M25" i="16"/>
  <c r="S16" i="16"/>
  <c r="AC5" i="16"/>
  <c r="AK33" i="16" s="1"/>
  <c r="AC4" i="16"/>
  <c r="AK32" i="16" s="1"/>
  <c r="S24" i="16"/>
  <c r="L3" i="16"/>
  <c r="AH31" i="16" s="1"/>
  <c r="Y4" i="16"/>
  <c r="AD19" i="16"/>
  <c r="AC19" i="16"/>
  <c r="AK47" i="16" s="1"/>
  <c r="S14" i="16"/>
  <c r="M256" i="15"/>
  <c r="N256" i="15" s="1"/>
  <c r="M139" i="15"/>
  <c r="N139" i="15" s="1"/>
  <c r="M68" i="15"/>
  <c r="N68" i="15" s="1"/>
  <c r="M140" i="15"/>
  <c r="N140" i="15" s="1"/>
  <c r="M212" i="15"/>
  <c r="N212" i="15" s="1"/>
  <c r="M284" i="15"/>
  <c r="N284" i="15" s="1"/>
  <c r="M26" i="15"/>
  <c r="N26" i="15" s="1"/>
  <c r="M182" i="15"/>
  <c r="N182" i="15" s="1"/>
  <c r="M57" i="15"/>
  <c r="N57" i="15" s="1"/>
  <c r="M153" i="15"/>
  <c r="N153" i="15" s="1"/>
  <c r="M34" i="15"/>
  <c r="N34" i="15" s="1"/>
  <c r="M262" i="15"/>
  <c r="N262" i="15" s="1"/>
  <c r="M234" i="15"/>
  <c r="N234" i="15" s="1"/>
  <c r="M278" i="15"/>
  <c r="N278" i="15" s="1"/>
  <c r="M264" i="15"/>
  <c r="N264" i="15" s="1"/>
  <c r="M257" i="15"/>
  <c r="N257" i="15" s="1"/>
  <c r="M83" i="15"/>
  <c r="N83" i="15" s="1"/>
  <c r="M204" i="15"/>
  <c r="N204" i="15" s="1"/>
  <c r="M290" i="15"/>
  <c r="N290" i="15" s="1"/>
  <c r="M100" i="15"/>
  <c r="N100" i="15" s="1"/>
  <c r="M240" i="15"/>
  <c r="N240" i="15" s="1"/>
  <c r="M279" i="15"/>
  <c r="N279" i="15" s="1"/>
  <c r="M40" i="15"/>
  <c r="N40" i="15" s="1"/>
  <c r="M71" i="15"/>
  <c r="N71" i="15" s="1"/>
  <c r="M8" i="15"/>
  <c r="N8" i="15" s="1"/>
  <c r="M80" i="15"/>
  <c r="N80" i="15" s="1"/>
  <c r="M152" i="15"/>
  <c r="N152" i="15" s="1"/>
  <c r="M224" i="15"/>
  <c r="N224" i="15" s="1"/>
  <c r="M296" i="15"/>
  <c r="N296" i="15" s="1"/>
  <c r="M282" i="15"/>
  <c r="N282" i="15" s="1"/>
  <c r="M81" i="15"/>
  <c r="N81" i="15" s="1"/>
  <c r="M165" i="15"/>
  <c r="N165" i="15" s="1"/>
  <c r="M49" i="15"/>
  <c r="N49" i="15" s="1"/>
  <c r="M58" i="15"/>
  <c r="N58" i="15" s="1"/>
  <c r="M274" i="15"/>
  <c r="N274" i="15" s="1"/>
  <c r="M246" i="15"/>
  <c r="N246" i="15" s="1"/>
  <c r="M50" i="15"/>
  <c r="N50" i="15" s="1"/>
  <c r="M78" i="15"/>
  <c r="N78" i="15" s="1"/>
  <c r="M301" i="15"/>
  <c r="N301" i="15" s="1"/>
  <c r="M84" i="15"/>
  <c r="N84" i="15" s="1"/>
  <c r="M228" i="15"/>
  <c r="N228" i="15" s="1"/>
  <c r="M219" i="15"/>
  <c r="N219" i="15" s="1"/>
  <c r="M161" i="15"/>
  <c r="N161" i="15" s="1"/>
  <c r="M60" i="15"/>
  <c r="N60" i="15" s="1"/>
  <c r="M243" i="15"/>
  <c r="N243" i="15" s="1"/>
  <c r="M62" i="15"/>
  <c r="N62" i="15" s="1"/>
  <c r="M124" i="15"/>
  <c r="N124" i="15" s="1"/>
  <c r="M23" i="15"/>
  <c r="N23" i="15" s="1"/>
  <c r="M17" i="15"/>
  <c r="N17" i="15" s="1"/>
  <c r="M55" i="15"/>
  <c r="N55" i="15" s="1"/>
  <c r="M154" i="15"/>
  <c r="N154" i="15" s="1"/>
  <c r="M122" i="15"/>
  <c r="N122" i="15" s="1"/>
  <c r="M24" i="15"/>
  <c r="N24" i="15" s="1"/>
  <c r="M79" i="15"/>
  <c r="N79" i="15" s="1"/>
  <c r="M163" i="15"/>
  <c r="N163" i="15" s="1"/>
  <c r="M271" i="15"/>
  <c r="N271" i="15" s="1"/>
  <c r="M87" i="15"/>
  <c r="N87" i="15" s="1"/>
  <c r="M93" i="15"/>
  <c r="N93" i="15" s="1"/>
  <c r="M177" i="15"/>
  <c r="N177" i="15" s="1"/>
  <c r="M285" i="15"/>
  <c r="N285" i="15" s="1"/>
  <c r="M88" i="15"/>
  <c r="N88" i="15" s="1"/>
  <c r="M70" i="15"/>
  <c r="N70" i="15" s="1"/>
  <c r="M166" i="15"/>
  <c r="N166" i="15" s="1"/>
  <c r="M18" i="15"/>
  <c r="N18" i="15" s="1"/>
  <c r="M270" i="15"/>
  <c r="N270" i="15" s="1"/>
  <c r="M89" i="15"/>
  <c r="N89" i="15" s="1"/>
  <c r="M12" i="15"/>
  <c r="N12" i="15" s="1"/>
  <c r="M114" i="15"/>
  <c r="N114" i="15" s="1"/>
  <c r="M265" i="15"/>
  <c r="N265" i="15" s="1"/>
  <c r="M241" i="15"/>
  <c r="N241" i="15" s="1"/>
  <c r="M123" i="15"/>
  <c r="N123" i="15" s="1"/>
  <c r="M61" i="15"/>
  <c r="N61" i="15" s="1"/>
  <c r="M27" i="15"/>
  <c r="N27" i="15" s="1"/>
  <c r="M293" i="15"/>
  <c r="N293" i="15" s="1"/>
  <c r="M143" i="15"/>
  <c r="N143" i="15" s="1"/>
  <c r="M142" i="15"/>
  <c r="N142" i="15" s="1"/>
  <c r="M185" i="15"/>
  <c r="N185" i="15" s="1"/>
  <c r="M43" i="15"/>
  <c r="N43" i="15" s="1"/>
  <c r="M258" i="15"/>
  <c r="N258" i="15" s="1"/>
  <c r="M229" i="15"/>
  <c r="N229" i="15" s="1"/>
  <c r="M20" i="15"/>
  <c r="N20" i="15" s="1"/>
  <c r="M92" i="15"/>
  <c r="N92" i="15" s="1"/>
  <c r="M164" i="15"/>
  <c r="N164" i="15" s="1"/>
  <c r="M236" i="15"/>
  <c r="N236" i="15" s="1"/>
  <c r="M131" i="15"/>
  <c r="N131" i="15" s="1"/>
  <c r="M189" i="15"/>
  <c r="N189" i="15" s="1"/>
  <c r="M171" i="15"/>
  <c r="N171" i="15" s="1"/>
  <c r="M82" i="15"/>
  <c r="N82" i="15" s="1"/>
  <c r="M286" i="15"/>
  <c r="N286" i="15" s="1"/>
  <c r="M155" i="15"/>
  <c r="N155" i="15" s="1"/>
  <c r="M102" i="15"/>
  <c r="N102" i="15" s="1"/>
  <c r="M51" i="15"/>
  <c r="N51" i="15" s="1"/>
  <c r="M162" i="15"/>
  <c r="N162" i="15" s="1"/>
  <c r="M263" i="15"/>
  <c r="N263" i="15" s="1"/>
  <c r="M39" i="15"/>
  <c r="N39" i="15" s="1"/>
  <c r="M101" i="15"/>
  <c r="N101" i="15" s="1"/>
  <c r="M167" i="15"/>
  <c r="N167" i="15" s="1"/>
  <c r="M97" i="15"/>
  <c r="N97" i="15" s="1"/>
  <c r="M205" i="15"/>
  <c r="N205" i="15" s="1"/>
  <c r="M46" i="15"/>
  <c r="N46" i="15" s="1"/>
  <c r="M242" i="15"/>
  <c r="N242" i="15" s="1"/>
  <c r="M63" i="15"/>
  <c r="N63" i="15" s="1"/>
  <c r="M91" i="15"/>
  <c r="N91" i="15" s="1"/>
  <c r="M3" i="15"/>
  <c r="N3" i="15" s="1"/>
  <c r="M170" i="15"/>
  <c r="N170" i="15" s="1"/>
  <c r="M105" i="15"/>
  <c r="N105" i="15" s="1"/>
  <c r="M201" i="15"/>
  <c r="N201" i="15" s="1"/>
  <c r="M297" i="15"/>
  <c r="N297" i="15" s="1"/>
  <c r="M2" i="15"/>
  <c r="N2" i="15" s="1"/>
  <c r="M94" i="15"/>
  <c r="N94" i="15" s="1"/>
  <c r="M294" i="15"/>
  <c r="N294" i="15" s="1"/>
  <c r="M172" i="15"/>
  <c r="N172" i="15" s="1"/>
  <c r="M150" i="15"/>
  <c r="N150" i="15" s="1"/>
  <c r="M73" i="15"/>
  <c r="N73" i="15" s="1"/>
  <c r="M120" i="15"/>
  <c r="N120" i="15" s="1"/>
  <c r="M280" i="15"/>
  <c r="N280" i="15" s="1"/>
  <c r="M99" i="15"/>
  <c r="N99" i="15" s="1"/>
  <c r="M85" i="15"/>
  <c r="N85" i="15" s="1"/>
  <c r="M277" i="15"/>
  <c r="N277" i="15" s="1"/>
  <c r="M291" i="15"/>
  <c r="N291" i="15" s="1"/>
  <c r="M160" i="15"/>
  <c r="N160" i="15" s="1"/>
  <c r="M137" i="15"/>
  <c r="N137" i="15" s="1"/>
  <c r="M59" i="15"/>
  <c r="N59" i="15" s="1"/>
  <c r="M119" i="15"/>
  <c r="N119" i="15" s="1"/>
  <c r="M287" i="15"/>
  <c r="N287" i="15" s="1"/>
  <c r="M289" i="15"/>
  <c r="N289" i="15" s="1"/>
  <c r="M67" i="15"/>
  <c r="N67" i="15" s="1"/>
  <c r="M175" i="15"/>
  <c r="N175" i="15" s="1"/>
  <c r="M283" i="15"/>
  <c r="N283" i="15" s="1"/>
  <c r="M207" i="15"/>
  <c r="N207" i="15" s="1"/>
  <c r="M199" i="15"/>
  <c r="N199" i="15" s="1"/>
  <c r="M25" i="15"/>
  <c r="N25" i="15" s="1"/>
  <c r="M32" i="15"/>
  <c r="N32" i="15" s="1"/>
  <c r="M104" i="15"/>
  <c r="N104" i="15" s="1"/>
  <c r="M176" i="15"/>
  <c r="N176" i="15" s="1"/>
  <c r="M248" i="15"/>
  <c r="N248" i="15" s="1"/>
  <c r="M192" i="15"/>
  <c r="N192" i="15" s="1"/>
  <c r="M9" i="15"/>
  <c r="N9" i="15" s="1"/>
  <c r="M117" i="15"/>
  <c r="N117" i="15" s="1"/>
  <c r="M215" i="15"/>
  <c r="N215" i="15" s="1"/>
  <c r="M190" i="15"/>
  <c r="N190" i="15" s="1"/>
  <c r="M298" i="15"/>
  <c r="N298" i="15" s="1"/>
  <c r="M194" i="15"/>
  <c r="N194" i="15" s="1"/>
  <c r="M13" i="15"/>
  <c r="N13" i="15" s="1"/>
  <c r="M125" i="15"/>
  <c r="N125" i="15" s="1"/>
  <c r="M221" i="15"/>
  <c r="N221" i="15" s="1"/>
  <c r="M179" i="15"/>
  <c r="N179" i="15" s="1"/>
  <c r="M36" i="15"/>
  <c r="N36" i="15" s="1"/>
  <c r="M47" i="15"/>
  <c r="N47" i="15" s="1"/>
  <c r="M69" i="15"/>
  <c r="N69" i="15" s="1"/>
  <c r="M269" i="15"/>
  <c r="N269" i="15" s="1"/>
  <c r="M151" i="15"/>
  <c r="N151" i="15" s="1"/>
  <c r="M168" i="15"/>
  <c r="N168" i="15" s="1"/>
  <c r="M103" i="15"/>
  <c r="N103" i="15" s="1"/>
  <c r="M211" i="15"/>
  <c r="N211" i="15" s="1"/>
  <c r="M295" i="15"/>
  <c r="N295" i="15" s="1"/>
  <c r="M64" i="15"/>
  <c r="N64" i="15" s="1"/>
  <c r="M54" i="15"/>
  <c r="N54" i="15" s="1"/>
  <c r="M209" i="15"/>
  <c r="N209" i="15" s="1"/>
  <c r="M225" i="15"/>
  <c r="N225" i="15" s="1"/>
  <c r="M232" i="15"/>
  <c r="N232" i="15" s="1"/>
  <c r="M118" i="15"/>
  <c r="N118" i="15" s="1"/>
  <c r="M202" i="15"/>
  <c r="N202" i="15" s="1"/>
  <c r="M126" i="15"/>
  <c r="N126" i="15" s="1"/>
  <c r="M216" i="15"/>
  <c r="N216" i="15" s="1"/>
  <c r="M173" i="15"/>
  <c r="N173" i="15" s="1"/>
  <c r="M74" i="15"/>
  <c r="N74" i="15" s="1"/>
  <c r="M66" i="15"/>
  <c r="N66" i="15" s="1"/>
  <c r="M267" i="15"/>
  <c r="N267" i="15" s="1"/>
  <c r="M203" i="15"/>
  <c r="N203" i="15" s="1"/>
  <c r="M245" i="15"/>
  <c r="N245" i="15" s="1"/>
  <c r="M98" i="15"/>
  <c r="N98" i="15" s="1"/>
  <c r="M191" i="15"/>
  <c r="N191" i="15" s="1"/>
  <c r="M169" i="15"/>
  <c r="N169" i="15" s="1"/>
  <c r="M44" i="15"/>
  <c r="N44" i="15" s="1"/>
  <c r="M116" i="15"/>
  <c r="N116" i="15" s="1"/>
  <c r="M188" i="15"/>
  <c r="N188" i="15" s="1"/>
  <c r="M260" i="15"/>
  <c r="N260" i="15" s="1"/>
  <c r="M174" i="15"/>
  <c r="N174" i="15" s="1"/>
  <c r="M231" i="15"/>
  <c r="N231" i="15" s="1"/>
  <c r="M129" i="15"/>
  <c r="N129" i="15" s="1"/>
  <c r="M237" i="15"/>
  <c r="N237" i="15" s="1"/>
  <c r="M254" i="15"/>
  <c r="N254" i="15" s="1"/>
  <c r="M10" i="15"/>
  <c r="N10" i="15" s="1"/>
  <c r="M233" i="15"/>
  <c r="N233" i="15" s="1"/>
  <c r="M113" i="15"/>
  <c r="N113" i="15" s="1"/>
  <c r="M121" i="15"/>
  <c r="N121" i="15" s="1"/>
  <c r="M138" i="15"/>
  <c r="N138" i="15" s="1"/>
  <c r="M159" i="15"/>
  <c r="N159" i="15" s="1"/>
  <c r="M37" i="15"/>
  <c r="N37" i="15" s="1"/>
  <c r="M135" i="15"/>
  <c r="N135" i="15" s="1"/>
  <c r="M149" i="15"/>
  <c r="N149" i="15" s="1"/>
  <c r="M281" i="15"/>
  <c r="N281" i="15" s="1"/>
  <c r="M72" i="15"/>
  <c r="N72" i="15" s="1"/>
  <c r="M108" i="15"/>
  <c r="N108" i="15" s="1"/>
  <c r="M48" i="15"/>
  <c r="N48" i="15" s="1"/>
  <c r="M300" i="15"/>
  <c r="N300" i="15" s="1"/>
  <c r="M112" i="15"/>
  <c r="N112" i="15" s="1"/>
  <c r="M259" i="15"/>
  <c r="N259" i="15" s="1"/>
  <c r="M7" i="15"/>
  <c r="N7" i="15" s="1"/>
  <c r="M115" i="15"/>
  <c r="N115" i="15" s="1"/>
  <c r="M208" i="15"/>
  <c r="N208" i="15" s="1"/>
  <c r="M198" i="15"/>
  <c r="N198" i="15" s="1"/>
  <c r="M275" i="15"/>
  <c r="N275" i="15" s="1"/>
  <c r="M130" i="15"/>
  <c r="N130" i="15" s="1"/>
  <c r="M226" i="15"/>
  <c r="N226" i="15" s="1"/>
  <c r="M186" i="15"/>
  <c r="N186" i="15" s="1"/>
  <c r="M255" i="15"/>
  <c r="N255" i="15" s="1"/>
  <c r="M77" i="15"/>
  <c r="N77" i="15" s="1"/>
  <c r="M217" i="15"/>
  <c r="N217" i="15" s="1"/>
  <c r="M157" i="15"/>
  <c r="N157" i="15" s="1"/>
  <c r="M14" i="15"/>
  <c r="N14" i="15" s="1"/>
  <c r="M133" i="15"/>
  <c r="N133" i="15" s="1"/>
  <c r="M145" i="15"/>
  <c r="N145" i="15" s="1"/>
  <c r="M147" i="15"/>
  <c r="N147" i="15" s="1"/>
  <c r="M220" i="15"/>
  <c r="N220" i="15" s="1"/>
  <c r="M11" i="15"/>
  <c r="N11" i="15" s="1"/>
  <c r="M227" i="15"/>
  <c r="N227" i="15" s="1"/>
  <c r="M76" i="15"/>
  <c r="N76" i="15" s="1"/>
  <c r="M247" i="15"/>
  <c r="N247" i="15" s="1"/>
  <c r="M273" i="15"/>
  <c r="N273" i="15" s="1"/>
  <c r="M197" i="15"/>
  <c r="N197" i="15" s="1"/>
  <c r="M38" i="15"/>
  <c r="N38" i="15" s="1"/>
  <c r="M206" i="15"/>
  <c r="N206" i="15" s="1"/>
  <c r="M187" i="15"/>
  <c r="N187" i="15" s="1"/>
  <c r="M223" i="15"/>
  <c r="N223" i="15" s="1"/>
  <c r="M235" i="15"/>
  <c r="N235" i="15" s="1"/>
  <c r="M56" i="15"/>
  <c r="N56" i="15" s="1"/>
  <c r="M128" i="15"/>
  <c r="N128" i="15" s="1"/>
  <c r="M200" i="15"/>
  <c r="N200" i="15" s="1"/>
  <c r="M272" i="15"/>
  <c r="N272" i="15" s="1"/>
  <c r="M33" i="15"/>
  <c r="N33" i="15" s="1"/>
  <c r="M141" i="15"/>
  <c r="N141" i="15" s="1"/>
  <c r="M249" i="15"/>
  <c r="N249" i="15" s="1"/>
  <c r="M22" i="15"/>
  <c r="N22" i="15" s="1"/>
  <c r="M299" i="15"/>
  <c r="N299" i="15" s="1"/>
  <c r="M218" i="15"/>
  <c r="N218" i="15" s="1"/>
  <c r="M75" i="15"/>
  <c r="N75" i="15" s="1"/>
  <c r="M181" i="15"/>
  <c r="N181" i="15" s="1"/>
  <c r="M52" i="15"/>
  <c r="N52" i="15" s="1"/>
  <c r="M244" i="15"/>
  <c r="N244" i="15" s="1"/>
  <c r="M35" i="15"/>
  <c r="N35" i="15" s="1"/>
  <c r="P6" i="14"/>
  <c r="AK8" i="16" l="1"/>
  <c r="AK6" i="16"/>
  <c r="AI46" i="16"/>
  <c r="L5" i="16"/>
  <c r="AH33" i="16" s="1"/>
  <c r="AH5" i="16"/>
  <c r="AK5" i="16"/>
</calcChain>
</file>

<file path=xl/sharedStrings.xml><?xml version="1.0" encoding="utf-8"?>
<sst xmlns="http://schemas.openxmlformats.org/spreadsheetml/2006/main" count="5941" uniqueCount="1908">
  <si>
    <t>Manufacturing Capacity Planning, Production Optimization &amp; Make-or-Buy Analysis</t>
  </si>
  <si>
    <t>A AUTO COMPONENTS PVT. LTD.</t>
  </si>
  <si>
    <t>PROJECT OVERVIEW</t>
  </si>
  <si>
    <t>Apex Auto Components Pvt. Ltd. is a fictional automotive component manufacturer and sourcing company managing a portfolio of 500 components used across multiple automotive product families. The company manufactures selected components internally while sourcing others from external suppliers. This project develops an integrated capacity planning and production optimization model to evaluate production capacity, machine and labor utilization, Overall Equipment Effectiveness (OEE), productivity, quality, inventory, costing, pricing, contribution, supplier performance, and make-or-buy decisions.</t>
  </si>
  <si>
    <t>BUSINESS PROBLEM</t>
  </si>
  <si>
    <t>Management needs to determine whether existing manufacturing capacity is sufficient to meet component demand, identify production bottlenecks, evaluate machine and labor efficiency, assess the impact of defects and downtime, and determine how limited production capacity should be allocated. The model also evaluates whether selected components should be manufactured internally or purchased from suppliers.</t>
  </si>
  <si>
    <t>PROJECT OBJECTIVES</t>
  </si>
  <si>
    <t>Evaluate manufacturing capacity against component demand</t>
  </si>
  <si>
    <t>Identify machine and labor bottlenecks</t>
  </si>
  <si>
    <t>Measure machine efficiency and labor efficiency</t>
  </si>
  <si>
    <t>Calculate OEE using Availability, Performance and Quality</t>
  </si>
  <si>
    <t>Measure machine and labor productivity</t>
  </si>
  <si>
    <t>Analyze defective and good production</t>
  </si>
  <si>
    <t>Evaluate inventory and safety-stock requirements</t>
  </si>
  <si>
    <t>Analyze production and sourcing costs</t>
  </si>
  <si>
    <t>Evaluate selling prices and contribution</t>
  </si>
  <si>
    <t>Compare Make vs Buy decisions</t>
  </si>
  <si>
    <t>Conduct demand and capacity scenario analysis</t>
  </si>
  <si>
    <t>Optimize production allocation under capacity constraints</t>
  </si>
  <si>
    <t>Develop a management dashboard</t>
  </si>
  <si>
    <t>KEY MODEL ASSUMPTIONS</t>
  </si>
  <si>
    <t>Planning frequency</t>
  </si>
  <si>
    <t>Number of components</t>
  </si>
  <si>
    <t>Internally manufactured components</t>
  </si>
  <si>
    <t>Externally sourced components</t>
  </si>
  <si>
    <t>Number of production machines</t>
  </si>
  <si>
    <t>Number of suppliers</t>
  </si>
  <si>
    <t>Planning horizon</t>
  </si>
  <si>
    <t>Machine efficiency</t>
  </si>
  <si>
    <t>Labor efficiency</t>
  </si>
  <si>
    <t>Defect rate</t>
  </si>
  <si>
    <t>Machine availability</t>
  </si>
  <si>
    <t>Demand</t>
  </si>
  <si>
    <t>Inventory</t>
  </si>
  <si>
    <t>Production quality</t>
  </si>
  <si>
    <t>Pricing</t>
  </si>
  <si>
    <t>Costing</t>
  </si>
  <si>
    <t>Dataset</t>
  </si>
  <si>
    <t>Monthly</t>
  </si>
  <si>
    <t>12 months</t>
  </si>
  <si>
    <t>&lt;100%</t>
  </si>
  <si>
    <t>&gt;0%</t>
  </si>
  <si>
    <t>Monthly component demand</t>
  </si>
  <si>
    <t>Opening inventory + safety stock</t>
  </si>
  <si>
    <t>Defective and good output tracked separately</t>
  </si>
  <si>
    <t>Selling price and average selling price</t>
  </si>
  <si>
    <t>Fixed and variable costs</t>
  </si>
  <si>
    <t>Synthetic / simulated</t>
  </si>
  <si>
    <t>CORE MODEL LOGIC</t>
  </si>
  <si>
    <t>Demand → Production/Sourcing Requirement</t>
  </si>
  <si>
    <t>Production Requirement → Machine &amp; Labor Requirements</t>
  </si>
  <si>
    <t>Machine/Labor Requirements → Capacity Utilization</t>
  </si>
  <si>
    <t>Production → Defective &amp; Good Output</t>
  </si>
  <si>
    <t>Machine Time + Downtime → Availability</t>
  </si>
  <si>
    <t>Actual Production vs Ideal Production → Performance</t>
  </si>
  <si>
    <t>Good Output vs Total Output → Quality</t>
  </si>
  <si>
    <t>Availability × Performance × Quality → OEE</t>
  </si>
  <si>
    <t>Production + Purchases + Inventory → Closing Inventory</t>
  </si>
  <si>
    <t>Variable Cost + Selling Price → Contribution</t>
  </si>
  <si>
    <t>Contribution + Capacity → Production Prioritization</t>
  </si>
  <si>
    <t>Make Cost vs Buy Cost → Make-or-Buy Decision</t>
  </si>
  <si>
    <t>Demand/Capacity/Efficiency Changes → Scenario Analysis</t>
  </si>
  <si>
    <t>Capacity Constraints + Contribution → Solver Optimization</t>
  </si>
  <si>
    <t>DATA SOURCE &amp; DISCLAIMER</t>
  </si>
  <si>
    <r>
      <t xml:space="preserve">All operational, financial, production, machine, supplier, demand, inventory and pricing data used in this project are synthetically generated for portfolio and analytical demonstration purposes. The dataset </t>
    </r>
    <r>
      <rPr>
        <b/>
        <sz val="11"/>
        <color theme="1"/>
        <rFont val="Calibri"/>
        <family val="2"/>
        <scheme val="minor"/>
      </rPr>
      <t xml:space="preserve">does not represent </t>
    </r>
    <r>
      <rPr>
        <sz val="11"/>
        <color theme="1"/>
        <rFont val="Calibri"/>
        <family val="2"/>
        <scheme val="minor"/>
      </rPr>
      <t>actual confidential company information.</t>
    </r>
  </si>
  <si>
    <t>Module</t>
  </si>
  <si>
    <t>Variable</t>
  </si>
  <si>
    <t>Definition</t>
  </si>
  <si>
    <t>Unit</t>
  </si>
  <si>
    <t>Applies To</t>
  </si>
  <si>
    <t>Type</t>
  </si>
  <si>
    <t>Source / Logic</t>
  </si>
  <si>
    <t>Assumption / Range</t>
  </si>
  <si>
    <t>Component</t>
  </si>
  <si>
    <t>Component ID</t>
  </si>
  <si>
    <t>Unique identifier for each component</t>
  </si>
  <si>
    <t>—</t>
  </si>
  <si>
    <t>Both</t>
  </si>
  <si>
    <t>Generated</t>
  </si>
  <si>
    <t>Synthetic</t>
  </si>
  <si>
    <t>C001–C500</t>
  </si>
  <si>
    <t>Component Name</t>
  </si>
  <si>
    <t>Name assigned to the component</t>
  </si>
  <si>
    <t>Component 001–500</t>
  </si>
  <si>
    <t>Product Family</t>
  </si>
  <si>
    <t>Automotive system to which component belongs</t>
  </si>
  <si>
    <t>5 families</t>
  </si>
  <si>
    <t>Component Category</t>
  </si>
  <si>
    <t>Broad type of component</t>
  </si>
  <si>
    <t>Metal, Plastic, Electrical, etc.</t>
  </si>
  <si>
    <t>Sourcing Type</t>
  </si>
  <si>
    <t>Whether component is manufactured or purchased</t>
  </si>
  <si>
    <t>Make / Buy</t>
  </si>
  <si>
    <t>Criticality</t>
  </si>
  <si>
    <t>Operational importance of component</t>
  </si>
  <si>
    <t>Critical / High / Medium / Low</t>
  </si>
  <si>
    <t>Monthly Demand</t>
  </si>
  <si>
    <t>Expected monthly requirement</t>
  </si>
  <si>
    <t>Units/month</t>
  </si>
  <si>
    <t>Demand varies by component</t>
  </si>
  <si>
    <t>Demand Growth Rate</t>
  </si>
  <si>
    <t>Expected change in demand</t>
  </si>
  <si>
    <t>%</t>
  </si>
  <si>
    <t>-5% to +20%</t>
  </si>
  <si>
    <t>Forecast Demand</t>
  </si>
  <si>
    <t>Demand after applying growth assumption</t>
  </si>
  <si>
    <t>Calculated</t>
  </si>
  <si>
    <t>Demand × (1 + Growth Rate)</t>
  </si>
  <si>
    <t>Opening Inventory</t>
  </si>
  <si>
    <t>Inventory available at beginning of period</t>
  </si>
  <si>
    <t>Units</t>
  </si>
  <si>
    <t>Positive</t>
  </si>
  <si>
    <t>Safety Stock</t>
  </si>
  <si>
    <t>Minimum desired inventory buffer</t>
  </si>
  <si>
    <t>Based on demand</t>
  </si>
  <si>
    <t>Reorder Point</t>
  </si>
  <si>
    <t>Inventory level triggering replenishment</t>
  </si>
  <si>
    <t>Demand/lead-time logic</t>
  </si>
  <si>
    <t>1. COMPONENT MASTER</t>
  </si>
  <si>
    <t>2. MACHINE VARIABLES</t>
  </si>
  <si>
    <t>Machine</t>
  </si>
  <si>
    <t>Machine ID</t>
  </si>
  <si>
    <t>Unique machine identifier</t>
  </si>
  <si>
    <t>Make</t>
  </si>
  <si>
    <t>M001–M025</t>
  </si>
  <si>
    <t>Machine Name</t>
  </si>
  <si>
    <t>Machine description</t>
  </si>
  <si>
    <t>Machine Type</t>
  </si>
  <si>
    <t>Type of manufacturing equipment</t>
  </si>
  <si>
    <t>CNC, Press, Molding, etc.</t>
  </si>
  <si>
    <t>Production Line</t>
  </si>
  <si>
    <t>Manufacturing line containing machine</t>
  </si>
  <si>
    <t>Multiple lines</t>
  </si>
  <si>
    <t>Installation Year</t>
  </si>
  <si>
    <t>Year machine was installed</t>
  </si>
  <si>
    <t>Year</t>
  </si>
  <si>
    <t>2012–2024</t>
  </si>
  <si>
    <t>Machine Age</t>
  </si>
  <si>
    <t>Age of machine</t>
  </si>
  <si>
    <t>Years</t>
  </si>
  <si>
    <t>Current year − Installation Year</t>
  </si>
  <si>
    <t>Scheduled Hours</t>
  </si>
  <si>
    <t>Total scheduled operating hours</t>
  </si>
  <si>
    <t>Hours/month</t>
  </si>
  <si>
    <t>Based on shifts</t>
  </si>
  <si>
    <t>Planned Maintenance</t>
  </si>
  <si>
    <t>Scheduled maintenance time</t>
  </si>
  <si>
    <t>&gt;0</t>
  </si>
  <si>
    <t>Planned Downtime</t>
  </si>
  <si>
    <t>Planned non-operating time</t>
  </si>
  <si>
    <t>Machine Efficiency</t>
  </si>
  <si>
    <t>Efficiency of machine relative to theoretical performance</t>
  </si>
  <si>
    <t>75%–97%</t>
  </si>
  <si>
    <t>Available Hours</t>
  </si>
  <si>
    <t>Hours available after planned downtime</t>
  </si>
  <si>
    <t>Scheduled Hours − Planned Downtime</t>
  </si>
  <si>
    <t>3. PRODUCTION VARIABLES</t>
  </si>
  <si>
    <t>Production</t>
  </si>
  <si>
    <t>Assigned Machine</t>
  </si>
  <si>
    <t>Machine used to manufacture component</t>
  </si>
  <si>
    <t>Machine assignment</t>
  </si>
  <si>
    <t>Ideal Cycle Time</t>
  </si>
  <si>
    <t>Theoretical time required to produce one unit</t>
  </si>
  <si>
    <t>min/unit</t>
  </si>
  <si>
    <t>0.5–30 min</t>
  </si>
  <si>
    <t>Actual Cycle Time</t>
  </si>
  <si>
    <t>Observed production time per unit</t>
  </si>
  <si>
    <t>Ideal Cycle Time adjusted for performance</t>
  </si>
  <si>
    <t>&gt; Ideal</t>
  </si>
  <si>
    <t>Setup Time</t>
  </si>
  <si>
    <t>Time required to prepare machine before production</t>
  </si>
  <si>
    <t>min</t>
  </si>
  <si>
    <t>15–120 min</t>
  </si>
  <si>
    <t>Changeover Time</t>
  </si>
  <si>
    <t>Time required to switch between components</t>
  </si>
  <si>
    <t>10–90 min</t>
  </si>
  <si>
    <t>Planned Production Time</t>
  </si>
  <si>
    <t>Time allocated for production</t>
  </si>
  <si>
    <t>Available production schedule</t>
  </si>
  <si>
    <t>Downtime</t>
  </si>
  <si>
    <t>Unplanned machine downtime</t>
  </si>
  <si>
    <t>Operating Time</t>
  </si>
  <si>
    <t>Actual time machine operates</t>
  </si>
  <si>
    <t>Planned Production Time − Downtime</t>
  </si>
  <si>
    <t>Planned Production Quantity</t>
  </si>
  <si>
    <t>Quantity scheduled for production</t>
  </si>
  <si>
    <t>Demand/inventory requirement</t>
  </si>
  <si>
    <t>Actual Production</t>
  </si>
  <si>
    <t>Total units actually produced</t>
  </si>
  <si>
    <t>Production process</t>
  </si>
  <si>
    <t>Defective Production</t>
  </si>
  <si>
    <t>Units failing quality requirements</t>
  </si>
  <si>
    <t>Actual Production × Defect Rate</t>
  </si>
  <si>
    <t>Good Production</t>
  </si>
  <si>
    <t>Units passing quality inspection</t>
  </si>
  <si>
    <t>Actual Production − Defective Production</t>
  </si>
  <si>
    <t>Production Yield</t>
  </si>
  <si>
    <t>Percentage of output passing quality inspection</t>
  </si>
  <si>
    <t>Good Production / Actual Production</t>
  </si>
  <si>
    <t>Defect Rate</t>
  </si>
  <si>
    <t>Percentage of units produced that are defective</t>
  </si>
  <si>
    <t>0.2%–5%</t>
  </si>
  <si>
    <t>4. LABOR VARIABLES</t>
  </si>
  <si>
    <t>Labor</t>
  </si>
  <si>
    <t>Operators Required</t>
  </si>
  <si>
    <t>Number of workers required for production</t>
  </si>
  <si>
    <t>Employees</t>
  </si>
  <si>
    <t>1–6</t>
  </si>
  <si>
    <t>Labor Hours per Unit</t>
  </si>
  <si>
    <t>Direct labor required to produce one unit</t>
  </si>
  <si>
    <t>Hours/unit</t>
  </si>
  <si>
    <t>0.01–0.5</t>
  </si>
  <si>
    <t>Available Labor Hours</t>
  </si>
  <si>
    <t>Total scheduled labor capacity</t>
  </si>
  <si>
    <t>Based on workforce</t>
  </si>
  <si>
    <t>Labor Efficiency</t>
  </si>
  <si>
    <t>Actual labor productivity relative to standard</t>
  </si>
  <si>
    <t>80%–98%</t>
  </si>
  <si>
    <t>Effective Labor Hours</t>
  </si>
  <si>
    <t>Productively available labor capacity</t>
  </si>
  <si>
    <t>Available Labor Hours × Labor Efficiency</t>
  </si>
  <si>
    <t>Required Labor Hours</t>
  </si>
  <si>
    <t>Labor hours required for planned output</t>
  </si>
  <si>
    <t>Hours</t>
  </si>
  <si>
    <t>Production × Labor Hours/Unit</t>
  </si>
  <si>
    <t>Labor Utilization</t>
  </si>
  <si>
    <t>Required labor relative to effective capacity</t>
  </si>
  <si>
    <t>Required / Effective Hours</t>
  </si>
  <si>
    <t>5. OEE</t>
  </si>
  <si>
    <t>OEE</t>
  </si>
  <si>
    <t>Availability</t>
  </si>
  <si>
    <t>Proportion of planned time during which machine is operating</t>
  </si>
  <si>
    <t>Operating Time / Planned Production Time</t>
  </si>
  <si>
    <t>Performance</t>
  </si>
  <si>
    <t>Production speed relative to ideal speed</t>
  </si>
  <si>
    <t>Ideal production rate vs actual rate</t>
  </si>
  <si>
    <t>Quality</t>
  </si>
  <si>
    <t>Proportion of output meeting quality standards</t>
  </si>
  <si>
    <t>Overall Equipment Effectiveness</t>
  </si>
  <si>
    <t>Availability × Performance × Quality</t>
  </si>
  <si>
    <t>6. CAPACITY</t>
  </si>
  <si>
    <t>Capacity</t>
  </si>
  <si>
    <t>Theoretical Machine Capacity</t>
  </si>
  <si>
    <t>Maximum output assuming ideal operation</t>
  </si>
  <si>
    <t>Available time / Ideal Cycle Time</t>
  </si>
  <si>
    <t>Effective Machine Capacity</t>
  </si>
  <si>
    <t>Capacity after efficiency losses</t>
  </si>
  <si>
    <t>Theoretical Capacity × Machine Efficiency</t>
  </si>
  <si>
    <t>Required Machine Hours</t>
  </si>
  <si>
    <t>Machine time required for planned production</t>
  </si>
  <si>
    <t>Production × Cycle Time / 60</t>
  </si>
  <si>
    <t>Available Machine Hours</t>
  </si>
  <si>
    <t>Hours available for production</t>
  </si>
  <si>
    <t>From machine schedule</t>
  </si>
  <si>
    <t>Machine Utilization</t>
  </si>
  <si>
    <t>Required machine hours relative to available hours</t>
  </si>
  <si>
    <t>Required / Available</t>
  </si>
  <si>
    <t>Capacity Surplus</t>
  </si>
  <si>
    <t>Unused machine capacity</t>
  </si>
  <si>
    <t>Available − Required</t>
  </si>
  <si>
    <t>Capacity Shortage</t>
  </si>
  <si>
    <t>Additional machine hours required</t>
  </si>
  <si>
    <t>MAX(Required − Available,0)</t>
  </si>
  <si>
    <t>Bottleneck Flag</t>
  </si>
  <si>
    <t>Identifies capacity-constrained machines/components</t>
  </si>
  <si>
    <t>Utilization threshold</t>
  </si>
  <si>
    <t>&gt;100%</t>
  </si>
  <si>
    <t>7. PRODUCTIVITY</t>
  </si>
  <si>
    <t>Productivity</t>
  </si>
  <si>
    <t>Machine Productivity</t>
  </si>
  <si>
    <t>Good output per machine hour</t>
  </si>
  <si>
    <t>Units/hour</t>
  </si>
  <si>
    <t>Good Production / Machine Hours</t>
  </si>
  <si>
    <t>Labor Productivity</t>
  </si>
  <si>
    <t>Good output per labor hour</t>
  </si>
  <si>
    <t>Good Production / Labor Hours</t>
  </si>
  <si>
    <t>Revenue per Machine Hour</t>
  </si>
  <si>
    <t>Revenue generated per machine hour</t>
  </si>
  <si>
    <t>₹/hour</t>
  </si>
  <si>
    <t>Revenue / Machine Hours</t>
  </si>
  <si>
    <t>Contribution per Machine Hour</t>
  </si>
  <si>
    <t>Contribution generated per machine hour</t>
  </si>
  <si>
    <t>Contribution / Machine Hours</t>
  </si>
  <si>
    <t>Contribution per Labor Hour</t>
  </si>
  <si>
    <t>Contribution generated per labor hour</t>
  </si>
  <si>
    <t>Contribution / Labor Hours</t>
  </si>
  <si>
    <t>8. SUPPLIER VARIABLES</t>
  </si>
  <si>
    <t>Supplier</t>
  </si>
  <si>
    <t>Supplier ID</t>
  </si>
  <si>
    <t>Unique supplier identifier</t>
  </si>
  <si>
    <t>Buy</t>
  </si>
  <si>
    <t>SUP001–SUP030</t>
  </si>
  <si>
    <t>Supplier Name</t>
  </si>
  <si>
    <t>Supplier description</t>
  </si>
  <si>
    <t>Supplier Category</t>
  </si>
  <si>
    <t>Type of supplier</t>
  </si>
  <si>
    <t>Domestic/Regional/etc.</t>
  </si>
  <si>
    <t>Supplier Capacity</t>
  </si>
  <si>
    <t>Maximum supply available</t>
  </si>
  <si>
    <t>&gt; demand for reliable suppliers</t>
  </si>
  <si>
    <t>Purchase Price</t>
  </si>
  <si>
    <t>Price paid per component</t>
  </si>
  <si>
    <t>₹/unit</t>
  </si>
  <si>
    <t>Component dependent</t>
  </si>
  <si>
    <t>Transportation Cost</t>
  </si>
  <si>
    <t>Cost of transporting component</t>
  </si>
  <si>
    <t>Landed Cost</t>
  </si>
  <si>
    <t>Total purchase cost including transportation</t>
  </si>
  <si>
    <t>Purchase Price + Transportation</t>
  </si>
  <si>
    <t>Lead Time</t>
  </si>
  <si>
    <t>Time between order and delivery</t>
  </si>
  <si>
    <t>Days</t>
  </si>
  <si>
    <t>3–30 days</t>
  </si>
  <si>
    <t>MOQ</t>
  </si>
  <si>
    <t>Minimum order quantity</t>
  </si>
  <si>
    <t>Supplier Defect Rate</t>
  </si>
  <si>
    <t>Percentage of purchased components rejected</t>
  </si>
  <si>
    <t>0.2%–4%</t>
  </si>
  <si>
    <t>Delivery Reliability</t>
  </si>
  <si>
    <t>Percentage of deliveries arriving on time</t>
  </si>
  <si>
    <t>85%–99%</t>
  </si>
  <si>
    <t>Payment Terms</t>
  </si>
  <si>
    <t>Supplier payment period</t>
  </si>
  <si>
    <t>15–90 days</t>
  </si>
  <si>
    <t>9. INVENTORY</t>
  </si>
  <si>
    <t>Inventory at beginning of period</t>
  </si>
  <si>
    <t>Production Received</t>
  </si>
  <si>
    <t>Good internally produced units entering inventory</t>
  </si>
  <si>
    <t>Purchases Received</t>
  </si>
  <si>
    <t>Good purchased units received from suppliers</t>
  </si>
  <si>
    <t>Purchases × (1 − Defect Rate)</t>
  </si>
  <si>
    <t>Demand Fulfilled</t>
  </si>
  <si>
    <t>Units consumed by demand</t>
  </si>
  <si>
    <t>Demand subject to availability</t>
  </si>
  <si>
    <t>Closing Inventory</t>
  </si>
  <si>
    <t>Inventory remaining after demand</t>
  </si>
  <si>
    <t>Opening + Receipts − Demand</t>
  </si>
  <si>
    <t>Desired minimum inventory</t>
  </si>
  <si>
    <t>Demand-based</t>
  </si>
  <si>
    <t>Inventory Gap</t>
  </si>
  <si>
    <t>Difference between closing inventory and safety stock</t>
  </si>
  <si>
    <t>Closing Inventory − Safety Stock</t>
  </si>
  <si>
    <t>Stockout Flag</t>
  </si>
  <si>
    <t>Indicates insufficient inventory</t>
  </si>
  <si>
    <t>Inventory &lt; Demand</t>
  </si>
  <si>
    <t>Excess Inventory Flag</t>
  </si>
  <si>
    <t>Indicates inventory above target</t>
  </si>
  <si>
    <t>Closing Inventory &gt; target</t>
  </si>
  <si>
    <t>Inventory Turnover</t>
  </si>
  <si>
    <t>Rate at which inventory is consumed</t>
  </si>
  <si>
    <t>Times</t>
  </si>
  <si>
    <t>Demand / Average Inventory</t>
  </si>
  <si>
    <t>10. COSTING</t>
  </si>
  <si>
    <t>Raw Material Cost</t>
  </si>
  <si>
    <t>Direct input cost per unit</t>
  </si>
  <si>
    <t>Direct Labor Cost</t>
  </si>
  <si>
    <t>Direct labor cost per unit</t>
  </si>
  <si>
    <t>Labor Hours × Labor Rate</t>
  </si>
  <si>
    <t>Machine Cost</t>
  </si>
  <si>
    <t>Machine operating cost per unit</t>
  </si>
  <si>
    <t>Machine Hours × Machine Rate</t>
  </si>
  <si>
    <t>Variable Overhead</t>
  </si>
  <si>
    <t>Other variable production cost</t>
  </si>
  <si>
    <t>Fixed Manufacturing Cost</t>
  </si>
  <si>
    <t>Fixed manufacturing costs</t>
  </si>
  <si>
    <t>₹/month</t>
  </si>
  <si>
    <t>Total Variable Cost</t>
  </si>
  <si>
    <t>Total variable cost per unit</t>
  </si>
  <si>
    <t>Sum of variable costs</t>
  </si>
  <si>
    <t>Total Fixed Cost</t>
  </si>
  <si>
    <t>Total fixed production cost</t>
  </si>
  <si>
    <t>Total Cost</t>
  </si>
  <si>
    <t>Total production/procurement cost</t>
  </si>
  <si>
    <t>₹</t>
  </si>
  <si>
    <t>Variable + Fixed Costs</t>
  </si>
  <si>
    <t>Average Cost</t>
  </si>
  <si>
    <t>Cost per unit</t>
  </si>
  <si>
    <t>Total Cost / Units</t>
  </si>
  <si>
    <t>11. PRICING &amp; CONTRIBUTION</t>
  </si>
  <si>
    <t>List Price</t>
  </si>
  <si>
    <t>Standard listed selling price</t>
  </si>
  <si>
    <t>&gt; Variable Cost</t>
  </si>
  <si>
    <t>Selling Price</t>
  </si>
  <si>
    <t>Actual assumed selling price</t>
  </si>
  <si>
    <t>Average Selling Price</t>
  </si>
  <si>
    <t>Average realized selling price</t>
  </si>
  <si>
    <t>Revenue / Units Sold</t>
  </si>
  <si>
    <t>Minimum Price</t>
  </si>
  <si>
    <t>Lowest modeled selling price</t>
  </si>
  <si>
    <t>Below/around selling price</t>
  </si>
  <si>
    <t>Maximum Price</t>
  </si>
  <si>
    <t>Highest modeled selling price</t>
  </si>
  <si>
    <t>Above selling price</t>
  </si>
  <si>
    <t>Revenue</t>
  </si>
  <si>
    <t>Sales generated</t>
  </si>
  <si>
    <t>Selling Price × Units Sold</t>
  </si>
  <si>
    <t>Contribution</t>
  </si>
  <si>
    <t>Contribution per Unit</t>
  </si>
  <si>
    <t>Selling price less variable cost</t>
  </si>
  <si>
    <t>Selling Price − Variable Cost</t>
  </si>
  <si>
    <t>Total Contribution</t>
  </si>
  <si>
    <t>Total contribution generated</t>
  </si>
  <si>
    <t>Contribution/Unit × Units Sold</t>
  </si>
  <si>
    <t>Contribution Margin</t>
  </si>
  <si>
    <t>Contribution as percentage of sales</t>
  </si>
  <si>
    <t>Contribution / Selling Price</t>
  </si>
  <si>
    <t>Variable Cost Ratio</t>
  </si>
  <si>
    <t>Variable cost as percentage of selling price</t>
  </si>
  <si>
    <t>Variable Cost / Selling Price</t>
  </si>
  <si>
    <t>12. MAKE VS BUY</t>
  </si>
  <si>
    <t>Make-Buy</t>
  </si>
  <si>
    <t>Internal Manufacturing Cost</t>
  </si>
  <si>
    <t>Cost of producing component internally</t>
  </si>
  <si>
    <t>Relevant internal costs</t>
  </si>
  <si>
    <t>External Purchase Cost</t>
  </si>
  <si>
    <t>Cost of purchasing component</t>
  </si>
  <si>
    <t>Purchase + transportation</t>
  </si>
  <si>
    <t>Make Cost</t>
  </si>
  <si>
    <t>Estimated cost if component is manufactured</t>
  </si>
  <si>
    <t>Manufacturing cost</t>
  </si>
  <si>
    <t>Buy Cost</t>
  </si>
  <si>
    <t>Estimated cost if component is purchased</t>
  </si>
  <si>
    <t>Landed purchase cost</t>
  </si>
  <si>
    <t>Cost Difference</t>
  </si>
  <si>
    <t>Difference between Make and Buy</t>
  </si>
  <si>
    <t>Make Cost − Buy Cost</t>
  </si>
  <si>
    <t>Capacity Requirement</t>
  </si>
  <si>
    <t>Internal capacity required if Made</t>
  </si>
  <si>
    <t>Demand × Cycle Time</t>
  </si>
  <si>
    <t>Recommended Sourcing</t>
  </si>
  <si>
    <t>Recommended sourcing strategy</t>
  </si>
  <si>
    <t>Cost + capacity + supplier factors</t>
  </si>
  <si>
    <t>Make / Buy / Review</t>
  </si>
  <si>
    <t>13. SCENARIO &amp; OPTIMIZATION</t>
  </si>
  <si>
    <t>Scenario</t>
  </si>
  <si>
    <t>Demand Scenario</t>
  </si>
  <si>
    <t>Change in demand</t>
  </si>
  <si>
    <t>Input</t>
  </si>
  <si>
    <t>Scenario assumption</t>
  </si>
  <si>
    <t>0%, 5%, 10%, 20%, 30%</t>
  </si>
  <si>
    <t>Capacity Scenario</t>
  </si>
  <si>
    <t>Change in available capacity</t>
  </si>
  <si>
    <t>0%, 10%, 20%, 30%</t>
  </si>
  <si>
    <t>Efficiency Scenario</t>
  </si>
  <si>
    <t>Improvement in machine efficiency</t>
  </si>
  <si>
    <t>percentage points</t>
  </si>
  <si>
    <t>+5, +10 pp</t>
  </si>
  <si>
    <t>Defect Scenario</t>
  </si>
  <si>
    <t>Reduction in defect rate</t>
  </si>
  <si>
    <t>-10%, -20%, -30%</t>
  </si>
  <si>
    <t>Optimization</t>
  </si>
  <si>
    <t>Production Decision</t>
  </si>
  <si>
    <t>Quantity selected for production</t>
  </si>
  <si>
    <t>Solver</t>
  </si>
  <si>
    <t>Decision variable</t>
  </si>
  <si>
    <t>0 ≤ Q ≤ Demand</t>
  </si>
  <si>
    <t>Objective</t>
  </si>
  <si>
    <t>Total contribution to maximize</t>
  </si>
  <si>
    <t>Sum of contribution</t>
  </si>
  <si>
    <t>Maximize</t>
  </si>
  <si>
    <t>Machine Constraint</t>
  </si>
  <si>
    <t>Machine capacity restriction</t>
  </si>
  <si>
    <t>Required hours ≤ available hours</t>
  </si>
  <si>
    <t>Constraint</t>
  </si>
  <si>
    <t>Labor Constraint</t>
  </si>
  <si>
    <t>Labor capacity restriction</t>
  </si>
  <si>
    <t>Required labor ≤ available labor</t>
  </si>
  <si>
    <t>Demand Constraint</t>
  </si>
  <si>
    <t>Production cannot exceed demand</t>
  </si>
  <si>
    <t>Production ≤ Demand</t>
  </si>
  <si>
    <t>14. DASHBOARD VARIABLES</t>
  </si>
  <si>
    <t>Dashboard</t>
  </si>
  <si>
    <t>Total Components</t>
  </si>
  <si>
    <t>Count</t>
  </si>
  <si>
    <t>KPI</t>
  </si>
  <si>
    <t>Component Master</t>
  </si>
  <si>
    <t>Make Components</t>
  </si>
  <si>
    <t>Buy Components</t>
  </si>
  <si>
    <t>Total Production</t>
  </si>
  <si>
    <t>Total units produced</t>
  </si>
  <si>
    <t>Total acceptable output</t>
  </si>
  <si>
    <t>Total rejected output</t>
  </si>
  <si>
    <t>Average OEE</t>
  </si>
  <si>
    <t>Average equipment effectiveness</t>
  </si>
  <si>
    <t>Average machine utilization</t>
  </si>
  <si>
    <t>Average labor utilization</t>
  </si>
  <si>
    <t>Total Revenue</t>
  </si>
  <si>
    <t>Total sales revenue</t>
  </si>
  <si>
    <t>Total contribution</t>
  </si>
  <si>
    <t>Overall contribution margin</t>
  </si>
  <si>
    <t>Bottleneck Machines</t>
  </si>
  <si>
    <t>Number of constrained machines</t>
  </si>
  <si>
    <t>Component_ID</t>
  </si>
  <si>
    <t>Component_Name</t>
  </si>
  <si>
    <t>Product_Family</t>
  </si>
  <si>
    <t>Category</t>
  </si>
  <si>
    <t>Size</t>
  </si>
  <si>
    <t>Sourcing_Type</t>
  </si>
  <si>
    <t>Monthly_Demand</t>
  </si>
  <si>
    <t>Demand_Growth_Rate</t>
  </si>
  <si>
    <t>Forecast_Demand</t>
  </si>
  <si>
    <t>Opening_Inventory</t>
  </si>
  <si>
    <t>Safety_Stock</t>
  </si>
  <si>
    <t>Assigned_Machine</t>
  </si>
  <si>
    <t>Ideal_Cycle_Time_Min</t>
  </si>
  <si>
    <t>Actual_Cycle_Time_Min</t>
  </si>
  <si>
    <t>Setup_Time_Min</t>
  </si>
  <si>
    <t>Changeover_Time_Min</t>
  </si>
  <si>
    <t>Operators_Required</t>
  </si>
  <si>
    <t>Labor_Hours_Per_Unit</t>
  </si>
  <si>
    <t>Defect_Rate</t>
  </si>
  <si>
    <t>Labor_Efficiency</t>
  </si>
  <si>
    <t>Assigned_Supplier</t>
  </si>
  <si>
    <t>Supplier_Capacity</t>
  </si>
  <si>
    <t>Purchase_Price_Index</t>
  </si>
  <si>
    <t>Lead_Time_Days</t>
  </si>
  <si>
    <t>Supplier_Defect_Rate</t>
  </si>
  <si>
    <t>Delivery_Reliability</t>
  </si>
  <si>
    <t>Transportation_Cost</t>
  </si>
  <si>
    <t>Payment_Terms_Days</t>
  </si>
  <si>
    <t>Purchase_Price_Per_Unit</t>
  </si>
  <si>
    <t>Landed_Cost_Per_Unit</t>
  </si>
  <si>
    <t>Effective_Cost_Per_Unit</t>
  </si>
  <si>
    <t>Raw_Material_Cost_Per_Unit</t>
  </si>
  <si>
    <t>Direct_Labor_Cost_Per_Unit</t>
  </si>
  <si>
    <t>Machine_Cost_Per_Unit</t>
  </si>
  <si>
    <t>Variable_Overhead_Per_Unit</t>
  </si>
  <si>
    <t>Variable_Cost_Per_Unit</t>
  </si>
  <si>
    <t>Target_Contribution_Margin</t>
  </si>
  <si>
    <t>Selling_Price_Per_Unit</t>
  </si>
  <si>
    <t>Contribution_Per_Unit</t>
  </si>
  <si>
    <t>Contribution_Margin</t>
  </si>
  <si>
    <t>Variable_Cost_Ratio</t>
  </si>
  <si>
    <t>Annual_Demand</t>
  </si>
  <si>
    <t>Average_Monthly_Demand</t>
  </si>
  <si>
    <t>Demand_Variability</t>
  </si>
  <si>
    <t>Net_Requirement</t>
  </si>
  <si>
    <t>Required_Good_Units</t>
  </si>
  <si>
    <t>Gross_Requirement</t>
  </si>
  <si>
    <t>Planned_Production_or_Procurement</t>
  </si>
  <si>
    <t>Required_Machine_Hours</t>
  </si>
  <si>
    <t>Machine_Efficiency</t>
  </si>
  <si>
    <t>Required_Labor_Hours</t>
  </si>
  <si>
    <t>Quality_Rate</t>
  </si>
  <si>
    <t>Performance_Rate</t>
  </si>
  <si>
    <t>Availability_Rate</t>
  </si>
  <si>
    <t>C001</t>
  </si>
  <si>
    <t>Component 001</t>
  </si>
  <si>
    <t>Powertrain</t>
  </si>
  <si>
    <t>Electrical</t>
  </si>
  <si>
    <t>Large</t>
  </si>
  <si>
    <t>Medium</t>
  </si>
  <si>
    <t>M014</t>
  </si>
  <si>
    <t>C002</t>
  </si>
  <si>
    <t>Component 002</t>
  </si>
  <si>
    <t>Chassis</t>
  </si>
  <si>
    <t>Metal</t>
  </si>
  <si>
    <t>Small</t>
  </si>
  <si>
    <t>Low</t>
  </si>
  <si>
    <t>M002</t>
  </si>
  <si>
    <t>C003</t>
  </si>
  <si>
    <t>Component 003</t>
  </si>
  <si>
    <t>Electrical Systems</t>
  </si>
  <si>
    <t>M020</t>
  </si>
  <si>
    <t>C004</t>
  </si>
  <si>
    <t>Component 004</t>
  </si>
  <si>
    <t>High</t>
  </si>
  <si>
    <t>M008</t>
  </si>
  <si>
    <t>C005</t>
  </si>
  <si>
    <t>Component 005</t>
  </si>
  <si>
    <t>M009</t>
  </si>
  <si>
    <t>C006</t>
  </si>
  <si>
    <t>Component 006</t>
  </si>
  <si>
    <t>Interior</t>
  </si>
  <si>
    <t>C007</t>
  </si>
  <si>
    <t>Component 007</t>
  </si>
  <si>
    <t>C008</t>
  </si>
  <si>
    <t>Component 008</t>
  </si>
  <si>
    <t>M013</t>
  </si>
  <si>
    <t>C009</t>
  </si>
  <si>
    <t>Component 009</t>
  </si>
  <si>
    <t>C010</t>
  </si>
  <si>
    <t>Component 010</t>
  </si>
  <si>
    <t>C011</t>
  </si>
  <si>
    <t>Component 011</t>
  </si>
  <si>
    <t>C012</t>
  </si>
  <si>
    <t>Component 012</t>
  </si>
  <si>
    <t>M024</t>
  </si>
  <si>
    <t>C013</t>
  </si>
  <si>
    <t>Component 013</t>
  </si>
  <si>
    <t>M004</t>
  </si>
  <si>
    <t>C014</t>
  </si>
  <si>
    <t>Component 014</t>
  </si>
  <si>
    <t>M011</t>
  </si>
  <si>
    <t>C015</t>
  </si>
  <si>
    <t>Component 015</t>
  </si>
  <si>
    <t>M016</t>
  </si>
  <si>
    <t>C016</t>
  </si>
  <si>
    <t>Component 016</t>
  </si>
  <si>
    <t>C017</t>
  </si>
  <si>
    <t>Component 017</t>
  </si>
  <si>
    <t>M001</t>
  </si>
  <si>
    <t>C018</t>
  </si>
  <si>
    <t>Component 018</t>
  </si>
  <si>
    <t>C019</t>
  </si>
  <si>
    <t>Component 019</t>
  </si>
  <si>
    <t>Body &amp; Exterior</t>
  </si>
  <si>
    <t>C020</t>
  </si>
  <si>
    <t>Component 020</t>
  </si>
  <si>
    <t>M022</t>
  </si>
  <si>
    <t>C021</t>
  </si>
  <si>
    <t>Component 021</t>
  </si>
  <si>
    <t>C022</t>
  </si>
  <si>
    <t>Component 022</t>
  </si>
  <si>
    <t>M017</t>
  </si>
  <si>
    <t>C023</t>
  </si>
  <si>
    <t>Component 023</t>
  </si>
  <si>
    <t>M023</t>
  </si>
  <si>
    <t>C024</t>
  </si>
  <si>
    <t>Component 024</t>
  </si>
  <si>
    <t>C025</t>
  </si>
  <si>
    <t>Component 025</t>
  </si>
  <si>
    <t>M005</t>
  </si>
  <si>
    <t>C026</t>
  </si>
  <si>
    <t>Component 026</t>
  </si>
  <si>
    <t>M007</t>
  </si>
  <si>
    <t>C027</t>
  </si>
  <si>
    <t>Component 027</t>
  </si>
  <si>
    <t>Critical</t>
  </si>
  <si>
    <t>M010</t>
  </si>
  <si>
    <t>C028</t>
  </si>
  <si>
    <t>Component 028</t>
  </si>
  <si>
    <t>M018</t>
  </si>
  <si>
    <t>C029</t>
  </si>
  <si>
    <t>Component 029</t>
  </si>
  <si>
    <t>C030</t>
  </si>
  <si>
    <t>Component 030</t>
  </si>
  <si>
    <t>C031</t>
  </si>
  <si>
    <t>Component 031</t>
  </si>
  <si>
    <t>C032</t>
  </si>
  <si>
    <t>Component 032</t>
  </si>
  <si>
    <t>C033</t>
  </si>
  <si>
    <t>Component 033</t>
  </si>
  <si>
    <t>C034</t>
  </si>
  <si>
    <t>Component 034</t>
  </si>
  <si>
    <t>C035</t>
  </si>
  <si>
    <t>Component 035</t>
  </si>
  <si>
    <t>C036</t>
  </si>
  <si>
    <t>Component 036</t>
  </si>
  <si>
    <t>M006</t>
  </si>
  <si>
    <t>C037</t>
  </si>
  <si>
    <t>Component 037</t>
  </si>
  <si>
    <t>C038</t>
  </si>
  <si>
    <t>Component 038</t>
  </si>
  <si>
    <t>C039</t>
  </si>
  <si>
    <t>Component 039</t>
  </si>
  <si>
    <t>M021</t>
  </si>
  <si>
    <t>C040</t>
  </si>
  <si>
    <t>Component 040</t>
  </si>
  <si>
    <t>C041</t>
  </si>
  <si>
    <t>Component 041</t>
  </si>
  <si>
    <t>C042</t>
  </si>
  <si>
    <t>Component 042</t>
  </si>
  <si>
    <t>C043</t>
  </si>
  <si>
    <t>Component 043</t>
  </si>
  <si>
    <t>C044</t>
  </si>
  <si>
    <t>Component 044</t>
  </si>
  <si>
    <t>C045</t>
  </si>
  <si>
    <t>Component 045</t>
  </si>
  <si>
    <t>C046</t>
  </si>
  <si>
    <t>Component 046</t>
  </si>
  <si>
    <t>C047</t>
  </si>
  <si>
    <t>Component 047</t>
  </si>
  <si>
    <t>C048</t>
  </si>
  <si>
    <t>Component 048</t>
  </si>
  <si>
    <t>C049</t>
  </si>
  <si>
    <t>Component 049</t>
  </si>
  <si>
    <t>M003</t>
  </si>
  <si>
    <t>C050</t>
  </si>
  <si>
    <t>Component 050</t>
  </si>
  <si>
    <t>C051</t>
  </si>
  <si>
    <t>Component 051</t>
  </si>
  <si>
    <t>C052</t>
  </si>
  <si>
    <t>Component 052</t>
  </si>
  <si>
    <t>C053</t>
  </si>
  <si>
    <t>Component 053</t>
  </si>
  <si>
    <t>C054</t>
  </si>
  <si>
    <t>Component 054</t>
  </si>
  <si>
    <t>C055</t>
  </si>
  <si>
    <t>Component 055</t>
  </si>
  <si>
    <t>C056</t>
  </si>
  <si>
    <t>Component 056</t>
  </si>
  <si>
    <t>C057</t>
  </si>
  <si>
    <t>Component 057</t>
  </si>
  <si>
    <t>C058</t>
  </si>
  <si>
    <t>Component 058</t>
  </si>
  <si>
    <t>C059</t>
  </si>
  <si>
    <t>Component 059</t>
  </si>
  <si>
    <t>C060</t>
  </si>
  <si>
    <t>Component 060</t>
  </si>
  <si>
    <t>C061</t>
  </si>
  <si>
    <t>Component 061</t>
  </si>
  <si>
    <t>C062</t>
  </si>
  <si>
    <t>Component 062</t>
  </si>
  <si>
    <t>C063</t>
  </si>
  <si>
    <t>Component 063</t>
  </si>
  <si>
    <t>C064</t>
  </si>
  <si>
    <t>Component 064</t>
  </si>
  <si>
    <t>C065</t>
  </si>
  <si>
    <t>Component 065</t>
  </si>
  <si>
    <t>C066</t>
  </si>
  <si>
    <t>Component 066</t>
  </si>
  <si>
    <t>C067</t>
  </si>
  <si>
    <t>Component 067</t>
  </si>
  <si>
    <t>M025</t>
  </si>
  <si>
    <t>C068</t>
  </si>
  <si>
    <t>Component 068</t>
  </si>
  <si>
    <t>C069</t>
  </si>
  <si>
    <t>Component 069</t>
  </si>
  <si>
    <t>C070</t>
  </si>
  <si>
    <t>Component 070</t>
  </si>
  <si>
    <t>C071</t>
  </si>
  <si>
    <t>Component 071</t>
  </si>
  <si>
    <t>C072</t>
  </si>
  <si>
    <t>Component 072</t>
  </si>
  <si>
    <t>C073</t>
  </si>
  <si>
    <t>Component 073</t>
  </si>
  <si>
    <t>C074</t>
  </si>
  <si>
    <t>Component 074</t>
  </si>
  <si>
    <t>C075</t>
  </si>
  <si>
    <t>Component 075</t>
  </si>
  <si>
    <t>C076</t>
  </si>
  <si>
    <t>Component 076</t>
  </si>
  <si>
    <t>C077</t>
  </si>
  <si>
    <t>Component 077</t>
  </si>
  <si>
    <t>M015</t>
  </si>
  <si>
    <t>C078</t>
  </si>
  <si>
    <t>Component 078</t>
  </si>
  <si>
    <t>C079</t>
  </si>
  <si>
    <t>Component 079</t>
  </si>
  <si>
    <t>C080</t>
  </si>
  <si>
    <t>Component 080</t>
  </si>
  <si>
    <t>C081</t>
  </si>
  <si>
    <t>Component 081</t>
  </si>
  <si>
    <t>C082</t>
  </si>
  <si>
    <t>Component 082</t>
  </si>
  <si>
    <t>C083</t>
  </si>
  <si>
    <t>Component 083</t>
  </si>
  <si>
    <t>C084</t>
  </si>
  <si>
    <t>Component 084</t>
  </si>
  <si>
    <t>C085</t>
  </si>
  <si>
    <t>Component 085</t>
  </si>
  <si>
    <t>C086</t>
  </si>
  <si>
    <t>Component 086</t>
  </si>
  <si>
    <t>C087</t>
  </si>
  <si>
    <t>Component 087</t>
  </si>
  <si>
    <t>C088</t>
  </si>
  <si>
    <t>Component 088</t>
  </si>
  <si>
    <t>C089</t>
  </si>
  <si>
    <t>Component 089</t>
  </si>
  <si>
    <t>C090</t>
  </si>
  <si>
    <t>Component 090</t>
  </si>
  <si>
    <t>C091</t>
  </si>
  <si>
    <t>Component 091</t>
  </si>
  <si>
    <t>C092</t>
  </si>
  <si>
    <t>Component 092</t>
  </si>
  <si>
    <t>C093</t>
  </si>
  <si>
    <t>Component 093</t>
  </si>
  <si>
    <t>C094</t>
  </si>
  <si>
    <t>Component 094</t>
  </si>
  <si>
    <t>C095</t>
  </si>
  <si>
    <t>Component 095</t>
  </si>
  <si>
    <t>C096</t>
  </si>
  <si>
    <t>Component 096</t>
  </si>
  <si>
    <t>C097</t>
  </si>
  <si>
    <t>Component 097</t>
  </si>
  <si>
    <t>C098</t>
  </si>
  <si>
    <t>Component 098</t>
  </si>
  <si>
    <t>C099</t>
  </si>
  <si>
    <t>Component 099</t>
  </si>
  <si>
    <t>C100</t>
  </si>
  <si>
    <t>Component 100</t>
  </si>
  <si>
    <t>C101</t>
  </si>
  <si>
    <t>Component 101</t>
  </si>
  <si>
    <t>M019</t>
  </si>
  <si>
    <t>C102</t>
  </si>
  <si>
    <t>Component 102</t>
  </si>
  <si>
    <t>C103</t>
  </si>
  <si>
    <t>Component 103</t>
  </si>
  <si>
    <t>C104</t>
  </si>
  <si>
    <t>Component 104</t>
  </si>
  <si>
    <t>M012</t>
  </si>
  <si>
    <t>C105</t>
  </si>
  <si>
    <t>Component 105</t>
  </si>
  <si>
    <t>C106</t>
  </si>
  <si>
    <t>Component 106</t>
  </si>
  <si>
    <t>C107</t>
  </si>
  <si>
    <t>Component 107</t>
  </si>
  <si>
    <t>C108</t>
  </si>
  <si>
    <t>Component 108</t>
  </si>
  <si>
    <t>C109</t>
  </si>
  <si>
    <t>Component 109</t>
  </si>
  <si>
    <t>C110</t>
  </si>
  <si>
    <t>Component 110</t>
  </si>
  <si>
    <t>C111</t>
  </si>
  <si>
    <t>Component 111</t>
  </si>
  <si>
    <t>C112</t>
  </si>
  <si>
    <t>Component 112</t>
  </si>
  <si>
    <t>C113</t>
  </si>
  <si>
    <t>Component 113</t>
  </si>
  <si>
    <t>C114</t>
  </si>
  <si>
    <t>Component 114</t>
  </si>
  <si>
    <t>C115</t>
  </si>
  <si>
    <t>Component 115</t>
  </si>
  <si>
    <t>C116</t>
  </si>
  <si>
    <t>Component 116</t>
  </si>
  <si>
    <t>C117</t>
  </si>
  <si>
    <t>Component 117</t>
  </si>
  <si>
    <t>C118</t>
  </si>
  <si>
    <t>Component 118</t>
  </si>
  <si>
    <t>C119</t>
  </si>
  <si>
    <t>Component 119</t>
  </si>
  <si>
    <t>C120</t>
  </si>
  <si>
    <t>Component 120</t>
  </si>
  <si>
    <t>C121</t>
  </si>
  <si>
    <t>Component 121</t>
  </si>
  <si>
    <t>C122</t>
  </si>
  <si>
    <t>Component 122</t>
  </si>
  <si>
    <t>C123</t>
  </si>
  <si>
    <t>Component 123</t>
  </si>
  <si>
    <t>C124</t>
  </si>
  <si>
    <t>Component 124</t>
  </si>
  <si>
    <t>C125</t>
  </si>
  <si>
    <t>Component 125</t>
  </si>
  <si>
    <t>C126</t>
  </si>
  <si>
    <t>Component 126</t>
  </si>
  <si>
    <t>C127</t>
  </si>
  <si>
    <t>Component 127</t>
  </si>
  <si>
    <t>C128</t>
  </si>
  <si>
    <t>Component 128</t>
  </si>
  <si>
    <t>C129</t>
  </si>
  <si>
    <t>Component 129</t>
  </si>
  <si>
    <t>C130</t>
  </si>
  <si>
    <t>Component 130</t>
  </si>
  <si>
    <t>C131</t>
  </si>
  <si>
    <t>Component 131</t>
  </si>
  <si>
    <t>C132</t>
  </si>
  <si>
    <t>Component 132</t>
  </si>
  <si>
    <t>C133</t>
  </si>
  <si>
    <t>Component 133</t>
  </si>
  <si>
    <t>C134</t>
  </si>
  <si>
    <t>Component 134</t>
  </si>
  <si>
    <t>C135</t>
  </si>
  <si>
    <t>Component 135</t>
  </si>
  <si>
    <t>C136</t>
  </si>
  <si>
    <t>Component 136</t>
  </si>
  <si>
    <t>C137</t>
  </si>
  <si>
    <t>Component 137</t>
  </si>
  <si>
    <t>C138</t>
  </si>
  <si>
    <t>Component 138</t>
  </si>
  <si>
    <t>C139</t>
  </si>
  <si>
    <t>Component 139</t>
  </si>
  <si>
    <t>C140</t>
  </si>
  <si>
    <t>Component 140</t>
  </si>
  <si>
    <t>C141</t>
  </si>
  <si>
    <t>Component 141</t>
  </si>
  <si>
    <t>C142</t>
  </si>
  <si>
    <t>Component 142</t>
  </si>
  <si>
    <t>C143</t>
  </si>
  <si>
    <t>Component 143</t>
  </si>
  <si>
    <t>C144</t>
  </si>
  <si>
    <t>Component 144</t>
  </si>
  <si>
    <t>C145</t>
  </si>
  <si>
    <t>Component 145</t>
  </si>
  <si>
    <t>C146</t>
  </si>
  <si>
    <t>Component 146</t>
  </si>
  <si>
    <t>C147</t>
  </si>
  <si>
    <t>Component 147</t>
  </si>
  <si>
    <t>C148</t>
  </si>
  <si>
    <t>Component 148</t>
  </si>
  <si>
    <t>C149</t>
  </si>
  <si>
    <t>Component 149</t>
  </si>
  <si>
    <t>C150</t>
  </si>
  <si>
    <t>Component 150</t>
  </si>
  <si>
    <t>C151</t>
  </si>
  <si>
    <t>Component 151</t>
  </si>
  <si>
    <t>C152</t>
  </si>
  <si>
    <t>Component 152</t>
  </si>
  <si>
    <t>C153</t>
  </si>
  <si>
    <t>Component 153</t>
  </si>
  <si>
    <t>C154</t>
  </si>
  <si>
    <t>Component 154</t>
  </si>
  <si>
    <t>C155</t>
  </si>
  <si>
    <t>Component 155</t>
  </si>
  <si>
    <t>C156</t>
  </si>
  <si>
    <t>Component 156</t>
  </si>
  <si>
    <t>C157</t>
  </si>
  <si>
    <t>Component 157</t>
  </si>
  <si>
    <t>C158</t>
  </si>
  <si>
    <t>Component 158</t>
  </si>
  <si>
    <t>C159</t>
  </si>
  <si>
    <t>Component 159</t>
  </si>
  <si>
    <t>C160</t>
  </si>
  <si>
    <t>Component 160</t>
  </si>
  <si>
    <t>C161</t>
  </si>
  <si>
    <t>Component 161</t>
  </si>
  <si>
    <t>C162</t>
  </si>
  <si>
    <t>Component 162</t>
  </si>
  <si>
    <t>C163</t>
  </si>
  <si>
    <t>Component 163</t>
  </si>
  <si>
    <t>C164</t>
  </si>
  <si>
    <t>Component 164</t>
  </si>
  <si>
    <t>C165</t>
  </si>
  <si>
    <t>Component 165</t>
  </si>
  <si>
    <t>C166</t>
  </si>
  <si>
    <t>Component 166</t>
  </si>
  <si>
    <t>C167</t>
  </si>
  <si>
    <t>Component 167</t>
  </si>
  <si>
    <t>C168</t>
  </si>
  <si>
    <t>Component 168</t>
  </si>
  <si>
    <t>C169</t>
  </si>
  <si>
    <t>Component 169</t>
  </si>
  <si>
    <t>C170</t>
  </si>
  <si>
    <t>Component 170</t>
  </si>
  <si>
    <t>C171</t>
  </si>
  <si>
    <t>Component 171</t>
  </si>
  <si>
    <t>C172</t>
  </si>
  <si>
    <t>Component 172</t>
  </si>
  <si>
    <t>C173</t>
  </si>
  <si>
    <t>Component 173</t>
  </si>
  <si>
    <t>C174</t>
  </si>
  <si>
    <t>Component 174</t>
  </si>
  <si>
    <t>C175</t>
  </si>
  <si>
    <t>Component 175</t>
  </si>
  <si>
    <t>C176</t>
  </si>
  <si>
    <t>Component 176</t>
  </si>
  <si>
    <t>C177</t>
  </si>
  <si>
    <t>Component 177</t>
  </si>
  <si>
    <t>C178</t>
  </si>
  <si>
    <t>Component 178</t>
  </si>
  <si>
    <t>C179</t>
  </si>
  <si>
    <t>Component 179</t>
  </si>
  <si>
    <t>C180</t>
  </si>
  <si>
    <t>Component 180</t>
  </si>
  <si>
    <t>C181</t>
  </si>
  <si>
    <t>Component 181</t>
  </si>
  <si>
    <t>C182</t>
  </si>
  <si>
    <t>Component 182</t>
  </si>
  <si>
    <t>C183</t>
  </si>
  <si>
    <t>Component 183</t>
  </si>
  <si>
    <t>C184</t>
  </si>
  <si>
    <t>Component 184</t>
  </si>
  <si>
    <t>C185</t>
  </si>
  <si>
    <t>Component 185</t>
  </si>
  <si>
    <t>C186</t>
  </si>
  <si>
    <t>Component 186</t>
  </si>
  <si>
    <t>C187</t>
  </si>
  <si>
    <t>Component 187</t>
  </si>
  <si>
    <t>C188</t>
  </si>
  <si>
    <t>Component 188</t>
  </si>
  <si>
    <t>C189</t>
  </si>
  <si>
    <t>Component 189</t>
  </si>
  <si>
    <t>C190</t>
  </si>
  <si>
    <t>Component 190</t>
  </si>
  <si>
    <t>C191</t>
  </si>
  <si>
    <t>Component 191</t>
  </si>
  <si>
    <t>C192</t>
  </si>
  <si>
    <t>Component 192</t>
  </si>
  <si>
    <t>C193</t>
  </si>
  <si>
    <t>Component 193</t>
  </si>
  <si>
    <t>C194</t>
  </si>
  <si>
    <t>Component 194</t>
  </si>
  <si>
    <t>C195</t>
  </si>
  <si>
    <t>Component 195</t>
  </si>
  <si>
    <t>C196</t>
  </si>
  <si>
    <t>Component 196</t>
  </si>
  <si>
    <t>C197</t>
  </si>
  <si>
    <t>Component 197</t>
  </si>
  <si>
    <t>C198</t>
  </si>
  <si>
    <t>Component 198</t>
  </si>
  <si>
    <t>C199</t>
  </si>
  <si>
    <t>Component 199</t>
  </si>
  <si>
    <t>C200</t>
  </si>
  <si>
    <t>Component 200</t>
  </si>
  <si>
    <t>C201</t>
  </si>
  <si>
    <t>Component 201</t>
  </si>
  <si>
    <t>C202</t>
  </si>
  <si>
    <t>Component 202</t>
  </si>
  <si>
    <t>C203</t>
  </si>
  <si>
    <t>Component 203</t>
  </si>
  <si>
    <t>C204</t>
  </si>
  <si>
    <t>Component 204</t>
  </si>
  <si>
    <t>C205</t>
  </si>
  <si>
    <t>Component 205</t>
  </si>
  <si>
    <t>C206</t>
  </si>
  <si>
    <t>Component 206</t>
  </si>
  <si>
    <t>C207</t>
  </si>
  <si>
    <t>Component 207</t>
  </si>
  <si>
    <t>C208</t>
  </si>
  <si>
    <t>Component 208</t>
  </si>
  <si>
    <t>C209</t>
  </si>
  <si>
    <t>Component 209</t>
  </si>
  <si>
    <t>C210</t>
  </si>
  <si>
    <t>Component 210</t>
  </si>
  <si>
    <t>C211</t>
  </si>
  <si>
    <t>Component 211</t>
  </si>
  <si>
    <t>C212</t>
  </si>
  <si>
    <t>Component 212</t>
  </si>
  <si>
    <t>C213</t>
  </si>
  <si>
    <t>Component 213</t>
  </si>
  <si>
    <t>C214</t>
  </si>
  <si>
    <t>Component 214</t>
  </si>
  <si>
    <t>C215</t>
  </si>
  <si>
    <t>Component 215</t>
  </si>
  <si>
    <t>C216</t>
  </si>
  <si>
    <t>Component 216</t>
  </si>
  <si>
    <t>C217</t>
  </si>
  <si>
    <t>Component 217</t>
  </si>
  <si>
    <t>C218</t>
  </si>
  <si>
    <t>Component 218</t>
  </si>
  <si>
    <t>C219</t>
  </si>
  <si>
    <t>Component 219</t>
  </si>
  <si>
    <t>C220</t>
  </si>
  <si>
    <t>Component 220</t>
  </si>
  <si>
    <t>C221</t>
  </si>
  <si>
    <t>Component 221</t>
  </si>
  <si>
    <t>C222</t>
  </si>
  <si>
    <t>Component 222</t>
  </si>
  <si>
    <t>C223</t>
  </si>
  <si>
    <t>Component 223</t>
  </si>
  <si>
    <t>C224</t>
  </si>
  <si>
    <t>Component 224</t>
  </si>
  <si>
    <t>C225</t>
  </si>
  <si>
    <t>Component 225</t>
  </si>
  <si>
    <t>C226</t>
  </si>
  <si>
    <t>Component 226</t>
  </si>
  <si>
    <t>C227</t>
  </si>
  <si>
    <t>Component 227</t>
  </si>
  <si>
    <t>C228</t>
  </si>
  <si>
    <t>Component 228</t>
  </si>
  <si>
    <t>C229</t>
  </si>
  <si>
    <t>Component 229</t>
  </si>
  <si>
    <t>C230</t>
  </si>
  <si>
    <t>Component 230</t>
  </si>
  <si>
    <t>C231</t>
  </si>
  <si>
    <t>Component 231</t>
  </si>
  <si>
    <t>C232</t>
  </si>
  <si>
    <t>Component 232</t>
  </si>
  <si>
    <t>C233</t>
  </si>
  <si>
    <t>Component 233</t>
  </si>
  <si>
    <t>C234</t>
  </si>
  <si>
    <t>Component 234</t>
  </si>
  <si>
    <t>C235</t>
  </si>
  <si>
    <t>Component 235</t>
  </si>
  <si>
    <t>C236</t>
  </si>
  <si>
    <t>Component 236</t>
  </si>
  <si>
    <t>C237</t>
  </si>
  <si>
    <t>Component 237</t>
  </si>
  <si>
    <t>C238</t>
  </si>
  <si>
    <t>Component 238</t>
  </si>
  <si>
    <t>C239</t>
  </si>
  <si>
    <t>Component 239</t>
  </si>
  <si>
    <t>C240</t>
  </si>
  <si>
    <t>Component 240</t>
  </si>
  <si>
    <t>C241</t>
  </si>
  <si>
    <t>Component 241</t>
  </si>
  <si>
    <t>C242</t>
  </si>
  <si>
    <t>Component 242</t>
  </si>
  <si>
    <t>C243</t>
  </si>
  <si>
    <t>Component 243</t>
  </si>
  <si>
    <t>C244</t>
  </si>
  <si>
    <t>Component 244</t>
  </si>
  <si>
    <t>C245</t>
  </si>
  <si>
    <t>Component 245</t>
  </si>
  <si>
    <t>C246</t>
  </si>
  <si>
    <t>Component 246</t>
  </si>
  <si>
    <t>C247</t>
  </si>
  <si>
    <t>Component 247</t>
  </si>
  <si>
    <t>C248</t>
  </si>
  <si>
    <t>Component 248</t>
  </si>
  <si>
    <t>C249</t>
  </si>
  <si>
    <t>Component 249</t>
  </si>
  <si>
    <t>C250</t>
  </si>
  <si>
    <t>Component 250</t>
  </si>
  <si>
    <t>C251</t>
  </si>
  <si>
    <t>Component 251</t>
  </si>
  <si>
    <t>C252</t>
  </si>
  <si>
    <t>Component 252</t>
  </si>
  <si>
    <t>C253</t>
  </si>
  <si>
    <t>Component 253</t>
  </si>
  <si>
    <t>C254</t>
  </si>
  <si>
    <t>Component 254</t>
  </si>
  <si>
    <t>C255</t>
  </si>
  <si>
    <t>Component 255</t>
  </si>
  <si>
    <t>C256</t>
  </si>
  <si>
    <t>Component 256</t>
  </si>
  <si>
    <t>C257</t>
  </si>
  <si>
    <t>Component 257</t>
  </si>
  <si>
    <t>C258</t>
  </si>
  <si>
    <t>Component 258</t>
  </si>
  <si>
    <t>C259</t>
  </si>
  <si>
    <t>Component 259</t>
  </si>
  <si>
    <t>C260</t>
  </si>
  <si>
    <t>Component 260</t>
  </si>
  <si>
    <t>C261</t>
  </si>
  <si>
    <t>Component 261</t>
  </si>
  <si>
    <t>C262</t>
  </si>
  <si>
    <t>Component 262</t>
  </si>
  <si>
    <t>C263</t>
  </si>
  <si>
    <t>Component 263</t>
  </si>
  <si>
    <t>C264</t>
  </si>
  <si>
    <t>Component 264</t>
  </si>
  <si>
    <t>C265</t>
  </si>
  <si>
    <t>Component 265</t>
  </si>
  <si>
    <t>C266</t>
  </si>
  <si>
    <t>Component 266</t>
  </si>
  <si>
    <t>C267</t>
  </si>
  <si>
    <t>Component 267</t>
  </si>
  <si>
    <t>C268</t>
  </si>
  <si>
    <t>Component 268</t>
  </si>
  <si>
    <t>C269</t>
  </si>
  <si>
    <t>Component 269</t>
  </si>
  <si>
    <t>C270</t>
  </si>
  <si>
    <t>Component 270</t>
  </si>
  <si>
    <t>C271</t>
  </si>
  <si>
    <t>Component 271</t>
  </si>
  <si>
    <t>C272</t>
  </si>
  <si>
    <t>Component 272</t>
  </si>
  <si>
    <t>C273</t>
  </si>
  <si>
    <t>Component 273</t>
  </si>
  <si>
    <t>C274</t>
  </si>
  <si>
    <t>Component 274</t>
  </si>
  <si>
    <t>C275</t>
  </si>
  <si>
    <t>Component 275</t>
  </si>
  <si>
    <t>C276</t>
  </si>
  <si>
    <t>Component 276</t>
  </si>
  <si>
    <t>C277</t>
  </si>
  <si>
    <t>Component 277</t>
  </si>
  <si>
    <t>C278</t>
  </si>
  <si>
    <t>Component 278</t>
  </si>
  <si>
    <t>C279</t>
  </si>
  <si>
    <t>Component 279</t>
  </si>
  <si>
    <t>C280</t>
  </si>
  <si>
    <t>Component 280</t>
  </si>
  <si>
    <t>C281</t>
  </si>
  <si>
    <t>Component 281</t>
  </si>
  <si>
    <t>C282</t>
  </si>
  <si>
    <t>Component 282</t>
  </si>
  <si>
    <t>C283</t>
  </si>
  <si>
    <t>Component 283</t>
  </si>
  <si>
    <t>C284</t>
  </si>
  <si>
    <t>Component 284</t>
  </si>
  <si>
    <t>C285</t>
  </si>
  <si>
    <t>Component 285</t>
  </si>
  <si>
    <t>C286</t>
  </si>
  <si>
    <t>Component 286</t>
  </si>
  <si>
    <t>C287</t>
  </si>
  <si>
    <t>Component 287</t>
  </si>
  <si>
    <t>C288</t>
  </si>
  <si>
    <t>Component 288</t>
  </si>
  <si>
    <t>C289</t>
  </si>
  <si>
    <t>Component 289</t>
  </si>
  <si>
    <t>C290</t>
  </si>
  <si>
    <t>Component 290</t>
  </si>
  <si>
    <t>C291</t>
  </si>
  <si>
    <t>Component 291</t>
  </si>
  <si>
    <t>C292</t>
  </si>
  <si>
    <t>Component 292</t>
  </si>
  <si>
    <t>C293</t>
  </si>
  <si>
    <t>Component 293</t>
  </si>
  <si>
    <t>C294</t>
  </si>
  <si>
    <t>Component 294</t>
  </si>
  <si>
    <t>C295</t>
  </si>
  <si>
    <t>Component 295</t>
  </si>
  <si>
    <t>C296</t>
  </si>
  <si>
    <t>Component 296</t>
  </si>
  <si>
    <t>C297</t>
  </si>
  <si>
    <t>Component 297</t>
  </si>
  <si>
    <t>C298</t>
  </si>
  <si>
    <t>Component 298</t>
  </si>
  <si>
    <t>C299</t>
  </si>
  <si>
    <t>Component 299</t>
  </si>
  <si>
    <t>C300</t>
  </si>
  <si>
    <t>Component 300</t>
  </si>
  <si>
    <t>C301</t>
  </si>
  <si>
    <t>Component 301</t>
  </si>
  <si>
    <t>SUP029</t>
  </si>
  <si>
    <t>C302</t>
  </si>
  <si>
    <t>Component 302</t>
  </si>
  <si>
    <t>SUP016</t>
  </si>
  <si>
    <t>C303</t>
  </si>
  <si>
    <t>Component 303</t>
  </si>
  <si>
    <t>SUP019</t>
  </si>
  <si>
    <t>C304</t>
  </si>
  <si>
    <t>Component 304</t>
  </si>
  <si>
    <t>SUP004</t>
  </si>
  <si>
    <t>C305</t>
  </si>
  <si>
    <t>Component 305</t>
  </si>
  <si>
    <t>SUP003</t>
  </si>
  <si>
    <t>C306</t>
  </si>
  <si>
    <t>Component 306</t>
  </si>
  <si>
    <t>SUP017</t>
  </si>
  <si>
    <t>C307</t>
  </si>
  <si>
    <t>Component 307</t>
  </si>
  <si>
    <t>C308</t>
  </si>
  <si>
    <t>Component 308</t>
  </si>
  <si>
    <t>SUP012</t>
  </si>
  <si>
    <t>C309</t>
  </si>
  <si>
    <t>Component 309</t>
  </si>
  <si>
    <t>SUP028</t>
  </si>
  <si>
    <t>C310</t>
  </si>
  <si>
    <t>Component 310</t>
  </si>
  <si>
    <t>SUP030</t>
  </si>
  <si>
    <t>C311</t>
  </si>
  <si>
    <t>Component 311</t>
  </si>
  <si>
    <t>C312</t>
  </si>
  <si>
    <t>Component 312</t>
  </si>
  <si>
    <t>SUP014</t>
  </si>
  <si>
    <t>C313</t>
  </si>
  <si>
    <t>Component 313</t>
  </si>
  <si>
    <t>SUP021</t>
  </si>
  <si>
    <t>C314</t>
  </si>
  <si>
    <t>Component 314</t>
  </si>
  <si>
    <t>SUP006</t>
  </si>
  <si>
    <t>C315</t>
  </si>
  <si>
    <t>Component 315</t>
  </si>
  <si>
    <t>C316</t>
  </si>
  <si>
    <t>Component 316</t>
  </si>
  <si>
    <t>C317</t>
  </si>
  <si>
    <t>Component 317</t>
  </si>
  <si>
    <t>SUP009</t>
  </si>
  <si>
    <t>C318</t>
  </si>
  <si>
    <t>Component 318</t>
  </si>
  <si>
    <t>SUP005</t>
  </si>
  <si>
    <t>C319</t>
  </si>
  <si>
    <t>Component 319</t>
  </si>
  <si>
    <t>SUP024</t>
  </si>
  <si>
    <t>C320</t>
  </si>
  <si>
    <t>Component 320</t>
  </si>
  <si>
    <t>C321</t>
  </si>
  <si>
    <t>Component 321</t>
  </si>
  <si>
    <t>C322</t>
  </si>
  <si>
    <t>Component 322</t>
  </si>
  <si>
    <t>C323</t>
  </si>
  <si>
    <t>Component 323</t>
  </si>
  <si>
    <t>C324</t>
  </si>
  <si>
    <t>Component 324</t>
  </si>
  <si>
    <t>C325</t>
  </si>
  <si>
    <t>Component 325</t>
  </si>
  <si>
    <t>C326</t>
  </si>
  <si>
    <t>Component 326</t>
  </si>
  <si>
    <t>SUP001</t>
  </si>
  <si>
    <t>C327</t>
  </si>
  <si>
    <t>Component 327</t>
  </si>
  <si>
    <t>SUP020</t>
  </si>
  <si>
    <t>C328</t>
  </si>
  <si>
    <t>Component 328</t>
  </si>
  <si>
    <t>C329</t>
  </si>
  <si>
    <t>Component 329</t>
  </si>
  <si>
    <t>C330</t>
  </si>
  <si>
    <t>Component 330</t>
  </si>
  <si>
    <t>SUP023</t>
  </si>
  <si>
    <t>C331</t>
  </si>
  <si>
    <t>Component 331</t>
  </si>
  <si>
    <t>C332</t>
  </si>
  <si>
    <t>Component 332</t>
  </si>
  <si>
    <t>C333</t>
  </si>
  <si>
    <t>Component 333</t>
  </si>
  <si>
    <t>SUP018</t>
  </si>
  <si>
    <t>C334</t>
  </si>
  <si>
    <t>Component 334</t>
  </si>
  <si>
    <t>SUP025</t>
  </si>
  <si>
    <t>C335</t>
  </si>
  <si>
    <t>Component 335</t>
  </si>
  <si>
    <t>SUP010</t>
  </si>
  <si>
    <t>C336</t>
  </si>
  <si>
    <t>Component 336</t>
  </si>
  <si>
    <t>SUP022</t>
  </si>
  <si>
    <t>C337</t>
  </si>
  <si>
    <t>Component 337</t>
  </si>
  <si>
    <t>SUP026</t>
  </si>
  <si>
    <t>C338</t>
  </si>
  <si>
    <t>Component 338</t>
  </si>
  <si>
    <t>C339</t>
  </si>
  <si>
    <t>Component 339</t>
  </si>
  <si>
    <t>SUP008</t>
  </si>
  <si>
    <t>C340</t>
  </si>
  <si>
    <t>Component 340</t>
  </si>
  <si>
    <t>C341</t>
  </si>
  <si>
    <t>Component 341</t>
  </si>
  <si>
    <t>C342</t>
  </si>
  <si>
    <t>Component 342</t>
  </si>
  <si>
    <t>C343</t>
  </si>
  <si>
    <t>Component 343</t>
  </si>
  <si>
    <t>SUP015</t>
  </si>
  <si>
    <t>C344</t>
  </si>
  <si>
    <t>Component 344</t>
  </si>
  <si>
    <t>C345</t>
  </si>
  <si>
    <t>Component 345</t>
  </si>
  <si>
    <t>C346</t>
  </si>
  <si>
    <t>Component 346</t>
  </si>
  <si>
    <t>SUP002</t>
  </si>
  <si>
    <t>C347</t>
  </si>
  <si>
    <t>Component 347</t>
  </si>
  <si>
    <t>SUP027</t>
  </si>
  <si>
    <t>C348</t>
  </si>
  <si>
    <t>Component 348</t>
  </si>
  <si>
    <t>C349</t>
  </si>
  <si>
    <t>Component 349</t>
  </si>
  <si>
    <t>C350</t>
  </si>
  <si>
    <t>Component 350</t>
  </si>
  <si>
    <t>C351</t>
  </si>
  <si>
    <t>Component 351</t>
  </si>
  <si>
    <t>C352</t>
  </si>
  <si>
    <t>Component 352</t>
  </si>
  <si>
    <t>C353</t>
  </si>
  <si>
    <t>Component 353</t>
  </si>
  <si>
    <t>C354</t>
  </si>
  <si>
    <t>Component 354</t>
  </si>
  <si>
    <t>C355</t>
  </si>
  <si>
    <t>Component 355</t>
  </si>
  <si>
    <t>SUP011</t>
  </si>
  <si>
    <t>C356</t>
  </si>
  <si>
    <t>Component 356</t>
  </si>
  <si>
    <t>C357</t>
  </si>
  <si>
    <t>Component 357</t>
  </si>
  <si>
    <t>C358</t>
  </si>
  <si>
    <t>Component 358</t>
  </si>
  <si>
    <t>SUP007</t>
  </si>
  <si>
    <t>C359</t>
  </si>
  <si>
    <t>Component 359</t>
  </si>
  <si>
    <t>C360</t>
  </si>
  <si>
    <t>Component 360</t>
  </si>
  <si>
    <t>C361</t>
  </si>
  <si>
    <t>Component 361</t>
  </si>
  <si>
    <t>C362</t>
  </si>
  <si>
    <t>Component 362</t>
  </si>
  <si>
    <t>C363</t>
  </si>
  <si>
    <t>Component 363</t>
  </si>
  <si>
    <t>C364</t>
  </si>
  <si>
    <t>Component 364</t>
  </si>
  <si>
    <t>C365</t>
  </si>
  <si>
    <t>Component 365</t>
  </si>
  <si>
    <t>C366</t>
  </si>
  <si>
    <t>Component 366</t>
  </si>
  <si>
    <t>C367</t>
  </si>
  <si>
    <t>Component 367</t>
  </si>
  <si>
    <t>SUP013</t>
  </si>
  <si>
    <t>C368</t>
  </si>
  <si>
    <t>Component 368</t>
  </si>
  <si>
    <t>C369</t>
  </si>
  <si>
    <t>Component 369</t>
  </si>
  <si>
    <t>C370</t>
  </si>
  <si>
    <t>Component 370</t>
  </si>
  <si>
    <t>C371</t>
  </si>
  <si>
    <t>Component 371</t>
  </si>
  <si>
    <t>C372</t>
  </si>
  <si>
    <t>Component 372</t>
  </si>
  <si>
    <t>C373</t>
  </si>
  <si>
    <t>Component 373</t>
  </si>
  <si>
    <t>C374</t>
  </si>
  <si>
    <t>Component 374</t>
  </si>
  <si>
    <t>C375</t>
  </si>
  <si>
    <t>Component 375</t>
  </si>
  <si>
    <t>C376</t>
  </si>
  <si>
    <t>Component 376</t>
  </si>
  <si>
    <t>C377</t>
  </si>
  <si>
    <t>Component 377</t>
  </si>
  <si>
    <t>C378</t>
  </si>
  <si>
    <t>Component 378</t>
  </si>
  <si>
    <t>C379</t>
  </si>
  <si>
    <t>Component 379</t>
  </si>
  <si>
    <t>C380</t>
  </si>
  <si>
    <t>Component 380</t>
  </si>
  <si>
    <t>C381</t>
  </si>
  <si>
    <t>Component 381</t>
  </si>
  <si>
    <t>C382</t>
  </si>
  <si>
    <t>Component 382</t>
  </si>
  <si>
    <t>C383</t>
  </si>
  <si>
    <t>Component 383</t>
  </si>
  <si>
    <t>C384</t>
  </si>
  <si>
    <t>Component 384</t>
  </si>
  <si>
    <t>C385</t>
  </si>
  <si>
    <t>Component 385</t>
  </si>
  <si>
    <t>C386</t>
  </si>
  <si>
    <t>Component 386</t>
  </si>
  <si>
    <t>C387</t>
  </si>
  <si>
    <t>Component 387</t>
  </si>
  <si>
    <t>C388</t>
  </si>
  <si>
    <t>Component 388</t>
  </si>
  <si>
    <t>C389</t>
  </si>
  <si>
    <t>Component 389</t>
  </si>
  <si>
    <t>C390</t>
  </si>
  <si>
    <t>Component 390</t>
  </si>
  <si>
    <t>C391</t>
  </si>
  <si>
    <t>Component 391</t>
  </si>
  <si>
    <t>C392</t>
  </si>
  <si>
    <t>Component 392</t>
  </si>
  <si>
    <t>C393</t>
  </si>
  <si>
    <t>Component 393</t>
  </si>
  <si>
    <t>C394</t>
  </si>
  <si>
    <t>Component 394</t>
  </si>
  <si>
    <t>C395</t>
  </si>
  <si>
    <t>Component 395</t>
  </si>
  <si>
    <t>C396</t>
  </si>
  <si>
    <t>Component 396</t>
  </si>
  <si>
    <t>C397</t>
  </si>
  <si>
    <t>Component 397</t>
  </si>
  <si>
    <t>C398</t>
  </si>
  <si>
    <t>Component 398</t>
  </si>
  <si>
    <t>C399</t>
  </si>
  <si>
    <t>Component 399</t>
  </si>
  <si>
    <t>C400</t>
  </si>
  <si>
    <t>Component 400</t>
  </si>
  <si>
    <t>C401</t>
  </si>
  <si>
    <t>Component 401</t>
  </si>
  <si>
    <t>C402</t>
  </si>
  <si>
    <t>Component 402</t>
  </si>
  <si>
    <t>C403</t>
  </si>
  <si>
    <t>Component 403</t>
  </si>
  <si>
    <t>C404</t>
  </si>
  <si>
    <t>Component 404</t>
  </si>
  <si>
    <t>C405</t>
  </si>
  <si>
    <t>Component 405</t>
  </si>
  <si>
    <t>C406</t>
  </si>
  <si>
    <t>Component 406</t>
  </si>
  <si>
    <t>C407</t>
  </si>
  <si>
    <t>Component 407</t>
  </si>
  <si>
    <t>C408</t>
  </si>
  <si>
    <t>Component 408</t>
  </si>
  <si>
    <t>C409</t>
  </si>
  <si>
    <t>Component 409</t>
  </si>
  <si>
    <t>C410</t>
  </si>
  <si>
    <t>Component 410</t>
  </si>
  <si>
    <t>C411</t>
  </si>
  <si>
    <t>Component 411</t>
  </si>
  <si>
    <t>C412</t>
  </si>
  <si>
    <t>Component 412</t>
  </si>
  <si>
    <t>C413</t>
  </si>
  <si>
    <t>Component 413</t>
  </si>
  <si>
    <t>C414</t>
  </si>
  <si>
    <t>Component 414</t>
  </si>
  <si>
    <t>C415</t>
  </si>
  <si>
    <t>Component 415</t>
  </si>
  <si>
    <t>C416</t>
  </si>
  <si>
    <t>Component 416</t>
  </si>
  <si>
    <t>C417</t>
  </si>
  <si>
    <t>Component 417</t>
  </si>
  <si>
    <t>C418</t>
  </si>
  <si>
    <t>Component 418</t>
  </si>
  <si>
    <t>C419</t>
  </si>
  <si>
    <t>Component 419</t>
  </si>
  <si>
    <t>C420</t>
  </si>
  <si>
    <t>Component 420</t>
  </si>
  <si>
    <t>C421</t>
  </si>
  <si>
    <t>Component 421</t>
  </si>
  <si>
    <t>C422</t>
  </si>
  <si>
    <t>Component 422</t>
  </si>
  <si>
    <t>C423</t>
  </si>
  <si>
    <t>Component 423</t>
  </si>
  <si>
    <t>C424</t>
  </si>
  <si>
    <t>Component 424</t>
  </si>
  <si>
    <t>C425</t>
  </si>
  <si>
    <t>Component 425</t>
  </si>
  <si>
    <t>C426</t>
  </si>
  <si>
    <t>Component 426</t>
  </si>
  <si>
    <t>C427</t>
  </si>
  <si>
    <t>Component 427</t>
  </si>
  <si>
    <t>C428</t>
  </si>
  <si>
    <t>Component 428</t>
  </si>
  <si>
    <t>C429</t>
  </si>
  <si>
    <t>Component 429</t>
  </si>
  <si>
    <t>C430</t>
  </si>
  <si>
    <t>Component 430</t>
  </si>
  <si>
    <t>C431</t>
  </si>
  <si>
    <t>Component 431</t>
  </si>
  <si>
    <t>C432</t>
  </si>
  <si>
    <t>Component 432</t>
  </si>
  <si>
    <t>C433</t>
  </si>
  <si>
    <t>Component 433</t>
  </si>
  <si>
    <t>C434</t>
  </si>
  <si>
    <t>Component 434</t>
  </si>
  <si>
    <t>C435</t>
  </si>
  <si>
    <t>Component 435</t>
  </si>
  <si>
    <t>C436</t>
  </si>
  <si>
    <t>Component 436</t>
  </si>
  <si>
    <t>C437</t>
  </si>
  <si>
    <t>Component 437</t>
  </si>
  <si>
    <t>C438</t>
  </si>
  <si>
    <t>Component 438</t>
  </si>
  <si>
    <t>C439</t>
  </si>
  <si>
    <t>Component 439</t>
  </si>
  <si>
    <t>C440</t>
  </si>
  <si>
    <t>Component 440</t>
  </si>
  <si>
    <t>C441</t>
  </si>
  <si>
    <t>Component 441</t>
  </si>
  <si>
    <t>C442</t>
  </si>
  <si>
    <t>Component 442</t>
  </si>
  <si>
    <t>C443</t>
  </si>
  <si>
    <t>Component 443</t>
  </si>
  <si>
    <t>C444</t>
  </si>
  <si>
    <t>Component 444</t>
  </si>
  <si>
    <t>C445</t>
  </si>
  <si>
    <t>Component 445</t>
  </si>
  <si>
    <t>C446</t>
  </si>
  <si>
    <t>Component 446</t>
  </si>
  <si>
    <t>C447</t>
  </si>
  <si>
    <t>Component 447</t>
  </si>
  <si>
    <t>C448</t>
  </si>
  <si>
    <t>Component 448</t>
  </si>
  <si>
    <t>C449</t>
  </si>
  <si>
    <t>Component 449</t>
  </si>
  <si>
    <t>C450</t>
  </si>
  <si>
    <t>Component 450</t>
  </si>
  <si>
    <t>C451</t>
  </si>
  <si>
    <t>Component 451</t>
  </si>
  <si>
    <t>C452</t>
  </si>
  <si>
    <t>Component 452</t>
  </si>
  <si>
    <t>C453</t>
  </si>
  <si>
    <t>Component 453</t>
  </si>
  <si>
    <t>C454</t>
  </si>
  <si>
    <t>Component 454</t>
  </si>
  <si>
    <t>C455</t>
  </si>
  <si>
    <t>Component 455</t>
  </si>
  <si>
    <t>C456</t>
  </si>
  <si>
    <t>Component 456</t>
  </si>
  <si>
    <t>C457</t>
  </si>
  <si>
    <t>Component 457</t>
  </si>
  <si>
    <t>C458</t>
  </si>
  <si>
    <t>Component 458</t>
  </si>
  <si>
    <t>C459</t>
  </si>
  <si>
    <t>Component 459</t>
  </si>
  <si>
    <t>C460</t>
  </si>
  <si>
    <t>Component 460</t>
  </si>
  <si>
    <t>C461</t>
  </si>
  <si>
    <t>Component 461</t>
  </si>
  <si>
    <t>C462</t>
  </si>
  <si>
    <t>Component 462</t>
  </si>
  <si>
    <t>C463</t>
  </si>
  <si>
    <t>Component 463</t>
  </si>
  <si>
    <t>C464</t>
  </si>
  <si>
    <t>Component 464</t>
  </si>
  <si>
    <t>C465</t>
  </si>
  <si>
    <t>Component 465</t>
  </si>
  <si>
    <t>C466</t>
  </si>
  <si>
    <t>Component 466</t>
  </si>
  <si>
    <t>C467</t>
  </si>
  <si>
    <t>Component 467</t>
  </si>
  <si>
    <t>C468</t>
  </si>
  <si>
    <t>Component 468</t>
  </si>
  <si>
    <t>C469</t>
  </si>
  <si>
    <t>Component 469</t>
  </si>
  <si>
    <t>C470</t>
  </si>
  <si>
    <t>Component 470</t>
  </si>
  <si>
    <t>C471</t>
  </si>
  <si>
    <t>Component 471</t>
  </si>
  <si>
    <t>C472</t>
  </si>
  <si>
    <t>Component 472</t>
  </si>
  <si>
    <t>C473</t>
  </si>
  <si>
    <t>Component 473</t>
  </si>
  <si>
    <t>C474</t>
  </si>
  <si>
    <t>Component 474</t>
  </si>
  <si>
    <t>C475</t>
  </si>
  <si>
    <t>Component 475</t>
  </si>
  <si>
    <t>C476</t>
  </si>
  <si>
    <t>Component 476</t>
  </si>
  <si>
    <t>C477</t>
  </si>
  <si>
    <t>Component 477</t>
  </si>
  <si>
    <t>C478</t>
  </si>
  <si>
    <t>Component 478</t>
  </si>
  <si>
    <t>C479</t>
  </si>
  <si>
    <t>Component 479</t>
  </si>
  <si>
    <t>C480</t>
  </si>
  <si>
    <t>Component 480</t>
  </si>
  <si>
    <t>C481</t>
  </si>
  <si>
    <t>Component 481</t>
  </si>
  <si>
    <t>C482</t>
  </si>
  <si>
    <t>Component 482</t>
  </si>
  <si>
    <t>C483</t>
  </si>
  <si>
    <t>Component 483</t>
  </si>
  <si>
    <t>C484</t>
  </si>
  <si>
    <t>Component 484</t>
  </si>
  <si>
    <t>C485</t>
  </si>
  <si>
    <t>Component 485</t>
  </si>
  <si>
    <t>C486</t>
  </si>
  <si>
    <t>Component 486</t>
  </si>
  <si>
    <t>C487</t>
  </si>
  <si>
    <t>Component 487</t>
  </si>
  <si>
    <t>C488</t>
  </si>
  <si>
    <t>Component 488</t>
  </si>
  <si>
    <t>C489</t>
  </si>
  <si>
    <t>Component 489</t>
  </si>
  <si>
    <t>C490</t>
  </si>
  <si>
    <t>Component 490</t>
  </si>
  <si>
    <t>C491</t>
  </si>
  <si>
    <t>Component 491</t>
  </si>
  <si>
    <t>C492</t>
  </si>
  <si>
    <t>Component 492</t>
  </si>
  <si>
    <t>C493</t>
  </si>
  <si>
    <t>Component 493</t>
  </si>
  <si>
    <t>C494</t>
  </si>
  <si>
    <t>Component 494</t>
  </si>
  <si>
    <t>C495</t>
  </si>
  <si>
    <t>Component 495</t>
  </si>
  <si>
    <t>C496</t>
  </si>
  <si>
    <t>Component 496</t>
  </si>
  <si>
    <t>C497</t>
  </si>
  <si>
    <t>Component 497</t>
  </si>
  <si>
    <t>C498</t>
  </si>
  <si>
    <t>Component 498</t>
  </si>
  <si>
    <t>C499</t>
  </si>
  <si>
    <t>Component 499</t>
  </si>
  <si>
    <t>C500</t>
  </si>
  <si>
    <t>Component 500</t>
  </si>
  <si>
    <t>Machine_ID</t>
  </si>
  <si>
    <t>Planned_Downtime_Rate</t>
  </si>
  <si>
    <t>Unplanned_Downtime_Rate</t>
  </si>
  <si>
    <t>Scheduled_Hours</t>
  </si>
  <si>
    <t>Planned_Downtime_Hours</t>
  </si>
  <si>
    <t>Unplanned_Downtime_Hours</t>
  </si>
  <si>
    <t>Available_Production_Hours</t>
  </si>
  <si>
    <t>Machine_Utilization</t>
  </si>
  <si>
    <t>Capacity_Surplus_Shortage_Hours</t>
  </si>
  <si>
    <t>Average_Availability</t>
  </si>
  <si>
    <t>Average_Performance</t>
  </si>
  <si>
    <t>Average_Quality</t>
  </si>
  <si>
    <t>Average_OEE</t>
  </si>
  <si>
    <t>Capacity_Status</t>
  </si>
  <si>
    <t>High Utilization</t>
  </si>
  <si>
    <t>Supplier_ID</t>
  </si>
  <si>
    <t>Supplier_Name</t>
  </si>
  <si>
    <t>Supplier_Category</t>
  </si>
  <si>
    <t>Supplier 01</t>
  </si>
  <si>
    <t>Domestic</t>
  </si>
  <si>
    <t>Supplier 02</t>
  </si>
  <si>
    <t>National</t>
  </si>
  <si>
    <t>Supplier 03</t>
  </si>
  <si>
    <t>Supplier 04</t>
  </si>
  <si>
    <t>Supplier 05</t>
  </si>
  <si>
    <t>Supplier 06</t>
  </si>
  <si>
    <t>Supplier 07</t>
  </si>
  <si>
    <t>Regional</t>
  </si>
  <si>
    <t>Supplier 08</t>
  </si>
  <si>
    <t>Supplier 09</t>
  </si>
  <si>
    <t>Supplier 10</t>
  </si>
  <si>
    <t>Supplier 11</t>
  </si>
  <si>
    <t>Supplier 12</t>
  </si>
  <si>
    <t>Supplier 13</t>
  </si>
  <si>
    <t>Supplier 14</t>
  </si>
  <si>
    <t>Supplier 15</t>
  </si>
  <si>
    <t>Supplier 16</t>
  </si>
  <si>
    <t>Supplier 17</t>
  </si>
  <si>
    <t>Supplier 18</t>
  </si>
  <si>
    <t>Supplier 19</t>
  </si>
  <si>
    <t>Supplier 20</t>
  </si>
  <si>
    <t>Supplier 21</t>
  </si>
  <si>
    <t>Supplier 22</t>
  </si>
  <si>
    <t>Supplier 23</t>
  </si>
  <si>
    <t>Supplier 24</t>
  </si>
  <si>
    <t>Supplier 25</t>
  </si>
  <si>
    <t>Supplier 26</t>
  </si>
  <si>
    <t>Supplier 27</t>
  </si>
  <si>
    <t>Supplier 28</t>
  </si>
  <si>
    <t>Supplier 29</t>
  </si>
  <si>
    <t>Supplier 30</t>
  </si>
  <si>
    <t>Metric</t>
  </si>
  <si>
    <t>Value</t>
  </si>
  <si>
    <t>Total Operators</t>
  </si>
  <si>
    <t>Effective Labour Capacity (Hours)</t>
  </si>
  <si>
    <t>Total Required Labour Hours</t>
  </si>
  <si>
    <t>Labour Utilization (%)</t>
  </si>
  <si>
    <t>Labour Surplus / Shortage (Hours)</t>
  </si>
  <si>
    <t>Total Scheduled Hours per Machine</t>
  </si>
  <si>
    <t>Demand_Growth_Impact</t>
  </si>
  <si>
    <t>Total Monthly Demand</t>
  </si>
  <si>
    <t>Total Forecast Demand</t>
  </si>
  <si>
    <t>Total Annual Demand</t>
  </si>
  <si>
    <t>Components</t>
  </si>
  <si>
    <t>Total</t>
  </si>
  <si>
    <t>Summary Total</t>
  </si>
  <si>
    <t>Summary Table:</t>
  </si>
  <si>
    <t>Demand Growth Analysis</t>
  </si>
  <si>
    <t>Current Monthly Demand</t>
  </si>
  <si>
    <t>Forecast Monthly Demand</t>
  </si>
  <si>
    <t>Additional Monthly Demand</t>
  </si>
  <si>
    <t>Forecast Growth %</t>
  </si>
  <si>
    <t>Chart:</t>
  </si>
  <si>
    <t>Forecast Demand by Sourcing Type</t>
  </si>
  <si>
    <t>Fulfillment_Type</t>
  </si>
  <si>
    <t>Production_Procurement_Requirement</t>
  </si>
  <si>
    <t>Fulfillment Summary</t>
  </si>
  <si>
    <t>Fulfillment Type</t>
  </si>
  <si>
    <t>Requirement</t>
  </si>
  <si>
    <t>Procurement</t>
  </si>
  <si>
    <t>Inventory Summary</t>
  </si>
  <si>
    <t>Total Opening Inventory</t>
  </si>
  <si>
    <t>Total Safety Stock</t>
  </si>
  <si>
    <t>Total Net Requirement</t>
  </si>
  <si>
    <t>Total Gross Requirement</t>
  </si>
  <si>
    <t>Requirement by Fulfillment Type</t>
  </si>
  <si>
    <t>Required_Production_Units</t>
  </si>
  <si>
    <t>Capacity_Surplus_Shortage</t>
  </si>
  <si>
    <t>Capacity Summary</t>
  </si>
  <si>
    <t>Total Machine Capacity</t>
  </si>
  <si>
    <t>Total Required Machine Hours</t>
  </si>
  <si>
    <t>Overall Utilization</t>
  </si>
  <si>
    <t>Machines in Shortage</t>
  </si>
  <si>
    <t>Machines at High Utilization</t>
  </si>
  <si>
    <t>Machines with Spare Capacity</t>
  </si>
  <si>
    <t>Machine Capacity Surplus / Shortage</t>
  </si>
  <si>
    <t>Planned_Downtime</t>
  </si>
  <si>
    <t>Unplanned_Downtime</t>
  </si>
  <si>
    <t>Available_Hours</t>
  </si>
  <si>
    <t>OEE_Loss</t>
  </si>
  <si>
    <t>OEE_Status</t>
  </si>
  <si>
    <t>OEE by Machine</t>
  </si>
  <si>
    <t>Availability vs Performance vs Quality</t>
  </si>
  <si>
    <t xml:space="preserve">OEE Summanry </t>
  </si>
  <si>
    <t xml:space="preserve">Metric </t>
  </si>
  <si>
    <t>Average Availability</t>
  </si>
  <si>
    <t>Average Performance</t>
  </si>
  <si>
    <t>Average Quality</t>
  </si>
  <si>
    <t>Best OEE</t>
  </si>
  <si>
    <t>Lowest OEE</t>
  </si>
  <si>
    <t>OEE classification summary</t>
  </si>
  <si>
    <t>OEE Status</t>
  </si>
  <si>
    <t>Machines</t>
  </si>
  <si>
    <t>High OEE</t>
  </si>
  <si>
    <t>Moderate OEE</t>
  </si>
  <si>
    <t>Low OEE</t>
  </si>
  <si>
    <t>Required_Hours</t>
  </si>
  <si>
    <t>Utilization</t>
  </si>
  <si>
    <t>Bottleneck</t>
  </si>
  <si>
    <t>Primary_Loss_Driver</t>
  </si>
  <si>
    <t>Priority</t>
  </si>
  <si>
    <t>Bottleneck Summary</t>
  </si>
  <si>
    <t>Total Machines</t>
  </si>
  <si>
    <t>Critical Bottlenecks</t>
  </si>
  <si>
    <t>Average Utilization</t>
  </si>
  <si>
    <t>Total Capacity Shortage</t>
  </si>
  <si>
    <t>Worst Capacity Shortage</t>
  </si>
  <si>
    <t xml:space="preserve">Bottleneck Machines </t>
  </si>
  <si>
    <t>Machine Capacity Bottleneck Analysis</t>
  </si>
  <si>
    <t>Machine Utilization vs OEE</t>
  </si>
  <si>
    <t>Required Hrs</t>
  </si>
  <si>
    <t>Available Hrs</t>
  </si>
  <si>
    <t>Shortage</t>
  </si>
  <si>
    <t>Primary Loss Driver</t>
  </si>
  <si>
    <t xml:space="preserve">Critical Bottleneck </t>
  </si>
  <si>
    <t>All Bottleneck Machines</t>
  </si>
  <si>
    <t>Selling_Price</t>
  </si>
  <si>
    <t>Variable_Cost</t>
  </si>
  <si>
    <t>Labour_Cost</t>
  </si>
  <si>
    <t>Contribution_per_Unit</t>
  </si>
  <si>
    <t>Machine_Hours_per_Unit</t>
  </si>
  <si>
    <t>Contribution_per_Machine_Hour</t>
  </si>
  <si>
    <t>Total_Contribution</t>
  </si>
  <si>
    <t>Priority_Rank</t>
  </si>
  <si>
    <t>Required_Production</t>
  </si>
  <si>
    <t>Total_Machine_Hours</t>
  </si>
  <si>
    <t>Criticality_Priority</t>
  </si>
  <si>
    <t>Priority Matrix</t>
  </si>
  <si>
    <t>High Economic</t>
  </si>
  <si>
    <t>Critical Priority</t>
  </si>
  <si>
    <t>High Priority</t>
  </si>
  <si>
    <t>Medium Economic</t>
  </si>
  <si>
    <t>Medium Priority</t>
  </si>
  <si>
    <t>Low Economic</t>
  </si>
  <si>
    <t>Low Priority</t>
  </si>
  <si>
    <t>Final_Production_Priority</t>
  </si>
  <si>
    <t>Ecomomic_Production_Priority</t>
  </si>
  <si>
    <t>Total Make Components</t>
  </si>
  <si>
    <t>Critical Priority Components</t>
  </si>
  <si>
    <t>High Priority Components</t>
  </si>
  <si>
    <t>Medium Priority Components</t>
  </si>
  <si>
    <t>Low Priority Components</t>
  </si>
  <si>
    <t>Total Make Contribution</t>
  </si>
  <si>
    <t>Summary</t>
  </si>
  <si>
    <t>Economic Priority Distribution</t>
  </si>
  <si>
    <t>Economic Priority</t>
  </si>
  <si>
    <t>High Economic Priority</t>
  </si>
  <si>
    <t>Medium Economic Priority</t>
  </si>
  <si>
    <t>Low Economic Priority</t>
  </si>
  <si>
    <t xml:space="preserve">Economic Production Priority </t>
  </si>
  <si>
    <t>Summary Tables</t>
  </si>
  <si>
    <t>Final Production Priority</t>
  </si>
  <si>
    <t>Production Priority</t>
  </si>
  <si>
    <t>Contribution/Machine Hour</t>
  </si>
  <si>
    <t>Contribution Per Machine Hour</t>
  </si>
  <si>
    <t>Top 10 Components by Contribution per Machine Hour</t>
  </si>
  <si>
    <t>Base_Scheduled_Hours</t>
  </si>
  <si>
    <t>Base_Planned_Downtime</t>
  </si>
  <si>
    <t>Base_Unplanned_Downtime</t>
  </si>
  <si>
    <t>Base_Available_Hours</t>
  </si>
  <si>
    <t>Base_Capacity_Surplus_Shortage</t>
  </si>
  <si>
    <t>Base_Utilization</t>
  </si>
  <si>
    <t>Base Case</t>
  </si>
  <si>
    <t>S1 Scheduled Hours</t>
  </si>
  <si>
    <t>S1 Available Hours</t>
  </si>
  <si>
    <t>S1 Capacity Surplus/Shortage</t>
  </si>
  <si>
    <t>S1 Utilization</t>
  </si>
  <si>
    <t>Scenario 2: Reduce Planned Downtime</t>
  </si>
  <si>
    <t>Scenario 1: Increase Scheduled Hours</t>
  </si>
  <si>
    <t>S2 Scheduled Hours</t>
  </si>
  <si>
    <t>S2 Planned Downtime</t>
  </si>
  <si>
    <t>S2 Available Hours</t>
  </si>
  <si>
    <t>S2 Utilization</t>
  </si>
  <si>
    <t>Scenario 3: Reduce Unplanned Downtime</t>
  </si>
  <si>
    <t>S3 Scheduled Hours</t>
  </si>
  <si>
    <t>S3 Unplanned Downtime</t>
  </si>
  <si>
    <t>S3 Available Hours</t>
  </si>
  <si>
    <t>S3 Utilization</t>
  </si>
  <si>
    <t>Scenario 4: Improve Machine Efficiency</t>
  </si>
  <si>
    <t>S4 Required Hours</t>
  </si>
  <si>
    <t>S4 Available Hours</t>
  </si>
  <si>
    <t>S4 Capacity Surplus/Shortage</t>
  </si>
  <si>
    <t>S4 Utilization</t>
  </si>
  <si>
    <t xml:space="preserve">Scenario Summary </t>
  </si>
  <si>
    <t>Total Available Capacity</t>
  </si>
  <si>
    <t>Total Required Hours</t>
  </si>
  <si>
    <t>+500 Scheduled Hours</t>
  </si>
  <si>
    <t>-10% Planned Downtime</t>
  </si>
  <si>
    <t>-20% Unplanned Downtime</t>
  </si>
  <si>
    <t>+5% Efficiency</t>
  </si>
  <si>
    <t>Description Of Scenario</t>
  </si>
  <si>
    <t>No Change</t>
  </si>
  <si>
    <t>Surplus/Shortage</t>
  </si>
  <si>
    <t>Overall Utilization by Scenario</t>
  </si>
  <si>
    <t>Overall Capacity Utilization Under Improvement Scenarios</t>
  </si>
  <si>
    <t>Machines In Capacity Shortage</t>
  </si>
  <si>
    <t>Machines in Capacity Shortage by Scenario</t>
  </si>
  <si>
    <t>Capacity Surplus / Shortage by Machine</t>
  </si>
  <si>
    <t>+500 Hours</t>
  </si>
  <si>
    <t>-10% Planned DT</t>
  </si>
  <si>
    <t>-20% Unplanned DT</t>
  </si>
  <si>
    <t>Machine Capacity Surplus / Shortage Under Scenarios</t>
  </si>
  <si>
    <t>Scenario Interpretation</t>
  </si>
  <si>
    <t>Base Case:</t>
  </si>
  <si>
    <t>Current capacity is slightly insufficient, with approximately 13 machines operating in capacity shortage.</t>
  </si>
  <si>
    <t>+500 Scheduled Hours:</t>
  </si>
  <si>
    <t>Increasing scheduled operating hours provides sufficient capacity to eliminate the modeled machine shortages.</t>
  </si>
  <si>
    <t>-10% Planned Downtime:</t>
  </si>
  <si>
    <t>Reducing planned downtime improves available capacity and reduces the number of machines in shortage.</t>
  </si>
  <si>
    <t>-20% Unplanned Downtime:</t>
  </si>
  <si>
    <t>Improving reliability and reducing unexpected downtime further reduces capacity shortages.</t>
  </si>
  <si>
    <t>+5% Efficiency:</t>
  </si>
  <si>
    <t>A 5% improvement in operating efficiency reduces required machine hours sufficiently to eliminate the modeled shortages.</t>
  </si>
  <si>
    <r>
      <t>Management Insight:</t>
    </r>
    <r>
      <rPr>
        <sz val="11"/>
        <color theme="1"/>
        <rFont val="Calibri"/>
        <family val="2"/>
        <scheme val="minor"/>
      </rPr>
      <t xml:space="preserve"> </t>
    </r>
  </si>
  <si>
    <t>The capacity shortage can potentially be addressed through operational improvements before investing in additional machine capacity. Increasing scheduled operating hours and improving production efficiency have the strongest modeled impact, while downtime reduction provides a moderate improvement.</t>
  </si>
  <si>
    <t>Manufacturing Capacity Planning &amp; Production Optimization Dashboard</t>
  </si>
  <si>
    <t>Management Dashboard | Base Case &amp; Capacity Improvement Analysis</t>
  </si>
  <si>
    <t>KPI 1: Total Components</t>
  </si>
  <si>
    <t>KPI 2: Make Components</t>
  </si>
  <si>
    <t>KPI 3: Buy Components</t>
  </si>
  <si>
    <t>KPI 4: Number of Machines</t>
  </si>
  <si>
    <t>KPI 5: Machines in Capacity Shortage</t>
  </si>
  <si>
    <t>KPI 6: Overall OEE</t>
  </si>
  <si>
    <t>Chart: Machines in Capacity Shortage by Scenario</t>
  </si>
  <si>
    <t>Chart: Production Priority Chart</t>
  </si>
  <si>
    <t>Chart: Economic Contribution Chart</t>
  </si>
  <si>
    <t>Recommendations &amp; Project Conclusion</t>
  </si>
  <si>
    <t>Production Capacity Planning, Production Optimization &amp; Management Recommendations</t>
  </si>
  <si>
    <t>Final Recommendations &amp; Project Conclusion</t>
  </si>
  <si>
    <t>Executive Conclusion</t>
  </si>
  <si>
    <t>Key Findings</t>
  </si>
  <si>
    <t>Key Findings Table</t>
  </si>
  <si>
    <t>Area</t>
  </si>
  <si>
    <t>Key Finding</t>
  </si>
  <si>
    <t>Management Implication</t>
  </si>
  <si>
    <t>Production requirements are driven by forecast demand and inventory requirements</t>
  </si>
  <si>
    <t>Production planning should continuously incorporate demand and inventory position</t>
  </si>
  <si>
    <t>Base-case required machine hours slightly exceed available capacity</t>
  </si>
  <si>
    <t>Current capacity requires intervention</t>
  </si>
  <si>
    <t>Bottlenecks</t>
  </si>
  <si>
    <t>Capacity pressure is concentrated on specific machines</t>
  </si>
  <si>
    <t>Focus improvement efforts on bottleneck machines</t>
  </si>
  <si>
    <t>Machine OEE indicates room for operational improvement</t>
  </si>
  <si>
    <t>Improve availability, performance and quality</t>
  </si>
  <si>
    <t>Production Economics</t>
  </si>
  <si>
    <t>Contribution per machine-hour varies significantly across components</t>
  </si>
  <si>
    <t>Prioritize economically valuable production when capacity is constrained</t>
  </si>
  <si>
    <t>Component criticality affects production priority</t>
  </si>
  <si>
    <t>Critical components should not be deprioritized purely on economics</t>
  </si>
  <si>
    <t>Scenarios</t>
  </si>
  <si>
    <t>Increasing productive hours and improving efficiency reduce capacity pressure</t>
  </si>
  <si>
    <t>Operational improvements can be evaluated before capital expansion</t>
  </si>
  <si>
    <t xml:space="preserve">Recommendations </t>
  </si>
  <si>
    <t>Implementation Roadmap</t>
  </si>
  <si>
    <t>Implementation Roadmap Table</t>
  </si>
  <si>
    <t>Timeline</t>
  </si>
  <si>
    <t>Action</t>
  </si>
  <si>
    <t>0–30 Days</t>
  </si>
  <si>
    <t>Identify top bottleneck machines</t>
  </si>
  <si>
    <t>Establish immediate constraint areas</t>
  </si>
  <si>
    <t>Review downtime causes</t>
  </si>
  <si>
    <t>Identify largest availability losses</t>
  </si>
  <si>
    <t>30–60 Days</t>
  </si>
  <si>
    <t>Implement targeted downtime reduction</t>
  </si>
  <si>
    <t>Increase available production hours</t>
  </si>
  <si>
    <t>Review setup/changeover processes</t>
  </si>
  <si>
    <t>Reduce non-productive machine time</t>
  </si>
  <si>
    <t>60–90 Days</t>
  </si>
  <si>
    <t>Improve machine operating efficiency</t>
  </si>
  <si>
    <t>Reduce required machine hours</t>
  </si>
  <si>
    <t>90+ Days</t>
  </si>
  <si>
    <t>Reassess capacity requirement</t>
  </si>
  <si>
    <t>Determine whether additional capacity is actually required</t>
  </si>
  <si>
    <t>Project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</si>
</sst>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1"/>
      <name val="Calibri"/>
      <family val="2"/>
      <scheme val="minor"/>
    </font>
    <font>
      <b/>
      <sz val="13.5"/>
      <color theme="1"/>
      <name val="Calibri"/>
      <family val="2"/>
      <scheme val="minor"/>
    </font>
    <font>
      <b/>
      <sz val="24"/>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26">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horizontal="center" vertical="top"/>
    </xf>
    <xf numFmtId="0" fontId="0" fillId="0" borderId="0" xfId="0" applyAlignment="1">
      <alignment vertical="top"/>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right" vertical="center"/>
    </xf>
    <xf numFmtId="0" fontId="0" fillId="0" borderId="0" xfId="0" applyAlignment="1">
      <alignment horizontal="center" vertical="center" wrapText="1"/>
    </xf>
    <xf numFmtId="0" fontId="0" fillId="0" borderId="0" xfId="0" applyAlignment="1">
      <alignment horizontal="left" vertical="top"/>
    </xf>
    <xf numFmtId="0" fontId="0" fillId="0" borderId="0" xfId="1" applyNumberFormat="1" applyFont="1" applyAlignment="1">
      <alignment vertical="center"/>
    </xf>
    <xf numFmtId="0" fontId="0" fillId="0" borderId="0" xfId="1" applyNumberFormat="1" applyFont="1"/>
    <xf numFmtId="0" fontId="0" fillId="0" borderId="0" xfId="0" applyAlignment="1">
      <alignment horizontal="center" vertical="top" wrapText="1"/>
    </xf>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right" vertical="center"/>
    </xf>
    <xf numFmtId="0" fontId="0" fillId="0" borderId="0" xfId="0" applyAlignment="1">
      <alignment horizontal="right" vertical="top"/>
    </xf>
    <xf numFmtId="0" fontId="0" fillId="0" borderId="0" xfId="0" applyAlignment="1">
      <alignment horizontal="center" vertical="top"/>
    </xf>
    <xf numFmtId="0" fontId="3" fillId="0" borderId="0" xfId="0" applyFont="1" applyAlignment="1">
      <alignment vertical="center"/>
    </xf>
    <xf numFmtId="0" fontId="0" fillId="0" borderId="0" xfId="0" applyAlignment="1">
      <alignment horizontal="left" vertical="center" indent="1"/>
    </xf>
    <xf numFmtId="0" fontId="5" fillId="0" borderId="0" xfId="0" applyFont="1" applyAlignment="1">
      <alignment vertical="center"/>
    </xf>
    <xf numFmtId="0" fontId="4" fillId="0" borderId="0" xfId="0" applyFont="1" applyAlignment="1">
      <alignment vertical="top"/>
    </xf>
  </cellXfs>
  <cellStyles count="2">
    <cellStyle name="Normal" xfId="0" builtinId="0"/>
    <cellStyle name="Percent" xfId="1" builtinId="5"/>
  </cellStyles>
  <dxfs count="8">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Components by Sourcing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'08_demand_planning'!$Q$4:$Q$6</c:f>
              <c:strCache>
                <c:ptCount val="3"/>
                <c:pt idx="0">
                  <c:v>Make</c:v>
                </c:pt>
                <c:pt idx="1">
                  <c:v>Buy</c:v>
                </c:pt>
                <c:pt idx="2">
                  <c:v>Total</c:v>
                </c:pt>
              </c:strCache>
            </c:strRef>
          </c:cat>
          <c:val>
            <c:numRef>
              <c:f>'08_demand_planning'!$R$4:$R$6</c:f>
              <c:numCache>
                <c:formatCode>General</c:formatCode>
                <c:ptCount val="3"/>
                <c:pt idx="0">
                  <c:v>300</c:v>
                </c:pt>
                <c:pt idx="1">
                  <c:v>200</c:v>
                </c:pt>
                <c:pt idx="2">
                  <c:v>500</c:v>
                </c:pt>
              </c:numCache>
            </c:numRef>
          </c:val>
          <c:extLst>
            <c:ext xmlns:c16="http://schemas.microsoft.com/office/drawing/2014/chart" uri="{C3380CC4-5D6E-409C-BE32-E72D297353CC}">
              <c16:uniqueId val="{00000000-C959-4337-A07D-ED333073991E}"/>
            </c:ext>
          </c:extLst>
        </c:ser>
        <c:dLbls>
          <c:dLblPos val="outEnd"/>
          <c:showLegendKey val="0"/>
          <c:showVal val="1"/>
          <c:showCatName val="0"/>
          <c:showSerName val="0"/>
          <c:showPercent val="0"/>
          <c:showBubbleSize val="0"/>
        </c:dLbls>
        <c:gapWidth val="219"/>
        <c:overlap val="-27"/>
        <c:axId val="301672976"/>
        <c:axId val="301673456"/>
      </c:barChart>
      <c:catAx>
        <c:axId val="3016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73456"/>
        <c:crosses val="autoZero"/>
        <c:auto val="1"/>
        <c:lblAlgn val="ctr"/>
        <c:lblOffset val="100"/>
        <c:noMultiLvlLbl val="0"/>
      </c:catAx>
      <c:valAx>
        <c:axId val="30167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72976"/>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Forecast Demand by Sourcing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'08_demand_planning'!$Q$4:$Q$6</c:f>
              <c:strCache>
                <c:ptCount val="3"/>
                <c:pt idx="0">
                  <c:v>Make</c:v>
                </c:pt>
                <c:pt idx="1">
                  <c:v>Buy</c:v>
                </c:pt>
                <c:pt idx="2">
                  <c:v>Total</c:v>
                </c:pt>
              </c:strCache>
            </c:strRef>
          </c:cat>
          <c:val>
            <c:numRef>
              <c:f>'08_demand_planning'!$S$4:$S$6</c:f>
              <c:numCache>
                <c:formatCode>General</c:formatCode>
                <c:ptCount val="3"/>
                <c:pt idx="0">
                  <c:v>312250</c:v>
                </c:pt>
                <c:pt idx="1">
                  <c:v>232039</c:v>
                </c:pt>
                <c:pt idx="2">
                  <c:v>544289</c:v>
                </c:pt>
              </c:numCache>
            </c:numRef>
          </c:val>
          <c:extLst>
            <c:ext xmlns:c16="http://schemas.microsoft.com/office/drawing/2014/chart" uri="{C3380CC4-5D6E-409C-BE32-E72D297353CC}">
              <c16:uniqueId val="{00000001-D17D-493A-A057-9935DF427E89}"/>
            </c:ext>
          </c:extLst>
        </c:ser>
        <c:dLbls>
          <c:dLblPos val="outEnd"/>
          <c:showLegendKey val="0"/>
          <c:showVal val="1"/>
          <c:showCatName val="0"/>
          <c:showSerName val="0"/>
          <c:showPercent val="0"/>
          <c:showBubbleSize val="0"/>
        </c:dLbls>
        <c:gapWidth val="219"/>
        <c:overlap val="-27"/>
        <c:axId val="301672976"/>
        <c:axId val="301673456"/>
      </c:barChart>
      <c:catAx>
        <c:axId val="30167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73456"/>
        <c:crosses val="autoZero"/>
        <c:auto val="1"/>
        <c:lblAlgn val="ctr"/>
        <c:lblOffset val="100"/>
        <c:noMultiLvlLbl val="0"/>
      </c:catAx>
      <c:valAx>
        <c:axId val="30167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72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vs Procurement Requirement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'09_inventory_production_reqmnt'!$O$4</c:f>
              <c:strCache>
                <c:ptCount val="1"/>
                <c:pt idx="0">
                  <c:v>Production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'09_inventory_production_reqmnt'!$Q$3</c:f>
              <c:strCache>
                <c:ptCount val="1"/>
                <c:pt idx="0">
                  <c:v>Requirement</c:v>
                </c:pt>
              </c:strCache>
            </c:strRef>
          </c:cat>
          <c:val>
            <c:numRef>
              <c:f>'09_inventory_production_reqmnt'!$Q$4</c:f>
              <c:numCache>
                <c:formatCode>General</c:formatCode>
                <c:ptCount val="1"/>
                <c:pt idx="0">
                  <c:v>18065.531477560155</c:v>
                </c:pt>
              </c:numCache>
            </c:numRef>
          </c:val>
          <c:extLst>
            <c:ext xmlns:c16="http://schemas.microsoft.com/office/drawing/2014/chart" uri="{C3380CC4-5D6E-409C-BE32-E72D297353CC}">
              <c16:uniqueId val="{00000000-B8B4-4A73-A766-D195A8067E9F}"/>
            </c:ext>
          </c:extLst>
        </c:ser>
        <c:ser>
          <c:idx val="1"/>
          <c:order val="1"/>
          <c:tx>
            <c:strRef>
              <c:f>'09_inventory_production_reqmnt'!$O$5</c:f>
              <c:strCache>
                <c:ptCount val="1"/>
                <c:pt idx="0">
                  <c:v>Procurement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'09_inventory_production_reqmnt'!$Q$3</c:f>
              <c:strCache>
                <c:ptCount val="1"/>
                <c:pt idx="0">
                  <c:v>Requirement</c:v>
                </c:pt>
              </c:strCache>
            </c:strRef>
          </c:cat>
          <c:val>
            <c:numRef>
              <c:f>'09_inventory_production_reqmnt'!$Q$5</c:f>
              <c:numCache>
                <c:formatCode>General</c:formatCode>
                <c:ptCount val="1"/>
                <c:pt idx="0">
                  <c:v>13941</c:v>
                </c:pt>
              </c:numCache>
            </c:numRef>
          </c:val>
          <c:extLst>
            <c:ext xmlns:c16="http://schemas.microsoft.com/office/drawing/2014/chart" uri="{C3380CC4-5D6E-409C-BE32-E72D297353CC}">
              <c16:uniqueId val="{00000001-B8B4-4A73-A766-D195A8067E9F}"/>
            </c:ext>
          </c:extLst>
        </c:ser>
        <c:dLbls>
          <c:showLegendKey val="0"/>
          <c:showVal val="1"/>
          <c:showCatName val="0"/>
          <c:showSerName val="0"/>
          <c:showPercent val="0"/>
          <c:showBubbleSize val="0"/>
        </c:dLbls>
        <c:gapWidth val="219"/>
        <c:overlap val="-27"/>
        <c:axId val="450858064"/>
        <c:axId val="450864784"/>
      </c:barChart>
      <c:lineChart>
        <c:grouping val="standard"/>
        <c:varyColors val="0"/>
        <c:ser>
          <c:idx val="2"/>
          <c:order val="2"/>
          <c:tx>
            <c:strRef>
              <c:f>'09_inventory_production_reqmnt'!$O$6</c:f>
              <c:strCache>
                <c:ptCount val="1"/>
                <c:pt idx="0">
                  <c:v>Total</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'09_inventory_production_reqmnt'!$Q$3</c:f>
              <c:strCache>
                <c:ptCount val="1"/>
                <c:pt idx="0">
                  <c:v>Requirement</c:v>
                </c:pt>
              </c:strCache>
            </c:strRef>
          </c:cat>
          <c:val>
            <c:numRef>
              <c:f>'09_inventory_production_reqmnt'!$Q$6</c:f>
              <c:numCache>
                <c:formatCode>General</c:formatCode>
                <c:ptCount val="1"/>
                <c:pt idx="0">
                  <c:v>32006.531477560155</c:v>
                </c:pt>
              </c:numCache>
            </c:numRef>
          </c:val>
          <c:smooth val="0"/>
          <c:extLst>
            <c:ext xmlns:c16="http://schemas.microsoft.com/office/drawing/2014/chart" uri="{C3380CC4-5D6E-409C-BE32-E72D297353CC}">
              <c16:uniqueId val="{00000002-B8B4-4A73-A766-D195A8067E9F}"/>
            </c:ext>
          </c:extLst>
        </c:ser>
        <c:dLbls>
          <c:showLegendKey val="0"/>
          <c:showVal val="1"/>
          <c:showCatName val="0"/>
          <c:showSerName val="0"/>
          <c:showPercent val="0"/>
          <c:showBubbleSize val="0"/>
        </c:dLbls>
        <c:marker val="1"/>
        <c:smooth val="0"/>
        <c:axId val="450858064"/>
        <c:axId val="450864784"/>
      </c:lineChart>
      <c:catAx>
        <c:axId val="45085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64784"/>
        <c:crosses val="autoZero"/>
        <c:auto val="1"/>
        <c:lblAlgn val="ctr"/>
        <c:lblOffset val="100"/>
        <c:noMultiLvlLbl val="0"/>
      </c:catAx>
      <c:valAx>
        <c:axId val="45086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85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Machine Utilization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val>
            <c:numRef>
              <c:f>'10_machine_capacity'!$I$2:$I$26</c:f>
              <c:numCache>
                <c:formatCode>General</c:formatCode>
                <c:ptCount val="25"/>
                <c:pt idx="0">
                  <c:v>1.0124432611731844</c:v>
                </c:pt>
                <c:pt idx="1">
                  <c:v>1.0394564293587238</c:v>
                </c:pt>
                <c:pt idx="2">
                  <c:v>1.0432127175448418</c:v>
                </c:pt>
                <c:pt idx="3">
                  <c:v>0.95852454275011023</c:v>
                </c:pt>
                <c:pt idx="4">
                  <c:v>0.99482819547678036</c:v>
                </c:pt>
                <c:pt idx="5">
                  <c:v>1.0065350733413041</c:v>
                </c:pt>
                <c:pt idx="6">
                  <c:v>0.9946276631221892</c:v>
                </c:pt>
                <c:pt idx="7">
                  <c:v>1.0234598908893597</c:v>
                </c:pt>
                <c:pt idx="8">
                  <c:v>0.99274244931340105</c:v>
                </c:pt>
                <c:pt idx="9">
                  <c:v>0.99888522762079801</c:v>
                </c:pt>
                <c:pt idx="10">
                  <c:v>1.0046774126269045</c:v>
                </c:pt>
                <c:pt idx="11">
                  <c:v>0.95548053511277087</c:v>
                </c:pt>
                <c:pt idx="12">
                  <c:v>1.0050726783375703</c:v>
                </c:pt>
                <c:pt idx="13">
                  <c:v>0.9610260316934256</c:v>
                </c:pt>
                <c:pt idx="14">
                  <c:v>1.0187171810338098</c:v>
                </c:pt>
                <c:pt idx="15">
                  <c:v>0.98846126229342601</c:v>
                </c:pt>
                <c:pt idx="16">
                  <c:v>0.98804226607356938</c:v>
                </c:pt>
                <c:pt idx="17">
                  <c:v>1.0072215467551848</c:v>
                </c:pt>
                <c:pt idx="18">
                  <c:v>1.0310815350565177</c:v>
                </c:pt>
                <c:pt idx="19">
                  <c:v>1.0124924420258923</c:v>
                </c:pt>
                <c:pt idx="20">
                  <c:v>1.0003184301322603</c:v>
                </c:pt>
                <c:pt idx="21">
                  <c:v>0.97714760629999886</c:v>
                </c:pt>
                <c:pt idx="22">
                  <c:v>0.99778133045295836</c:v>
                </c:pt>
                <c:pt idx="23">
                  <c:v>1.0292206890545301</c:v>
                </c:pt>
                <c:pt idx="24">
                  <c:v>0.988963132949364</c:v>
                </c:pt>
              </c:numCache>
            </c:numRef>
          </c:val>
          <c:extLst>
            <c:ext xmlns:c16="http://schemas.microsoft.com/office/drawing/2014/chart" uri="{C3380CC4-5D6E-409C-BE32-E72D297353CC}">
              <c16:uniqueId val="{00000000-A874-4420-B725-9212984061F3}"/>
            </c:ext>
          </c:extLst>
        </c:ser>
        <c:dLbls>
          <c:showLegendKey val="0"/>
          <c:showVal val="0"/>
          <c:showCatName val="0"/>
          <c:showSerName val="0"/>
          <c:showPercent val="0"/>
          <c:showBubbleSize val="0"/>
        </c:dLbls>
        <c:gapWidth val="182"/>
        <c:axId val="1035760976"/>
        <c:axId val="1035756176"/>
      </c:barChart>
      <c:catAx>
        <c:axId val="10357609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effectLst/>
                  </a:rPr>
                  <a:t>Machine ID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56176"/>
        <c:crosses val="autoZero"/>
        <c:auto val="1"/>
        <c:lblAlgn val="ctr"/>
        <c:lblOffset val="100"/>
        <c:noMultiLvlLbl val="0"/>
      </c:catAx>
      <c:valAx>
        <c:axId val="1035756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Machine Utilization</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609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Machine Capacity Surplus / Shortage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val>
            <c:numRef>
              <c:f>'10_machine_capacity'!$H$2:$H$26</c:f>
              <c:numCache>
                <c:formatCode>General</c:formatCode>
                <c:ptCount val="25"/>
                <c:pt idx="0">
                  <c:v>-51.318000000000211</c:v>
                </c:pt>
                <c:pt idx="1">
                  <c:v>-158.46333333333268</c:v>
                </c:pt>
                <c:pt idx="2">
                  <c:v>-172.94766666666783</c:v>
                </c:pt>
                <c:pt idx="3">
                  <c:v>180.6869999999999</c:v>
                </c:pt>
                <c:pt idx="4">
                  <c:v>21.709166666666533</c:v>
                </c:pt>
                <c:pt idx="5">
                  <c:v>-27.111666666667588</c:v>
                </c:pt>
                <c:pt idx="6">
                  <c:v>22.553499999999985</c:v>
                </c:pt>
                <c:pt idx="7">
                  <c:v>-95.693833333334169</c:v>
                </c:pt>
                <c:pt idx="8">
                  <c:v>30.527000000000044</c:v>
                </c:pt>
                <c:pt idx="9">
                  <c:v>4.6584999999995489</c:v>
                </c:pt>
                <c:pt idx="10">
                  <c:v>-19.436333333334005</c:v>
                </c:pt>
                <c:pt idx="11">
                  <c:v>194.54650000000038</c:v>
                </c:pt>
                <c:pt idx="12">
                  <c:v>-21.071500000000015</c:v>
                </c:pt>
                <c:pt idx="13">
                  <c:v>169.34033333333355</c:v>
                </c:pt>
                <c:pt idx="14">
                  <c:v>-76.707500000000437</c:v>
                </c:pt>
                <c:pt idx="15">
                  <c:v>48.745166666667501</c:v>
                </c:pt>
                <c:pt idx="16">
                  <c:v>50.538166666666257</c:v>
                </c:pt>
                <c:pt idx="17">
                  <c:v>-29.935333333332892</c:v>
                </c:pt>
                <c:pt idx="18">
                  <c:v>-125.82800000000134</c:v>
                </c:pt>
                <c:pt idx="19">
                  <c:v>-51.514833333331808</c:v>
                </c:pt>
                <c:pt idx="20">
                  <c:v>-1.3290000000015425</c:v>
                </c:pt>
                <c:pt idx="21">
                  <c:v>97.658333333332848</c:v>
                </c:pt>
                <c:pt idx="22">
                  <c:v>9.2843333333321425</c:v>
                </c:pt>
                <c:pt idx="23">
                  <c:v>-118.54716666666673</c:v>
                </c:pt>
                <c:pt idx="24">
                  <c:v>46.603833333333569</c:v>
                </c:pt>
              </c:numCache>
            </c:numRef>
          </c:val>
          <c:extLst>
            <c:ext xmlns:c16="http://schemas.microsoft.com/office/drawing/2014/chart" uri="{C3380CC4-5D6E-409C-BE32-E72D297353CC}">
              <c16:uniqueId val="{00000000-0F9D-47B8-9F61-17332F4BAB93}"/>
            </c:ext>
          </c:extLst>
        </c:ser>
        <c:dLbls>
          <c:showLegendKey val="0"/>
          <c:showVal val="0"/>
          <c:showCatName val="0"/>
          <c:showSerName val="0"/>
          <c:showPercent val="0"/>
          <c:showBubbleSize val="0"/>
        </c:dLbls>
        <c:gapWidth val="182"/>
        <c:axId val="1035713456"/>
        <c:axId val="1035711536"/>
      </c:barChart>
      <c:catAx>
        <c:axId val="1035713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11536"/>
        <c:crosses val="autoZero"/>
        <c:auto val="1"/>
        <c:lblAlgn val="ctr"/>
        <c:lblOffset val="100"/>
        <c:noMultiLvlLbl val="0"/>
      </c:catAx>
      <c:valAx>
        <c:axId val="1035711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Machine Capacity Surplus / Shortage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713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OEE by Machine </a:t>
            </a:r>
            <a:endParaRPr lang="en-IN"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val>
            <c:numRef>
              <c:f>'11_oee_analysis'!$I$2:$I$26</c:f>
              <c:numCache>
                <c:formatCode>General</c:formatCode>
                <c:ptCount val="25"/>
                <c:pt idx="0">
                  <c:v>0.76126787340862756</c:v>
                </c:pt>
                <c:pt idx="1">
                  <c:v>0.74342533711008585</c:v>
                </c:pt>
                <c:pt idx="2">
                  <c:v>0.75561289411597021</c:v>
                </c:pt>
                <c:pt idx="3">
                  <c:v>0.74658514314915003</c:v>
                </c:pt>
                <c:pt idx="4">
                  <c:v>0.74027897151379207</c:v>
                </c:pt>
                <c:pt idx="5">
                  <c:v>0.74860987909992072</c:v>
                </c:pt>
                <c:pt idx="6">
                  <c:v>0.77355393952569074</c:v>
                </c:pt>
                <c:pt idx="7">
                  <c:v>0.82177924186852491</c:v>
                </c:pt>
                <c:pt idx="8">
                  <c:v>0.76263899671101365</c:v>
                </c:pt>
                <c:pt idx="9">
                  <c:v>0.75521485331779703</c:v>
                </c:pt>
                <c:pt idx="10">
                  <c:v>0.76956226591559407</c:v>
                </c:pt>
                <c:pt idx="11">
                  <c:v>0.76945389780095408</c:v>
                </c:pt>
                <c:pt idx="12">
                  <c:v>0.78128757942840332</c:v>
                </c:pt>
                <c:pt idx="13">
                  <c:v>0.75413551725709149</c:v>
                </c:pt>
                <c:pt idx="14">
                  <c:v>0.78243470425169459</c:v>
                </c:pt>
                <c:pt idx="15">
                  <c:v>0.77700468550766366</c:v>
                </c:pt>
                <c:pt idx="16">
                  <c:v>0.7632174101068524</c:v>
                </c:pt>
                <c:pt idx="17">
                  <c:v>0.76407081002672017</c:v>
                </c:pt>
                <c:pt idx="18">
                  <c:v>0.74466206939267277</c:v>
                </c:pt>
                <c:pt idx="19">
                  <c:v>0.75175528456432572</c:v>
                </c:pt>
                <c:pt idx="20">
                  <c:v>0.75470615265327967</c:v>
                </c:pt>
                <c:pt idx="21">
                  <c:v>0.81481255411174547</c:v>
                </c:pt>
                <c:pt idx="22">
                  <c:v>0.81525428020216262</c:v>
                </c:pt>
                <c:pt idx="23">
                  <c:v>0.76912736080874877</c:v>
                </c:pt>
                <c:pt idx="24">
                  <c:v>0.79393561432470849</c:v>
                </c:pt>
              </c:numCache>
            </c:numRef>
          </c:val>
          <c:extLst>
            <c:ext xmlns:c16="http://schemas.microsoft.com/office/drawing/2014/chart" uri="{C3380CC4-5D6E-409C-BE32-E72D297353CC}">
              <c16:uniqueId val="{00000000-2F75-43B4-8E1E-C22E79A88B6A}"/>
            </c:ext>
          </c:extLst>
        </c:ser>
        <c:dLbls>
          <c:showLegendKey val="0"/>
          <c:showVal val="0"/>
          <c:showCatName val="0"/>
          <c:showSerName val="0"/>
          <c:showPercent val="0"/>
          <c:showBubbleSize val="0"/>
        </c:dLbls>
        <c:gapWidth val="182"/>
        <c:axId val="203052000"/>
        <c:axId val="203051040"/>
      </c:barChart>
      <c:catAx>
        <c:axId val="203052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a:t>
                </a:r>
                <a:r>
                  <a:rPr lang="en-IN" baseline="0"/>
                  <a:t> ID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1040"/>
        <c:crosses val="autoZero"/>
        <c:auto val="1"/>
        <c:lblAlgn val="ctr"/>
        <c:lblOffset val="100"/>
        <c:noMultiLvlLbl val="0"/>
      </c:catAx>
      <c:valAx>
        <c:axId val="203051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OEE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52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Availability vs Performance vs Quality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'11_oee_analysis'!$F$1</c:f>
              <c:strCache>
                <c:ptCount val="1"/>
                <c:pt idx="0">
                  <c:v>Availability</c:v>
                </c:pt>
              </c:strCache>
            </c:strRef>
          </c:tx>
          <c:spPr>
            <a:solidFill>
              <a:schemeClr val="accent1"/>
            </a:solidFill>
            <a:ln>
              <a:noFill/>
            </a:ln>
            <a:effectLst/>
          </c:spPr>
          <c:invertIfNegative val="0"/>
          <c:val>
            <c:numRef>
              <c:f>'11_oee_analysis'!$F$2:$F$26</c:f>
              <c:numCache>
                <c:formatCode>General</c:formatCode>
                <c:ptCount val="25"/>
                <c:pt idx="0">
                  <c:v>0.86570000000000003</c:v>
                </c:pt>
                <c:pt idx="1">
                  <c:v>0.8367</c:v>
                </c:pt>
                <c:pt idx="2">
                  <c:v>0.86950000000000005</c:v>
                </c:pt>
                <c:pt idx="3">
                  <c:v>0.8498</c:v>
                </c:pt>
                <c:pt idx="4">
                  <c:v>0.8538</c:v>
                </c:pt>
                <c:pt idx="5">
                  <c:v>0.84340000000000004</c:v>
                </c:pt>
                <c:pt idx="6">
                  <c:v>0.88009999999999988</c:v>
                </c:pt>
                <c:pt idx="7">
                  <c:v>0.90760000000000007</c:v>
                </c:pt>
                <c:pt idx="8">
                  <c:v>0.87450000000000006</c:v>
                </c:pt>
                <c:pt idx="9">
                  <c:v>0.88049999999999995</c:v>
                </c:pt>
                <c:pt idx="10">
                  <c:v>0.87629999999999997</c:v>
                </c:pt>
                <c:pt idx="11">
                  <c:v>0.87970000000000004</c:v>
                </c:pt>
                <c:pt idx="12">
                  <c:v>0.86430000000000007</c:v>
                </c:pt>
                <c:pt idx="13">
                  <c:v>0.85919999999999985</c:v>
                </c:pt>
                <c:pt idx="14">
                  <c:v>0.87180000000000002</c:v>
                </c:pt>
                <c:pt idx="15">
                  <c:v>0.87060000000000004</c:v>
                </c:pt>
                <c:pt idx="16">
                  <c:v>0.86540000000000006</c:v>
                </c:pt>
                <c:pt idx="17">
                  <c:v>0.86359999999999992</c:v>
                </c:pt>
                <c:pt idx="18">
                  <c:v>0.84520000000000006</c:v>
                </c:pt>
                <c:pt idx="19">
                  <c:v>0.83379999999999999</c:v>
                </c:pt>
                <c:pt idx="20">
                  <c:v>0.85910000000000009</c:v>
                </c:pt>
                <c:pt idx="21">
                  <c:v>0.91039999999999999</c:v>
                </c:pt>
                <c:pt idx="22">
                  <c:v>0.9052</c:v>
                </c:pt>
                <c:pt idx="23">
                  <c:v>0.87459999999999993</c:v>
                </c:pt>
                <c:pt idx="24">
                  <c:v>0.89029999999999987</c:v>
                </c:pt>
              </c:numCache>
            </c:numRef>
          </c:val>
          <c:extLst>
            <c:ext xmlns:c16="http://schemas.microsoft.com/office/drawing/2014/chart" uri="{C3380CC4-5D6E-409C-BE32-E72D297353CC}">
              <c16:uniqueId val="{00000000-52DA-417B-8AB5-A814A5C2D86E}"/>
            </c:ext>
          </c:extLst>
        </c:ser>
        <c:ser>
          <c:idx val="1"/>
          <c:order val="1"/>
          <c:tx>
            <c:strRef>
              <c:f>'11_oee_analysis'!$G$1</c:f>
              <c:strCache>
                <c:ptCount val="1"/>
                <c:pt idx="0">
                  <c:v>Performance</c:v>
                </c:pt>
              </c:strCache>
            </c:strRef>
          </c:tx>
          <c:spPr>
            <a:solidFill>
              <a:schemeClr val="accent2"/>
            </a:solidFill>
            <a:ln>
              <a:noFill/>
            </a:ln>
            <a:effectLst/>
          </c:spPr>
          <c:invertIfNegative val="0"/>
          <c:val>
            <c:numRef>
              <c:f>'11_oee_analysis'!$G$2:$G$26</c:f>
              <c:numCache>
                <c:formatCode>General</c:formatCode>
                <c:ptCount val="25"/>
                <c:pt idx="0">
                  <c:v>0.89089217137775656</c:v>
                </c:pt>
                <c:pt idx="1">
                  <c:v>0.89980774396695107</c:v>
                </c:pt>
                <c:pt idx="2">
                  <c:v>0.8817486767024032</c:v>
                </c:pt>
                <c:pt idx="3">
                  <c:v>0.89109387201807644</c:v>
                </c:pt>
                <c:pt idx="4">
                  <c:v>0.88083076374703684</c:v>
                </c:pt>
                <c:pt idx="5">
                  <c:v>0.8991497732893835</c:v>
                </c:pt>
                <c:pt idx="6">
                  <c:v>0.89206090414643291</c:v>
                </c:pt>
                <c:pt idx="7">
                  <c:v>0.9166898758615778</c:v>
                </c:pt>
                <c:pt idx="8">
                  <c:v>0.89300765311969543</c:v>
                </c:pt>
                <c:pt idx="9">
                  <c:v>0.86753620851291013</c:v>
                </c:pt>
                <c:pt idx="10">
                  <c:v>0.89317047730870047</c:v>
                </c:pt>
                <c:pt idx="11">
                  <c:v>0.88822301586168029</c:v>
                </c:pt>
                <c:pt idx="12">
                  <c:v>0.91872262497044033</c:v>
                </c:pt>
                <c:pt idx="13">
                  <c:v>0.8875433512402825</c:v>
                </c:pt>
                <c:pt idx="14">
                  <c:v>0.90764077584886371</c:v>
                </c:pt>
                <c:pt idx="15">
                  <c:v>0.90652802331517679</c:v>
                </c:pt>
                <c:pt idx="16">
                  <c:v>0.89278291185441983</c:v>
                </c:pt>
                <c:pt idx="17">
                  <c:v>0.90476883259191621</c:v>
                </c:pt>
                <c:pt idx="18">
                  <c:v>0.89469998530945538</c:v>
                </c:pt>
                <c:pt idx="19">
                  <c:v>0.91335562903257284</c:v>
                </c:pt>
                <c:pt idx="20">
                  <c:v>0.88969479255789707</c:v>
                </c:pt>
                <c:pt idx="21">
                  <c:v>0.9075473060897401</c:v>
                </c:pt>
                <c:pt idx="22">
                  <c:v>0.90983513132067551</c:v>
                </c:pt>
                <c:pt idx="23">
                  <c:v>0.89128855910433435</c:v>
                </c:pt>
                <c:pt idx="24">
                  <c:v>0.9006266334000087</c:v>
                </c:pt>
              </c:numCache>
            </c:numRef>
          </c:val>
          <c:extLst>
            <c:ext xmlns:c16="http://schemas.microsoft.com/office/drawing/2014/chart" uri="{C3380CC4-5D6E-409C-BE32-E72D297353CC}">
              <c16:uniqueId val="{00000001-52DA-417B-8AB5-A814A5C2D86E}"/>
            </c:ext>
          </c:extLst>
        </c:ser>
        <c:ser>
          <c:idx val="2"/>
          <c:order val="2"/>
          <c:tx>
            <c:strRef>
              <c:f>'11_oee_analysis'!$H$1</c:f>
              <c:strCache>
                <c:ptCount val="1"/>
                <c:pt idx="0">
                  <c:v>Quality</c:v>
                </c:pt>
              </c:strCache>
            </c:strRef>
          </c:tx>
          <c:spPr>
            <a:solidFill>
              <a:schemeClr val="accent3"/>
            </a:solidFill>
            <a:ln>
              <a:noFill/>
            </a:ln>
            <a:effectLst/>
          </c:spPr>
          <c:invertIfNegative val="0"/>
          <c:val>
            <c:numRef>
              <c:f>'11_oee_analysis'!$H$2:$H$26</c:f>
              <c:numCache>
                <c:formatCode>General</c:formatCode>
                <c:ptCount val="25"/>
                <c:pt idx="0">
                  <c:v>0.98706315789473686</c:v>
                </c:pt>
                <c:pt idx="1">
                  <c:v>0.98745625000000004</c:v>
                </c:pt>
                <c:pt idx="2">
                  <c:v>0.98556428571428578</c:v>
                </c:pt>
                <c:pt idx="3">
                  <c:v>0.98591428571428574</c:v>
                </c:pt>
                <c:pt idx="4">
                  <c:v>0.98434374999999996</c:v>
                </c:pt>
                <c:pt idx="5">
                  <c:v>0.98716538461538461</c:v>
                </c:pt>
                <c:pt idx="6">
                  <c:v>0.98529</c:v>
                </c:pt>
                <c:pt idx="7">
                  <c:v>0.98773</c:v>
                </c:pt>
                <c:pt idx="8">
                  <c:v>0.97657142857142865</c:v>
                </c:pt>
                <c:pt idx="9">
                  <c:v>0.98867499999999997</c:v>
                </c:pt>
                <c:pt idx="10">
                  <c:v>0.98323333333333329</c:v>
                </c:pt>
                <c:pt idx="11">
                  <c:v>0.98475000000000001</c:v>
                </c:pt>
                <c:pt idx="12">
                  <c:v>0.98392500000000005</c:v>
                </c:pt>
                <c:pt idx="13">
                  <c:v>0.98893000000000009</c:v>
                </c:pt>
                <c:pt idx="14">
                  <c:v>0.98881999999999992</c:v>
                </c:pt>
                <c:pt idx="15">
                  <c:v>0.98451818181818185</c:v>
                </c:pt>
                <c:pt idx="16">
                  <c:v>0.98783750000000003</c:v>
                </c:pt>
                <c:pt idx="17">
                  <c:v>0.97787500000000005</c:v>
                </c:pt>
                <c:pt idx="18">
                  <c:v>0.98474166666666674</c:v>
                </c:pt>
                <c:pt idx="19">
                  <c:v>0.98713076923076915</c:v>
                </c:pt>
                <c:pt idx="20">
                  <c:v>0.98740000000000006</c:v>
                </c:pt>
                <c:pt idx="21">
                  <c:v>0.98617999999999995</c:v>
                </c:pt>
                <c:pt idx="22">
                  <c:v>0.98988750000000003</c:v>
                </c:pt>
                <c:pt idx="23">
                  <c:v>0.9866666666666668</c:v>
                </c:pt>
                <c:pt idx="24">
                  <c:v>0.99015714285714285</c:v>
                </c:pt>
              </c:numCache>
            </c:numRef>
          </c:val>
          <c:extLst>
            <c:ext xmlns:c16="http://schemas.microsoft.com/office/drawing/2014/chart" uri="{C3380CC4-5D6E-409C-BE32-E72D297353CC}">
              <c16:uniqueId val="{00000002-52DA-417B-8AB5-A814A5C2D86E}"/>
            </c:ext>
          </c:extLst>
        </c:ser>
        <c:dLbls>
          <c:showLegendKey val="0"/>
          <c:showVal val="0"/>
          <c:showCatName val="0"/>
          <c:showSerName val="0"/>
          <c:showPercent val="0"/>
          <c:showBubbleSize val="0"/>
        </c:dLbls>
        <c:gapWidth val="219"/>
        <c:overlap val="-27"/>
        <c:axId val="1111286384"/>
        <c:axId val="1111285424"/>
      </c:barChart>
      <c:catAx>
        <c:axId val="111128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85424"/>
        <c:crosses val="autoZero"/>
        <c:auto val="1"/>
        <c:lblAlgn val="ctr"/>
        <c:lblOffset val="100"/>
        <c:noMultiLvlLbl val="0"/>
      </c:catAx>
      <c:valAx>
        <c:axId val="111128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286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Machine Capacity Bottleneck Analysis </a:t>
            </a:r>
            <a:endParaRPr lang="en-IN"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val>
            <c:numRef>
              <c:f>'12_bottleneck_analysis'!$D$2:$D$26</c:f>
              <c:numCache>
                <c:formatCode>General</c:formatCode>
                <c:ptCount val="25"/>
                <c:pt idx="0">
                  <c:v>48.745166666667501</c:v>
                </c:pt>
                <c:pt idx="1">
                  <c:v>180.6869999999999</c:v>
                </c:pt>
                <c:pt idx="2">
                  <c:v>21.709166666666533</c:v>
                </c:pt>
                <c:pt idx="3">
                  <c:v>50.538166666666257</c:v>
                </c:pt>
                <c:pt idx="4">
                  <c:v>30.527000000000044</c:v>
                </c:pt>
                <c:pt idx="5">
                  <c:v>46.603833333333569</c:v>
                </c:pt>
                <c:pt idx="6">
                  <c:v>9.2843333333321425</c:v>
                </c:pt>
                <c:pt idx="7">
                  <c:v>4.6584999999995489</c:v>
                </c:pt>
                <c:pt idx="8">
                  <c:v>194.54650000000038</c:v>
                </c:pt>
                <c:pt idx="9">
                  <c:v>169.34033333333355</c:v>
                </c:pt>
                <c:pt idx="10">
                  <c:v>22.553499999999985</c:v>
                </c:pt>
                <c:pt idx="11">
                  <c:v>97.658333333332848</c:v>
                </c:pt>
                <c:pt idx="12">
                  <c:v>-19.436333333334005</c:v>
                </c:pt>
                <c:pt idx="13">
                  <c:v>-158.46333333333268</c:v>
                </c:pt>
                <c:pt idx="14">
                  <c:v>-1.3290000000015425</c:v>
                </c:pt>
                <c:pt idx="15">
                  <c:v>-95.693833333334169</c:v>
                </c:pt>
                <c:pt idx="16">
                  <c:v>-76.707500000000437</c:v>
                </c:pt>
                <c:pt idx="17">
                  <c:v>-125.82800000000134</c:v>
                </c:pt>
                <c:pt idx="18">
                  <c:v>-27.111666666667588</c:v>
                </c:pt>
                <c:pt idx="19">
                  <c:v>-51.318000000000211</c:v>
                </c:pt>
                <c:pt idx="20">
                  <c:v>-21.071500000000015</c:v>
                </c:pt>
                <c:pt idx="21">
                  <c:v>-29.935333333332892</c:v>
                </c:pt>
                <c:pt idx="22">
                  <c:v>-118.54716666666673</c:v>
                </c:pt>
                <c:pt idx="23">
                  <c:v>-172.94766666666783</c:v>
                </c:pt>
                <c:pt idx="24">
                  <c:v>-51.514833333331808</c:v>
                </c:pt>
              </c:numCache>
            </c:numRef>
          </c:val>
          <c:extLst>
            <c:ext xmlns:c16="http://schemas.microsoft.com/office/drawing/2014/chart" uri="{C3380CC4-5D6E-409C-BE32-E72D297353CC}">
              <c16:uniqueId val="{00000000-52BA-4A24-9473-16E3B2671D0E}"/>
            </c:ext>
          </c:extLst>
        </c:ser>
        <c:dLbls>
          <c:showLegendKey val="0"/>
          <c:showVal val="0"/>
          <c:showCatName val="0"/>
          <c:showSerName val="0"/>
          <c:showPercent val="0"/>
          <c:showBubbleSize val="0"/>
        </c:dLbls>
        <c:gapWidth val="182"/>
        <c:axId val="1112711392"/>
        <c:axId val="1112713312"/>
      </c:barChart>
      <c:catAx>
        <c:axId val="11127113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13312"/>
        <c:crosses val="autoZero"/>
        <c:auto val="1"/>
        <c:lblAlgn val="ctr"/>
        <c:lblOffset val="100"/>
        <c:noMultiLvlLbl val="0"/>
      </c:catAx>
      <c:valAx>
        <c:axId val="1112713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Capacity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711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Machine Utilization vs OEE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'12_bottleneck_analysis'!$E$1</c:f>
              <c:strCache>
                <c:ptCount val="1"/>
                <c:pt idx="0">
                  <c:v>Utilization</c:v>
                </c:pt>
              </c:strCache>
            </c:strRef>
          </c:tx>
          <c:spPr>
            <a:solidFill>
              <a:schemeClr val="accent1"/>
            </a:solidFill>
            <a:ln>
              <a:noFill/>
            </a:ln>
            <a:effectLst/>
          </c:spPr>
          <c:invertIfNegative val="0"/>
          <c:val>
            <c:numRef>
              <c:f>'12_bottleneck_analysis'!$E$2:$E$26</c:f>
              <c:numCache>
                <c:formatCode>General</c:formatCode>
                <c:ptCount val="25"/>
                <c:pt idx="0">
                  <c:v>0.98846126229342601</c:v>
                </c:pt>
                <c:pt idx="1">
                  <c:v>0.95852454275011023</c:v>
                </c:pt>
                <c:pt idx="2">
                  <c:v>0.99482819547678036</c:v>
                </c:pt>
                <c:pt idx="3">
                  <c:v>0.98804226607356938</c:v>
                </c:pt>
                <c:pt idx="4">
                  <c:v>0.99274244931340105</c:v>
                </c:pt>
                <c:pt idx="5">
                  <c:v>0.988963132949364</c:v>
                </c:pt>
                <c:pt idx="6">
                  <c:v>0.99778133045295836</c:v>
                </c:pt>
                <c:pt idx="7">
                  <c:v>0.99888522762079801</c:v>
                </c:pt>
                <c:pt idx="8">
                  <c:v>0.95548053511277087</c:v>
                </c:pt>
                <c:pt idx="9">
                  <c:v>0.9610260316934256</c:v>
                </c:pt>
                <c:pt idx="10">
                  <c:v>0.9946276631221892</c:v>
                </c:pt>
                <c:pt idx="11">
                  <c:v>0.97714760629999886</c:v>
                </c:pt>
                <c:pt idx="12">
                  <c:v>1.0046774126269045</c:v>
                </c:pt>
                <c:pt idx="13">
                  <c:v>1.0394564293587238</c:v>
                </c:pt>
                <c:pt idx="14">
                  <c:v>1.0003184301322603</c:v>
                </c:pt>
                <c:pt idx="15">
                  <c:v>1.0234598908893597</c:v>
                </c:pt>
                <c:pt idx="16">
                  <c:v>1.0187171810338098</c:v>
                </c:pt>
                <c:pt idx="17">
                  <c:v>1.0310815350565177</c:v>
                </c:pt>
                <c:pt idx="18">
                  <c:v>1.0065350733413041</c:v>
                </c:pt>
                <c:pt idx="19">
                  <c:v>1.0124432611731844</c:v>
                </c:pt>
                <c:pt idx="20">
                  <c:v>1.0050726783375703</c:v>
                </c:pt>
                <c:pt idx="21">
                  <c:v>1.0072215467551848</c:v>
                </c:pt>
                <c:pt idx="22">
                  <c:v>1.0292206890545301</c:v>
                </c:pt>
                <c:pt idx="23">
                  <c:v>1.0432127175448418</c:v>
                </c:pt>
                <c:pt idx="24">
                  <c:v>1.0124924420258923</c:v>
                </c:pt>
              </c:numCache>
            </c:numRef>
          </c:val>
          <c:extLst>
            <c:ext xmlns:c16="http://schemas.microsoft.com/office/drawing/2014/chart" uri="{C3380CC4-5D6E-409C-BE32-E72D297353CC}">
              <c16:uniqueId val="{00000000-1312-422C-8FAB-4204B49DE709}"/>
            </c:ext>
          </c:extLst>
        </c:ser>
        <c:ser>
          <c:idx val="1"/>
          <c:order val="1"/>
          <c:tx>
            <c:strRef>
              <c:f>'12_bottleneck_analysis'!$I$1</c:f>
              <c:strCache>
                <c:ptCount val="1"/>
                <c:pt idx="0">
                  <c:v>OEE</c:v>
                </c:pt>
              </c:strCache>
            </c:strRef>
          </c:tx>
          <c:spPr>
            <a:solidFill>
              <a:schemeClr val="accent2"/>
            </a:solidFill>
            <a:ln>
              <a:noFill/>
            </a:ln>
            <a:effectLst/>
          </c:spPr>
          <c:invertIfNegative val="0"/>
          <c:val>
            <c:numRef>
              <c:f>'12_bottleneck_analysis'!$I$2:$I$26</c:f>
              <c:numCache>
                <c:formatCode>General</c:formatCode>
                <c:ptCount val="25"/>
                <c:pt idx="0">
                  <c:v>0.77700468550766366</c:v>
                </c:pt>
                <c:pt idx="1">
                  <c:v>0.74658514314915003</c:v>
                </c:pt>
                <c:pt idx="2">
                  <c:v>0.74027897151379207</c:v>
                </c:pt>
                <c:pt idx="3">
                  <c:v>0.7632174101068524</c:v>
                </c:pt>
                <c:pt idx="4">
                  <c:v>0.76263899671101365</c:v>
                </c:pt>
                <c:pt idx="5">
                  <c:v>0.79393561432470849</c:v>
                </c:pt>
                <c:pt idx="6">
                  <c:v>0.81525428020216262</c:v>
                </c:pt>
                <c:pt idx="7">
                  <c:v>0.75521485331779703</c:v>
                </c:pt>
                <c:pt idx="8">
                  <c:v>0.76945389780095408</c:v>
                </c:pt>
                <c:pt idx="9">
                  <c:v>0.75413551725709149</c:v>
                </c:pt>
                <c:pt idx="10">
                  <c:v>0.77355393952569074</c:v>
                </c:pt>
                <c:pt idx="11">
                  <c:v>0.81481255411174547</c:v>
                </c:pt>
                <c:pt idx="12">
                  <c:v>0.76956226591559407</c:v>
                </c:pt>
                <c:pt idx="13">
                  <c:v>0.74342533711008585</c:v>
                </c:pt>
                <c:pt idx="14">
                  <c:v>0.75470615265327967</c:v>
                </c:pt>
                <c:pt idx="15">
                  <c:v>0.82177924186852491</c:v>
                </c:pt>
                <c:pt idx="16">
                  <c:v>0.78243470425169459</c:v>
                </c:pt>
                <c:pt idx="17">
                  <c:v>0.74466206939267277</c:v>
                </c:pt>
                <c:pt idx="18">
                  <c:v>0.74860987909992072</c:v>
                </c:pt>
                <c:pt idx="19">
                  <c:v>0.76126787340862756</c:v>
                </c:pt>
                <c:pt idx="20">
                  <c:v>0.78128757942840332</c:v>
                </c:pt>
                <c:pt idx="21">
                  <c:v>0.76407081002672017</c:v>
                </c:pt>
                <c:pt idx="22">
                  <c:v>0.76912736080874877</c:v>
                </c:pt>
                <c:pt idx="23">
                  <c:v>0.75561289411597021</c:v>
                </c:pt>
                <c:pt idx="24">
                  <c:v>0.75175528456432572</c:v>
                </c:pt>
              </c:numCache>
            </c:numRef>
          </c:val>
          <c:extLst>
            <c:ext xmlns:c16="http://schemas.microsoft.com/office/drawing/2014/chart" uri="{C3380CC4-5D6E-409C-BE32-E72D297353CC}">
              <c16:uniqueId val="{00000002-1312-422C-8FAB-4204B49DE709}"/>
            </c:ext>
          </c:extLst>
        </c:ser>
        <c:dLbls>
          <c:showLegendKey val="0"/>
          <c:showVal val="0"/>
          <c:showCatName val="0"/>
          <c:showSerName val="0"/>
          <c:showPercent val="0"/>
          <c:showBubbleSize val="0"/>
        </c:dLbls>
        <c:gapWidth val="219"/>
        <c:overlap val="-27"/>
        <c:axId val="595137648"/>
        <c:axId val="595140048"/>
      </c:barChart>
      <c:catAx>
        <c:axId val="595137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ID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40048"/>
        <c:crosses val="autoZero"/>
        <c:auto val="1"/>
        <c:lblAlgn val="ctr"/>
        <c:lblOffset val="100"/>
        <c:noMultiLvlLbl val="0"/>
      </c:catAx>
      <c:valAx>
        <c:axId val="59514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3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Economic Priority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'13_cost_contribution'!$V$22</c:f>
              <c:strCache>
                <c:ptCount val="1"/>
                <c:pt idx="0">
                  <c:v>Components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'13_cost_contribution'!$U$23:$U$25</c:f>
              <c:strCache>
                <c:ptCount val="3"/>
                <c:pt idx="0">
                  <c:v>High Economic Priority</c:v>
                </c:pt>
                <c:pt idx="1">
                  <c:v>Medium Economic Priority</c:v>
                </c:pt>
                <c:pt idx="2">
                  <c:v>Low Economic Priority</c:v>
                </c:pt>
              </c:strCache>
            </c:strRef>
          </c:cat>
          <c:val>
            <c:numRef>
              <c:f>'13_cost_contribution'!$V$23:$V$25</c:f>
              <c:numCache>
                <c:formatCode>General</c:formatCode>
                <c:ptCount val="3"/>
                <c:pt idx="0">
                  <c:v>75</c:v>
                </c:pt>
                <c:pt idx="1">
                  <c:v>75</c:v>
                </c:pt>
                <c:pt idx="2">
                  <c:v>150</c:v>
                </c:pt>
              </c:numCache>
            </c:numRef>
          </c:val>
          <c:extLst>
            <c:ext xmlns:c16="http://schemas.microsoft.com/office/drawing/2014/chart" uri="{C3380CC4-5D6E-409C-BE32-E72D297353CC}">
              <c16:uniqueId val="{00000000-16FD-4CF4-B758-14D335B9A0C9}"/>
            </c:ext>
          </c:extLst>
        </c:ser>
        <c:dLbls>
          <c:dLblPos val="outEnd"/>
          <c:showLegendKey val="0"/>
          <c:showVal val="1"/>
          <c:showCatName val="0"/>
          <c:showSerName val="0"/>
          <c:showPercent val="0"/>
          <c:showBubbleSize val="0"/>
        </c:dLbls>
        <c:gapWidth val="182"/>
        <c:axId val="1128596943"/>
        <c:axId val="1128611823"/>
      </c:barChart>
      <c:catAx>
        <c:axId val="1128596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11823"/>
        <c:crosses val="autoZero"/>
        <c:auto val="1"/>
        <c:lblAlgn val="ctr"/>
        <c:lblOffset val="100"/>
        <c:noMultiLvlLbl val="0"/>
      </c:catAx>
      <c:valAx>
        <c:axId val="112861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596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Final Production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'13_cost_contribution'!$V$28</c:f>
              <c:strCache>
                <c:ptCount val="1"/>
                <c:pt idx="0">
                  <c:v>Components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'13_cost_contribution'!$U$29:$U$32</c:f>
              <c:strCache>
                <c:ptCount val="4"/>
                <c:pt idx="0">
                  <c:v>Critical Priority</c:v>
                </c:pt>
                <c:pt idx="1">
                  <c:v>High Priority</c:v>
                </c:pt>
                <c:pt idx="2">
                  <c:v>Medium Priority</c:v>
                </c:pt>
                <c:pt idx="3">
                  <c:v>Low Priority</c:v>
                </c:pt>
              </c:strCache>
            </c:strRef>
          </c:cat>
          <c:val>
            <c:numRef>
              <c:f>'13_cost_contribution'!$V$29:$V$32</c:f>
              <c:numCache>
                <c:formatCode>General</c:formatCode>
                <c:ptCount val="4"/>
                <c:pt idx="0">
                  <c:v>35</c:v>
                </c:pt>
                <c:pt idx="1">
                  <c:v>116</c:v>
                </c:pt>
                <c:pt idx="2">
                  <c:v>113</c:v>
                </c:pt>
                <c:pt idx="3">
                  <c:v>36</c:v>
                </c:pt>
              </c:numCache>
            </c:numRef>
          </c:val>
          <c:extLst>
            <c:ext xmlns:c16="http://schemas.microsoft.com/office/drawing/2014/chart" uri="{C3380CC4-5D6E-409C-BE32-E72D297353CC}">
              <c16:uniqueId val="{00000000-FED9-45C7-9E50-BEDC3559B512}"/>
            </c:ext>
          </c:extLst>
        </c:ser>
        <c:dLbls>
          <c:dLblPos val="outEnd"/>
          <c:showLegendKey val="0"/>
          <c:showVal val="1"/>
          <c:showCatName val="0"/>
          <c:showSerName val="0"/>
          <c:showPercent val="0"/>
          <c:showBubbleSize val="0"/>
        </c:dLbls>
        <c:gapWidth val="182"/>
        <c:axId val="1128602703"/>
        <c:axId val="1128620463"/>
      </c:barChart>
      <c:catAx>
        <c:axId val="112860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20463"/>
        <c:crosses val="autoZero"/>
        <c:auto val="1"/>
        <c:lblAlgn val="ctr"/>
        <c:lblOffset val="100"/>
        <c:noMultiLvlLbl val="0"/>
      </c:catAx>
      <c:valAx>
        <c:axId val="1128620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02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Components by Contribution per Machine Hour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'13_cost_contribution'!$V$35</c:f>
              <c:strCache>
                <c:ptCount val="1"/>
                <c:pt idx="0">
                  <c:v>Contribution/Machine Hour</c:v>
                </c:pt>
              </c:strCache>
            </c:strRef>
          </c:tx>
          <c:spPr>
            <a:solidFill>
              <a:schemeClr val="accent1"/>
            </a:solidFill>
            <a:ln>
              <a:noFill/>
            </a:ln>
            <a:effectLst/>
          </c:spPr>
          <c:invertIfNegative val="0"/>
          <c:cat>
            <c:strRef>
              <c:f>'13_cost_contribution'!$U$36:$U$45</c:f>
              <c:strCache>
                <c:ptCount val="10"/>
                <c:pt idx="0">
                  <c:v>C027</c:v>
                </c:pt>
                <c:pt idx="1">
                  <c:v>C004</c:v>
                </c:pt>
                <c:pt idx="2">
                  <c:v>C102</c:v>
                </c:pt>
                <c:pt idx="3">
                  <c:v>C176</c:v>
                </c:pt>
                <c:pt idx="4">
                  <c:v>C235</c:v>
                </c:pt>
                <c:pt idx="5">
                  <c:v>C155</c:v>
                </c:pt>
                <c:pt idx="6">
                  <c:v>C141</c:v>
                </c:pt>
                <c:pt idx="7">
                  <c:v>C215</c:v>
                </c:pt>
                <c:pt idx="8">
                  <c:v>C005</c:v>
                </c:pt>
                <c:pt idx="9">
                  <c:v>C089</c:v>
                </c:pt>
              </c:strCache>
            </c:strRef>
          </c:cat>
          <c:val>
            <c:numRef>
              <c:f>'13_cost_contribution'!$V$36:$V$45</c:f>
              <c:numCache>
                <c:formatCode>General</c:formatCode>
                <c:ptCount val="10"/>
                <c:pt idx="0">
                  <c:v>50015.71428571429</c:v>
                </c:pt>
                <c:pt idx="1">
                  <c:v>28138.518518518515</c:v>
                </c:pt>
                <c:pt idx="2">
                  <c:v>27731.092436974792</c:v>
                </c:pt>
                <c:pt idx="3">
                  <c:v>18615.089820359284</c:v>
                </c:pt>
                <c:pt idx="4">
                  <c:v>18382.890173410404</c:v>
                </c:pt>
                <c:pt idx="5">
                  <c:v>17569.772727272728</c:v>
                </c:pt>
                <c:pt idx="6">
                  <c:v>17260.227272727272</c:v>
                </c:pt>
                <c:pt idx="7">
                  <c:v>16675.421686746988</c:v>
                </c:pt>
                <c:pt idx="8">
                  <c:v>16230.265486725668</c:v>
                </c:pt>
                <c:pt idx="9">
                  <c:v>15248.944099378881</c:v>
                </c:pt>
              </c:numCache>
            </c:numRef>
          </c:val>
          <c:extLst>
            <c:ext xmlns:c16="http://schemas.microsoft.com/office/drawing/2014/chart" uri="{C3380CC4-5D6E-409C-BE32-E72D297353CC}">
              <c16:uniqueId val="{00000000-3507-45FD-B20A-F7787A4C29A2}"/>
            </c:ext>
          </c:extLst>
        </c:ser>
        <c:ser>
          <c:idx val="1"/>
          <c:order val="1"/>
          <c:tx>
            <c:strRef>
              <c:f>'13_cost_contribution'!$W$35</c:f>
              <c:strCache>
                <c:ptCount val="1"/>
                <c:pt idx="0">
                  <c:v>Assigned Machine</c:v>
                </c:pt>
              </c:strCache>
            </c:strRef>
          </c:tx>
          <c:spPr>
            <a:solidFill>
              <a:schemeClr val="accent2"/>
            </a:solidFill>
            <a:ln>
              <a:noFill/>
            </a:ln>
            <a:effectLst/>
          </c:spPr>
          <c:invertIfNegative val="0"/>
          <c:cat>
            <c:strRef>
              <c:f>'13_cost_contribution'!$U$36:$U$45</c:f>
              <c:strCache>
                <c:ptCount val="10"/>
                <c:pt idx="0">
                  <c:v>C027</c:v>
                </c:pt>
                <c:pt idx="1">
                  <c:v>C004</c:v>
                </c:pt>
                <c:pt idx="2">
                  <c:v>C102</c:v>
                </c:pt>
                <c:pt idx="3">
                  <c:v>C176</c:v>
                </c:pt>
                <c:pt idx="4">
                  <c:v>C235</c:v>
                </c:pt>
                <c:pt idx="5">
                  <c:v>C155</c:v>
                </c:pt>
                <c:pt idx="6">
                  <c:v>C141</c:v>
                </c:pt>
                <c:pt idx="7">
                  <c:v>C215</c:v>
                </c:pt>
                <c:pt idx="8">
                  <c:v>C005</c:v>
                </c:pt>
                <c:pt idx="9">
                  <c:v>C089</c:v>
                </c:pt>
              </c:strCache>
            </c:strRef>
          </c:cat>
          <c:val>
            <c:numRef>
              <c:f>'13_cost_contribution'!$W$36:$W$45</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3507-45FD-B20A-F7787A4C29A2}"/>
            </c:ext>
          </c:extLst>
        </c:ser>
        <c:dLbls>
          <c:showLegendKey val="0"/>
          <c:showVal val="0"/>
          <c:showCatName val="0"/>
          <c:showSerName val="0"/>
          <c:showPercent val="0"/>
          <c:showBubbleSize val="0"/>
        </c:dLbls>
        <c:gapWidth val="182"/>
        <c:axId val="1128625743"/>
        <c:axId val="1128630543"/>
      </c:barChart>
      <c:catAx>
        <c:axId val="11286257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Component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30543"/>
        <c:crosses val="autoZero"/>
        <c:auto val="1"/>
        <c:lblAlgn val="ctr"/>
        <c:lblOffset val="100"/>
        <c:noMultiLvlLbl val="0"/>
      </c:catAx>
      <c:valAx>
        <c:axId val="11286305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Contribution/Machine</a:t>
                </a:r>
                <a:r>
                  <a:rPr lang="en-IN" baseline="0"/>
                  <a:t> hour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625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t>Overall Capacity Utilization Under 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'14_capacity_scenarios'!$AG$12</c:f>
              <c:strCache>
                <c:ptCount val="1"/>
                <c:pt idx="0">
                  <c:v>Overall Utilization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'14_capacity_scenarios'!$AF$13:$AF$17</c:f>
              <c:strCache>
                <c:ptCount val="5"/>
                <c:pt idx="0">
                  <c:v>Base Case</c:v>
                </c:pt>
                <c:pt idx="1">
                  <c:v>+500 Scheduled Hours</c:v>
                </c:pt>
                <c:pt idx="2">
                  <c:v>-10% Planned Downtime</c:v>
                </c:pt>
                <c:pt idx="3">
                  <c:v>-20% Unplanned Downtime</c:v>
                </c:pt>
                <c:pt idx="4">
                  <c:v>+5% Efficiency</c:v>
                </c:pt>
              </c:strCache>
            </c:strRef>
          </c:cat>
          <c:val>
            <c:numRef>
              <c:f>'14_capacity_scenarios'!$AG$13:$AG$17</c:f>
              <c:numCache>
                <c:formatCode>General</c:formatCode>
                <c:ptCount val="5"/>
                <c:pt idx="0">
                  <c:v>11.692881016914315</c:v>
                </c:pt>
                <c:pt idx="1">
                  <c:v>10.441601900123004</c:v>
                </c:pt>
                <c:pt idx="2">
                  <c:v>11.592115267639905</c:v>
                </c:pt>
                <c:pt idx="3">
                  <c:v>11.54624632921163</c:v>
                </c:pt>
                <c:pt idx="4">
                  <c:v>12.186192134181239</c:v>
                </c:pt>
              </c:numCache>
            </c:numRef>
          </c:val>
          <c:extLst>
            <c:ext xmlns:c16="http://schemas.microsoft.com/office/drawing/2014/chart" uri="{C3380CC4-5D6E-409C-BE32-E72D297353CC}">
              <c16:uniqueId val="{00000000-77CD-485C-882A-4A10A94EE33D}"/>
            </c:ext>
          </c:extLst>
        </c:ser>
        <c:dLbls>
          <c:dLblPos val="outEnd"/>
          <c:showLegendKey val="0"/>
          <c:showVal val="1"/>
          <c:showCatName val="0"/>
          <c:showSerName val="0"/>
          <c:showPercent val="0"/>
          <c:showBubbleSize val="0"/>
        </c:dLbls>
        <c:gapWidth val="182"/>
        <c:axId val="498018464"/>
        <c:axId val="498018944"/>
      </c:barChart>
      <c:catAx>
        <c:axId val="498018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Senario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18944"/>
        <c:crosses val="autoZero"/>
        <c:auto val="1"/>
        <c:lblAlgn val="ctr"/>
        <c:lblOffset val="100"/>
        <c:noMultiLvlLbl val="0"/>
      </c:catAx>
      <c:valAx>
        <c:axId val="498018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Utilization</a:t>
                </a:r>
                <a:r>
                  <a:rPr lang="en-IN" baseline="0"/>
                  <a: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18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Machines in Capacity Shortage by Scenario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'14_capacity_scenarios'!$AG$21</c:f>
              <c:strCache>
                <c:ptCount val="1"/>
                <c:pt idx="0">
                  <c:v>Machines in Shortage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'14_capacity_scenarios'!$AF$22:$AF$26</c:f>
              <c:strCache>
                <c:ptCount val="5"/>
                <c:pt idx="0">
                  <c:v>Base Case</c:v>
                </c:pt>
                <c:pt idx="1">
                  <c:v>+500 Scheduled Hours</c:v>
                </c:pt>
                <c:pt idx="2">
                  <c:v>-10% Planned Downtime</c:v>
                </c:pt>
                <c:pt idx="3">
                  <c:v>-20% Unplanned Downtime</c:v>
                </c:pt>
                <c:pt idx="4">
                  <c:v>+5% Efficiency</c:v>
                </c:pt>
              </c:strCache>
            </c:strRef>
          </c:cat>
          <c:val>
            <c:numRef>
              <c:f>'14_capacity_scenarios'!$AG$22:$AG$26</c:f>
              <c:numCache>
                <c:formatCode>General</c:formatCode>
                <c:ptCount val="5"/>
                <c:pt idx="0">
                  <c:v>13</c:v>
                </c:pt>
                <c:pt idx="1">
                  <c:v>0</c:v>
                </c:pt>
                <c:pt idx="2">
                  <c:v>8</c:v>
                </c:pt>
                <c:pt idx="3">
                  <c:v>6</c:v>
                </c:pt>
                <c:pt idx="4">
                  <c:v>0</c:v>
                </c:pt>
              </c:numCache>
            </c:numRef>
          </c:val>
          <c:extLst>
            <c:ext xmlns:c16="http://schemas.microsoft.com/office/drawing/2014/chart" uri="{C3380CC4-5D6E-409C-BE32-E72D297353CC}">
              <c16:uniqueId val="{00000000-61F3-4C20-9921-574ACCDA0A9C}"/>
            </c:ext>
          </c:extLst>
        </c:ser>
        <c:dLbls>
          <c:dLblPos val="outEnd"/>
          <c:showLegendKey val="0"/>
          <c:showVal val="1"/>
          <c:showCatName val="0"/>
          <c:showSerName val="0"/>
          <c:showPercent val="0"/>
          <c:showBubbleSize val="0"/>
        </c:dLbls>
        <c:gapWidth val="182"/>
        <c:axId val="498016544"/>
        <c:axId val="498019424"/>
      </c:barChart>
      <c:catAx>
        <c:axId val="498016544"/>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Senario</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19424"/>
        <c:crosses val="autoZero"/>
        <c:auto val="1"/>
        <c:lblAlgn val="ctr"/>
        <c:lblOffset val="100"/>
        <c:noMultiLvlLbl val="0"/>
      </c:catAx>
      <c:valAx>
        <c:axId val="498019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r>
                  <a:rPr lang="en-IN" baseline="0"/>
                  <a:t> Of Machines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16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Machine Capacity Surplus / Shortage Under Scenarios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'14_capacity_scenarios'!$AG$30</c:f>
              <c:strCache>
                <c:ptCount val="1"/>
                <c:pt idx="0">
                  <c:v>Base Case</c:v>
                </c:pt>
              </c:strCache>
            </c:strRef>
          </c:tx>
          <c:spPr>
            <a:solidFill>
              <a:schemeClr val="accent1"/>
            </a:solidFill>
            <a:ln>
              <a:noFill/>
            </a:ln>
            <a:effectLst/>
          </c:spPr>
          <c:invertIfNegative val="0"/>
          <c:cat>
            <c:strRef>
              <c:f>'14_capacity_scenarios'!$AF$31:$AF$55</c:f>
              <c:strCache>
                <c:ptCount val="25"/>
                <c:pt idx="0">
                  <c:v>M014</c:v>
                </c:pt>
                <c:pt idx="1">
                  <c:v>M002</c:v>
                </c:pt>
                <c:pt idx="2">
                  <c:v>M020</c:v>
                </c:pt>
                <c:pt idx="3">
                  <c:v>M008</c:v>
                </c:pt>
                <c:pt idx="4">
                  <c:v>M009</c:v>
                </c:pt>
                <c:pt idx="5">
                  <c:v>M013</c:v>
                </c:pt>
                <c:pt idx="6">
                  <c:v>M024</c:v>
                </c:pt>
                <c:pt idx="7">
                  <c:v>M004</c:v>
                </c:pt>
                <c:pt idx="8">
                  <c:v>M011</c:v>
                </c:pt>
                <c:pt idx="9">
                  <c:v>M016</c:v>
                </c:pt>
                <c:pt idx="10">
                  <c:v>M001</c:v>
                </c:pt>
                <c:pt idx="11">
                  <c:v>M022</c:v>
                </c:pt>
                <c:pt idx="12">
                  <c:v>M017</c:v>
                </c:pt>
                <c:pt idx="13">
                  <c:v>M023</c:v>
                </c:pt>
                <c:pt idx="14">
                  <c:v>M005</c:v>
                </c:pt>
                <c:pt idx="15">
                  <c:v>M007</c:v>
                </c:pt>
                <c:pt idx="16">
                  <c:v>M010</c:v>
                </c:pt>
                <c:pt idx="17">
                  <c:v>M018</c:v>
                </c:pt>
                <c:pt idx="18">
                  <c:v>M006</c:v>
                </c:pt>
                <c:pt idx="19">
                  <c:v>M021</c:v>
                </c:pt>
                <c:pt idx="20">
                  <c:v>M003</c:v>
                </c:pt>
                <c:pt idx="21">
                  <c:v>M025</c:v>
                </c:pt>
                <c:pt idx="22">
                  <c:v>M015</c:v>
                </c:pt>
                <c:pt idx="23">
                  <c:v>M019</c:v>
                </c:pt>
                <c:pt idx="24">
                  <c:v>M012</c:v>
                </c:pt>
              </c:strCache>
            </c:strRef>
          </c:cat>
          <c:val>
            <c:numRef>
              <c:f>'14_capacity_scenarios'!$AG$31:$AG$55</c:f>
              <c:numCache>
                <c:formatCode>General</c:formatCode>
                <c:ptCount val="25"/>
                <c:pt idx="0">
                  <c:v>-51.318000000000211</c:v>
                </c:pt>
                <c:pt idx="1">
                  <c:v>-158.46333333333268</c:v>
                </c:pt>
                <c:pt idx="2">
                  <c:v>-172.94766666666783</c:v>
                </c:pt>
                <c:pt idx="3">
                  <c:v>180.6869999999999</c:v>
                </c:pt>
                <c:pt idx="4">
                  <c:v>21.709166666666533</c:v>
                </c:pt>
                <c:pt idx="5">
                  <c:v>-27.111666666667588</c:v>
                </c:pt>
                <c:pt idx="6">
                  <c:v>22.553499999999985</c:v>
                </c:pt>
                <c:pt idx="7">
                  <c:v>-95.693833333334169</c:v>
                </c:pt>
                <c:pt idx="8">
                  <c:v>30.527000000000044</c:v>
                </c:pt>
                <c:pt idx="9">
                  <c:v>4.6584999999995489</c:v>
                </c:pt>
                <c:pt idx="10">
                  <c:v>-19.436333333334005</c:v>
                </c:pt>
                <c:pt idx="11">
                  <c:v>194.54650000000038</c:v>
                </c:pt>
                <c:pt idx="12">
                  <c:v>-21.071500000000015</c:v>
                </c:pt>
                <c:pt idx="13">
                  <c:v>169.34033333333355</c:v>
                </c:pt>
                <c:pt idx="14">
                  <c:v>-76.707500000000437</c:v>
                </c:pt>
                <c:pt idx="15">
                  <c:v>48.745166666667501</c:v>
                </c:pt>
                <c:pt idx="16">
                  <c:v>50.538166666666257</c:v>
                </c:pt>
                <c:pt idx="17">
                  <c:v>-29.935333333332892</c:v>
                </c:pt>
                <c:pt idx="18">
                  <c:v>-125.82800000000134</c:v>
                </c:pt>
                <c:pt idx="19">
                  <c:v>-51.514833333331808</c:v>
                </c:pt>
                <c:pt idx="20">
                  <c:v>-1.3290000000015425</c:v>
                </c:pt>
                <c:pt idx="21">
                  <c:v>97.658333333332848</c:v>
                </c:pt>
                <c:pt idx="22">
                  <c:v>9.2843333333321425</c:v>
                </c:pt>
                <c:pt idx="23">
                  <c:v>-118.54716666666673</c:v>
                </c:pt>
                <c:pt idx="24">
                  <c:v>46.603833333333569</c:v>
                </c:pt>
              </c:numCache>
            </c:numRef>
          </c:val>
          <c:extLst>
            <c:ext xmlns:c16="http://schemas.microsoft.com/office/drawing/2014/chart" uri="{C3380CC4-5D6E-409C-BE32-E72D297353CC}">
              <c16:uniqueId val="{00000000-8F82-42E0-95F0-2F8D51748CDD}"/>
            </c:ext>
          </c:extLst>
        </c:ser>
        <c:ser>
          <c:idx val="1"/>
          <c:order val="1"/>
          <c:tx>
            <c:strRef>
              <c:f>'14_capacity_scenarios'!$AH$30</c:f>
              <c:strCache>
                <c:ptCount val="1"/>
                <c:pt idx="0">
                  <c:v>+500 Hours</c:v>
                </c:pt>
              </c:strCache>
            </c:strRef>
          </c:tx>
          <c:spPr>
            <a:solidFill>
              <a:schemeClr val="accent2"/>
            </a:solidFill>
            <a:ln>
              <a:noFill/>
            </a:ln>
            <a:effectLst/>
          </c:spPr>
          <c:invertIfNegative val="0"/>
          <c:cat>
            <c:strRef>
              <c:f>'14_capacity_scenarios'!$AF$31:$AF$55</c:f>
              <c:strCache>
                <c:ptCount val="25"/>
                <c:pt idx="0">
                  <c:v>M014</c:v>
                </c:pt>
                <c:pt idx="1">
                  <c:v>M002</c:v>
                </c:pt>
                <c:pt idx="2">
                  <c:v>M020</c:v>
                </c:pt>
                <c:pt idx="3">
                  <c:v>M008</c:v>
                </c:pt>
                <c:pt idx="4">
                  <c:v>M009</c:v>
                </c:pt>
                <c:pt idx="5">
                  <c:v>M013</c:v>
                </c:pt>
                <c:pt idx="6">
                  <c:v>M024</c:v>
                </c:pt>
                <c:pt idx="7">
                  <c:v>M004</c:v>
                </c:pt>
                <c:pt idx="8">
                  <c:v>M011</c:v>
                </c:pt>
                <c:pt idx="9">
                  <c:v>M016</c:v>
                </c:pt>
                <c:pt idx="10">
                  <c:v>M001</c:v>
                </c:pt>
                <c:pt idx="11">
                  <c:v>M022</c:v>
                </c:pt>
                <c:pt idx="12">
                  <c:v>M017</c:v>
                </c:pt>
                <c:pt idx="13">
                  <c:v>M023</c:v>
                </c:pt>
                <c:pt idx="14">
                  <c:v>M005</c:v>
                </c:pt>
                <c:pt idx="15">
                  <c:v>M007</c:v>
                </c:pt>
                <c:pt idx="16">
                  <c:v>M010</c:v>
                </c:pt>
                <c:pt idx="17">
                  <c:v>M018</c:v>
                </c:pt>
                <c:pt idx="18">
                  <c:v>M006</c:v>
                </c:pt>
                <c:pt idx="19">
                  <c:v>M021</c:v>
                </c:pt>
                <c:pt idx="20">
                  <c:v>M003</c:v>
                </c:pt>
                <c:pt idx="21">
                  <c:v>M025</c:v>
                </c:pt>
                <c:pt idx="22">
                  <c:v>M015</c:v>
                </c:pt>
                <c:pt idx="23">
                  <c:v>M019</c:v>
                </c:pt>
                <c:pt idx="24">
                  <c:v>M012</c:v>
                </c:pt>
              </c:strCache>
            </c:strRef>
          </c:cat>
          <c:val>
            <c:numRef>
              <c:f>'14_capacity_scenarios'!$AH$31:$AH$55</c:f>
              <c:numCache>
                <c:formatCode>General</c:formatCode>
                <c:ptCount val="25"/>
                <c:pt idx="0">
                  <c:v>448.68199999999979</c:v>
                </c:pt>
                <c:pt idx="1">
                  <c:v>341.53666666666686</c:v>
                </c:pt>
                <c:pt idx="2">
                  <c:v>327.05233333333217</c:v>
                </c:pt>
                <c:pt idx="3">
                  <c:v>680.6869999999999</c:v>
                </c:pt>
                <c:pt idx="4">
                  <c:v>521.70916666666653</c:v>
                </c:pt>
                <c:pt idx="5">
                  <c:v>472.88833333333241</c:v>
                </c:pt>
                <c:pt idx="6">
                  <c:v>522.55349999999999</c:v>
                </c:pt>
                <c:pt idx="7">
                  <c:v>404.30616666666629</c:v>
                </c:pt>
                <c:pt idx="8">
                  <c:v>530.52700000000004</c:v>
                </c:pt>
                <c:pt idx="9">
                  <c:v>504.65849999999955</c:v>
                </c:pt>
                <c:pt idx="10">
                  <c:v>480.56366666666599</c:v>
                </c:pt>
                <c:pt idx="11">
                  <c:v>694.54650000000038</c:v>
                </c:pt>
                <c:pt idx="12">
                  <c:v>478.92849999999999</c:v>
                </c:pt>
                <c:pt idx="13">
                  <c:v>669.34033333333355</c:v>
                </c:pt>
                <c:pt idx="14">
                  <c:v>423.29249999999956</c:v>
                </c:pt>
                <c:pt idx="15">
                  <c:v>548.7451666666675</c:v>
                </c:pt>
                <c:pt idx="16">
                  <c:v>550.53816666666626</c:v>
                </c:pt>
                <c:pt idx="17">
                  <c:v>470.06466666666711</c:v>
                </c:pt>
                <c:pt idx="18">
                  <c:v>374.17199999999866</c:v>
                </c:pt>
                <c:pt idx="19">
                  <c:v>448.48516666666819</c:v>
                </c:pt>
                <c:pt idx="20">
                  <c:v>498.67099999999846</c:v>
                </c:pt>
                <c:pt idx="21">
                  <c:v>597.65833333333285</c:v>
                </c:pt>
                <c:pt idx="22">
                  <c:v>509.28433333333214</c:v>
                </c:pt>
                <c:pt idx="23">
                  <c:v>381.45283333333282</c:v>
                </c:pt>
                <c:pt idx="24">
                  <c:v>546.60383333333357</c:v>
                </c:pt>
              </c:numCache>
            </c:numRef>
          </c:val>
          <c:extLst>
            <c:ext xmlns:c16="http://schemas.microsoft.com/office/drawing/2014/chart" uri="{C3380CC4-5D6E-409C-BE32-E72D297353CC}">
              <c16:uniqueId val="{00000001-8F82-42E0-95F0-2F8D51748CDD}"/>
            </c:ext>
          </c:extLst>
        </c:ser>
        <c:ser>
          <c:idx val="2"/>
          <c:order val="2"/>
          <c:tx>
            <c:strRef>
              <c:f>'14_capacity_scenarios'!$AI$30</c:f>
              <c:strCache>
                <c:ptCount val="1"/>
                <c:pt idx="0">
                  <c:v>-10% Planned DT</c:v>
                </c:pt>
              </c:strCache>
            </c:strRef>
          </c:tx>
          <c:spPr>
            <a:solidFill>
              <a:schemeClr val="accent3"/>
            </a:solidFill>
            <a:ln>
              <a:noFill/>
            </a:ln>
            <a:effectLst/>
          </c:spPr>
          <c:invertIfNegative val="0"/>
          <c:cat>
            <c:strRef>
              <c:f>'14_capacity_scenarios'!$AF$31:$AF$55</c:f>
              <c:strCache>
                <c:ptCount val="25"/>
                <c:pt idx="0">
                  <c:v>M014</c:v>
                </c:pt>
                <c:pt idx="1">
                  <c:v>M002</c:v>
                </c:pt>
                <c:pt idx="2">
                  <c:v>M020</c:v>
                </c:pt>
                <c:pt idx="3">
                  <c:v>M008</c:v>
                </c:pt>
                <c:pt idx="4">
                  <c:v>M009</c:v>
                </c:pt>
                <c:pt idx="5">
                  <c:v>M013</c:v>
                </c:pt>
                <c:pt idx="6">
                  <c:v>M024</c:v>
                </c:pt>
                <c:pt idx="7">
                  <c:v>M004</c:v>
                </c:pt>
                <c:pt idx="8">
                  <c:v>M011</c:v>
                </c:pt>
                <c:pt idx="9">
                  <c:v>M016</c:v>
                </c:pt>
                <c:pt idx="10">
                  <c:v>M001</c:v>
                </c:pt>
                <c:pt idx="11">
                  <c:v>M022</c:v>
                </c:pt>
                <c:pt idx="12">
                  <c:v>M017</c:v>
                </c:pt>
                <c:pt idx="13">
                  <c:v>M023</c:v>
                </c:pt>
                <c:pt idx="14">
                  <c:v>M005</c:v>
                </c:pt>
                <c:pt idx="15">
                  <c:v>M007</c:v>
                </c:pt>
                <c:pt idx="16">
                  <c:v>M010</c:v>
                </c:pt>
                <c:pt idx="17">
                  <c:v>M018</c:v>
                </c:pt>
                <c:pt idx="18">
                  <c:v>M006</c:v>
                </c:pt>
                <c:pt idx="19">
                  <c:v>M021</c:v>
                </c:pt>
                <c:pt idx="20">
                  <c:v>M003</c:v>
                </c:pt>
                <c:pt idx="21">
                  <c:v>M025</c:v>
                </c:pt>
                <c:pt idx="22">
                  <c:v>M015</c:v>
                </c:pt>
                <c:pt idx="23">
                  <c:v>M019</c:v>
                </c:pt>
                <c:pt idx="24">
                  <c:v>M012</c:v>
                </c:pt>
              </c:strCache>
            </c:strRef>
          </c:cat>
          <c:val>
            <c:numRef>
              <c:f>'14_capacity_scenarios'!$AI$31:$AI$55</c:f>
              <c:numCache>
                <c:formatCode>General</c:formatCode>
                <c:ptCount val="25"/>
                <c:pt idx="0">
                  <c:v>-18.918000000000575</c:v>
                </c:pt>
                <c:pt idx="1">
                  <c:v>-115.93533333333335</c:v>
                </c:pt>
                <c:pt idx="2">
                  <c:v>-129.65166666666755</c:v>
                </c:pt>
                <c:pt idx="3">
                  <c:v>208.38299999999981</c:v>
                </c:pt>
                <c:pt idx="4">
                  <c:v>54.493166666667094</c:v>
                </c:pt>
                <c:pt idx="5">
                  <c:v>5.8643333333329792</c:v>
                </c:pt>
                <c:pt idx="6">
                  <c:v>50.201499999999214</c:v>
                </c:pt>
                <c:pt idx="7">
                  <c:v>-52.54183333333367</c:v>
                </c:pt>
                <c:pt idx="8">
                  <c:v>71.519000000000233</c:v>
                </c:pt>
                <c:pt idx="9">
                  <c:v>33.218500000000859</c:v>
                </c:pt>
                <c:pt idx="10">
                  <c:v>13.347666666666555</c:v>
                </c:pt>
                <c:pt idx="11">
                  <c:v>221.09050000000025</c:v>
                </c:pt>
                <c:pt idx="12">
                  <c:v>18.000500000000102</c:v>
                </c:pt>
                <c:pt idx="13">
                  <c:v>196.26833333333343</c:v>
                </c:pt>
                <c:pt idx="14">
                  <c:v>-29.043499999999767</c:v>
                </c:pt>
                <c:pt idx="15">
                  <c:v>91.465166666667756</c:v>
                </c:pt>
                <c:pt idx="16">
                  <c:v>83.898166666666839</c:v>
                </c:pt>
                <c:pt idx="17">
                  <c:v>7.9366666666674064</c:v>
                </c:pt>
                <c:pt idx="18">
                  <c:v>-79.940000000001419</c:v>
                </c:pt>
                <c:pt idx="19">
                  <c:v>-14.218833333331531</c:v>
                </c:pt>
                <c:pt idx="20">
                  <c:v>26.846999999998843</c:v>
                </c:pt>
                <c:pt idx="21">
                  <c:v>130.73033333333296</c:v>
                </c:pt>
                <c:pt idx="22">
                  <c:v>53.540333333332455</c:v>
                </c:pt>
                <c:pt idx="23">
                  <c:v>-79.09116666666705</c:v>
                </c:pt>
                <c:pt idx="24">
                  <c:v>86.203833333333932</c:v>
                </c:pt>
              </c:numCache>
            </c:numRef>
          </c:val>
          <c:extLst>
            <c:ext xmlns:c16="http://schemas.microsoft.com/office/drawing/2014/chart" uri="{C3380CC4-5D6E-409C-BE32-E72D297353CC}">
              <c16:uniqueId val="{00000002-8F82-42E0-95F0-2F8D51748CDD}"/>
            </c:ext>
          </c:extLst>
        </c:ser>
        <c:ser>
          <c:idx val="3"/>
          <c:order val="3"/>
          <c:tx>
            <c:strRef>
              <c:f>'14_capacity_scenarios'!$AJ$30</c:f>
              <c:strCache>
                <c:ptCount val="1"/>
                <c:pt idx="0">
                  <c:v>-20% Unplanned DT</c:v>
                </c:pt>
              </c:strCache>
            </c:strRef>
          </c:tx>
          <c:spPr>
            <a:solidFill>
              <a:schemeClr val="accent4"/>
            </a:solidFill>
            <a:ln>
              <a:noFill/>
            </a:ln>
            <a:effectLst/>
          </c:spPr>
          <c:invertIfNegative val="0"/>
          <c:cat>
            <c:strRef>
              <c:f>'14_capacity_scenarios'!$AF$31:$AF$55</c:f>
              <c:strCache>
                <c:ptCount val="25"/>
                <c:pt idx="0">
                  <c:v>M014</c:v>
                </c:pt>
                <c:pt idx="1">
                  <c:v>M002</c:v>
                </c:pt>
                <c:pt idx="2">
                  <c:v>M020</c:v>
                </c:pt>
                <c:pt idx="3">
                  <c:v>M008</c:v>
                </c:pt>
                <c:pt idx="4">
                  <c:v>M009</c:v>
                </c:pt>
                <c:pt idx="5">
                  <c:v>M013</c:v>
                </c:pt>
                <c:pt idx="6">
                  <c:v>M024</c:v>
                </c:pt>
                <c:pt idx="7">
                  <c:v>M004</c:v>
                </c:pt>
                <c:pt idx="8">
                  <c:v>M011</c:v>
                </c:pt>
                <c:pt idx="9">
                  <c:v>M016</c:v>
                </c:pt>
                <c:pt idx="10">
                  <c:v>M001</c:v>
                </c:pt>
                <c:pt idx="11">
                  <c:v>M022</c:v>
                </c:pt>
                <c:pt idx="12">
                  <c:v>M017</c:v>
                </c:pt>
                <c:pt idx="13">
                  <c:v>M023</c:v>
                </c:pt>
                <c:pt idx="14">
                  <c:v>M005</c:v>
                </c:pt>
                <c:pt idx="15">
                  <c:v>M007</c:v>
                </c:pt>
                <c:pt idx="16">
                  <c:v>M010</c:v>
                </c:pt>
                <c:pt idx="17">
                  <c:v>M018</c:v>
                </c:pt>
                <c:pt idx="18">
                  <c:v>M006</c:v>
                </c:pt>
                <c:pt idx="19">
                  <c:v>M021</c:v>
                </c:pt>
                <c:pt idx="20">
                  <c:v>M003</c:v>
                </c:pt>
                <c:pt idx="21">
                  <c:v>M025</c:v>
                </c:pt>
                <c:pt idx="22">
                  <c:v>M015</c:v>
                </c:pt>
                <c:pt idx="23">
                  <c:v>M019</c:v>
                </c:pt>
                <c:pt idx="24">
                  <c:v>M012</c:v>
                </c:pt>
              </c:strCache>
            </c:strRef>
          </c:cat>
          <c:val>
            <c:numRef>
              <c:f>'14_capacity_scenarios'!$AJ$31:$AJ$55</c:f>
              <c:numCache>
                <c:formatCode>General</c:formatCode>
                <c:ptCount val="25"/>
                <c:pt idx="0">
                  <c:v>19.050000000000182</c:v>
                </c:pt>
                <c:pt idx="1">
                  <c:v>-86.751333333332695</c:v>
                </c:pt>
                <c:pt idx="2">
                  <c:v>-99.987666666667792</c:v>
                </c:pt>
                <c:pt idx="3">
                  <c:v>213.99900000000071</c:v>
                </c:pt>
                <c:pt idx="4">
                  <c:v>76.621166666666795</c:v>
                </c:pt>
                <c:pt idx="5">
                  <c:v>37.20833333333303</c:v>
                </c:pt>
                <c:pt idx="6">
                  <c:v>87.641499999999724</c:v>
                </c:pt>
                <c:pt idx="7">
                  <c:v>-37.805833333333794</c:v>
                </c:pt>
                <c:pt idx="8">
                  <c:v>67.295000000000073</c:v>
                </c:pt>
                <c:pt idx="9">
                  <c:v>71.762499999999818</c:v>
                </c:pt>
                <c:pt idx="10">
                  <c:v>43.923666666666577</c:v>
                </c:pt>
                <c:pt idx="11">
                  <c:v>227.47450000000026</c:v>
                </c:pt>
                <c:pt idx="12">
                  <c:v>30.000500000000102</c:v>
                </c:pt>
                <c:pt idx="13">
                  <c:v>206.49233333333359</c:v>
                </c:pt>
                <c:pt idx="14">
                  <c:v>-31.683500000001004</c:v>
                </c:pt>
                <c:pt idx="15">
                  <c:v>78.409166666667261</c:v>
                </c:pt>
                <c:pt idx="16">
                  <c:v>98.538166666666257</c:v>
                </c:pt>
                <c:pt idx="17">
                  <c:v>25.264666666666926</c:v>
                </c:pt>
                <c:pt idx="18">
                  <c:v>-67.268000000000939</c:v>
                </c:pt>
                <c:pt idx="19">
                  <c:v>9.1571666666677629</c:v>
                </c:pt>
                <c:pt idx="20">
                  <c:v>67.598999999999251</c:v>
                </c:pt>
                <c:pt idx="21">
                  <c:v>136.82633333333342</c:v>
                </c:pt>
                <c:pt idx="22">
                  <c:v>43.844333333332543</c:v>
                </c:pt>
                <c:pt idx="23">
                  <c:v>-48.851166666666359</c:v>
                </c:pt>
                <c:pt idx="24">
                  <c:v>82.891833333333125</c:v>
                </c:pt>
              </c:numCache>
            </c:numRef>
          </c:val>
          <c:extLst>
            <c:ext xmlns:c16="http://schemas.microsoft.com/office/drawing/2014/chart" uri="{C3380CC4-5D6E-409C-BE32-E72D297353CC}">
              <c16:uniqueId val="{00000003-8F82-42E0-95F0-2F8D51748CDD}"/>
            </c:ext>
          </c:extLst>
        </c:ser>
        <c:ser>
          <c:idx val="4"/>
          <c:order val="4"/>
          <c:tx>
            <c:strRef>
              <c:f>'14_capacity_scenarios'!$AK$30</c:f>
              <c:strCache>
                <c:ptCount val="1"/>
                <c:pt idx="0">
                  <c:v>+5% Efficiency</c:v>
                </c:pt>
              </c:strCache>
            </c:strRef>
          </c:tx>
          <c:spPr>
            <a:solidFill>
              <a:schemeClr val="accent5"/>
            </a:solidFill>
            <a:ln>
              <a:noFill/>
            </a:ln>
            <a:effectLst/>
          </c:spPr>
          <c:invertIfNegative val="0"/>
          <c:cat>
            <c:strRef>
              <c:f>'14_capacity_scenarios'!$AF$31:$AF$55</c:f>
              <c:strCache>
                <c:ptCount val="25"/>
                <c:pt idx="0">
                  <c:v>M014</c:v>
                </c:pt>
                <c:pt idx="1">
                  <c:v>M002</c:v>
                </c:pt>
                <c:pt idx="2">
                  <c:v>M020</c:v>
                </c:pt>
                <c:pt idx="3">
                  <c:v>M008</c:v>
                </c:pt>
                <c:pt idx="4">
                  <c:v>M009</c:v>
                </c:pt>
                <c:pt idx="5">
                  <c:v>M013</c:v>
                </c:pt>
                <c:pt idx="6">
                  <c:v>M024</c:v>
                </c:pt>
                <c:pt idx="7">
                  <c:v>M004</c:v>
                </c:pt>
                <c:pt idx="8">
                  <c:v>M011</c:v>
                </c:pt>
                <c:pt idx="9">
                  <c:v>M016</c:v>
                </c:pt>
                <c:pt idx="10">
                  <c:v>M001</c:v>
                </c:pt>
                <c:pt idx="11">
                  <c:v>M022</c:v>
                </c:pt>
                <c:pt idx="12">
                  <c:v>M017</c:v>
                </c:pt>
                <c:pt idx="13">
                  <c:v>M023</c:v>
                </c:pt>
                <c:pt idx="14">
                  <c:v>M005</c:v>
                </c:pt>
                <c:pt idx="15">
                  <c:v>M007</c:v>
                </c:pt>
                <c:pt idx="16">
                  <c:v>M010</c:v>
                </c:pt>
                <c:pt idx="17">
                  <c:v>M018</c:v>
                </c:pt>
                <c:pt idx="18">
                  <c:v>M006</c:v>
                </c:pt>
                <c:pt idx="19">
                  <c:v>M021</c:v>
                </c:pt>
                <c:pt idx="20">
                  <c:v>M003</c:v>
                </c:pt>
                <c:pt idx="21">
                  <c:v>M025</c:v>
                </c:pt>
                <c:pt idx="22">
                  <c:v>M015</c:v>
                </c:pt>
                <c:pt idx="23">
                  <c:v>M019</c:v>
                </c:pt>
                <c:pt idx="24">
                  <c:v>M012</c:v>
                </c:pt>
              </c:strCache>
            </c:strRef>
          </c:cat>
          <c:val>
            <c:numRef>
              <c:f>'14_capacity_scenarios'!$AK$31:$AK$55</c:f>
              <c:numCache>
                <c:formatCode>General</c:formatCode>
                <c:ptCount val="25"/>
                <c:pt idx="0">
                  <c:v>147.51428571428551</c:v>
                </c:pt>
                <c:pt idx="1">
                  <c:v>40.328253968254558</c:v>
                </c:pt>
                <c:pt idx="2">
                  <c:v>25.870793650792621</c:v>
                </c:pt>
                <c:pt idx="3">
                  <c:v>379.53428571428594</c:v>
                </c:pt>
                <c:pt idx="4">
                  <c:v>220.56111111111113</c:v>
                </c:pt>
                <c:pt idx="5">
                  <c:v>171.73365079365021</c:v>
                </c:pt>
                <c:pt idx="6">
                  <c:v>221.3880952380955</c:v>
                </c:pt>
                <c:pt idx="7">
                  <c:v>103.10301587301501</c:v>
                </c:pt>
                <c:pt idx="8">
                  <c:v>229.37047619047644</c:v>
                </c:pt>
                <c:pt idx="9">
                  <c:v>203.43095238095202</c:v>
                </c:pt>
                <c:pt idx="10">
                  <c:v>179.36349206349178</c:v>
                </c:pt>
                <c:pt idx="11">
                  <c:v>393.37380952381</c:v>
                </c:pt>
                <c:pt idx="12">
                  <c:v>177.73761904761932</c:v>
                </c:pt>
                <c:pt idx="13">
                  <c:v>368.17936507936565</c:v>
                </c:pt>
                <c:pt idx="14">
                  <c:v>122.09952380952336</c:v>
                </c:pt>
                <c:pt idx="15">
                  <c:v>247.58968253968351</c:v>
                </c:pt>
                <c:pt idx="16">
                  <c:v>249.38873015873014</c:v>
                </c:pt>
                <c:pt idx="17">
                  <c:v>168.88444444444485</c:v>
                </c:pt>
                <c:pt idx="18">
                  <c:v>72.94095238095133</c:v>
                </c:pt>
                <c:pt idx="19">
                  <c:v>147.30396825396974</c:v>
                </c:pt>
                <c:pt idx="20">
                  <c:v>197.47714285714164</c:v>
                </c:pt>
                <c:pt idx="21">
                  <c:v>296.50507936507893</c:v>
                </c:pt>
                <c:pt idx="22">
                  <c:v>208.11079365079286</c:v>
                </c:pt>
                <c:pt idx="23">
                  <c:v>80.28650793650786</c:v>
                </c:pt>
                <c:pt idx="24">
                  <c:v>245.45888888888931</c:v>
                </c:pt>
              </c:numCache>
            </c:numRef>
          </c:val>
          <c:extLst>
            <c:ext xmlns:c16="http://schemas.microsoft.com/office/drawing/2014/chart" uri="{C3380CC4-5D6E-409C-BE32-E72D297353CC}">
              <c16:uniqueId val="{00000004-8F82-42E0-95F0-2F8D51748CDD}"/>
            </c:ext>
          </c:extLst>
        </c:ser>
        <c:dLbls>
          <c:showLegendKey val="0"/>
          <c:showVal val="0"/>
          <c:showCatName val="0"/>
          <c:showSerName val="0"/>
          <c:showPercent val="0"/>
          <c:showBubbleSize val="0"/>
        </c:dLbls>
        <c:gapWidth val="219"/>
        <c:overlap val="-27"/>
        <c:axId val="498032384"/>
        <c:axId val="498034784"/>
      </c:barChart>
      <c:catAx>
        <c:axId val="49803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34784"/>
        <c:crosses val="autoZero"/>
        <c:auto val="1"/>
        <c:lblAlgn val="ctr"/>
        <c:lblOffset val="100"/>
        <c:noMultiLvlLbl val="0"/>
      </c:catAx>
      <c:valAx>
        <c:axId val="49803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03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Machines in Capacity Shortage by Scenario</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'14_capacity_scenarios'!$AF$22</c:f>
              <c:strCache>
                <c:ptCount val="1"/>
                <c:pt idx="0">
                  <c:v>Base Case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'14_capacity_scenarios'!$AG$21</c:f>
              <c:strCache>
                <c:ptCount val="1"/>
                <c:pt idx="0">
                  <c:v>Machines in Shortage</c:v>
                </c:pt>
              </c:strCache>
            </c:strRef>
          </c:cat>
          <c:val>
            <c:numRef>
              <c:f>'14_capacity_scenarios'!$AG$22</c:f>
              <c:numCache>
                <c:formatCode>General</c:formatCode>
                <c:ptCount val="1"/>
                <c:pt idx="0">
                  <c:v>13</c:v>
                </c:pt>
              </c:numCache>
            </c:numRef>
          </c:val>
          <c:extLst>
            <c:ext xmlns:c16="http://schemas.microsoft.com/office/drawing/2014/chart" uri="{C3380CC4-5D6E-409C-BE32-E72D297353CC}">
              <c16:uniqueId val="{00000000-AB77-41D0-BE92-E36D7F5CE940}"/>
            </c:ext>
          </c:extLst>
        </c:ser>
        <c:ser>
          <c:idx val="1"/>
          <c:order val="1"/>
          <c:tx>
            <c:strRef>
              <c:f>'14_capacity_scenarios'!$AF$23</c:f>
              <c:strCache>
                <c:ptCount val="1"/>
                <c:pt idx="0">
                  <c:v>+500 Scheduled 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'14_capacity_scenarios'!$AG$21</c:f>
              <c:strCache>
                <c:ptCount val="1"/>
                <c:pt idx="0">
                  <c:v>Machines in Shortage</c:v>
                </c:pt>
              </c:strCache>
            </c:strRef>
          </c:cat>
          <c:val>
            <c:numRef>
              <c:f>'14_capacity_scenarios'!$AG$23</c:f>
              <c:numCache>
                <c:formatCode>General</c:formatCode>
                <c:ptCount val="1"/>
                <c:pt idx="0">
                  <c:v>0</c:v>
                </c:pt>
              </c:numCache>
            </c:numRef>
          </c:val>
          <c:extLst>
            <c:ext xmlns:c16="http://schemas.microsoft.com/office/drawing/2014/chart" uri="{C3380CC4-5D6E-409C-BE32-E72D297353CC}">
              <c16:uniqueId val="{00000001-AB77-41D0-BE92-E36D7F5CE940}"/>
            </c:ext>
          </c:extLst>
        </c:ser>
        <c:ser>
          <c:idx val="2"/>
          <c:order val="2"/>
          <c:tx>
            <c:strRef>
              <c:f>'14_capacity_scenarios'!$AF$24</c:f>
              <c:strCache>
                <c:ptCount val="1"/>
                <c:pt idx="0">
                  <c:v>-10% Planned Downtime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'14_capacity_scenarios'!$AG$21</c:f>
              <c:strCache>
                <c:ptCount val="1"/>
                <c:pt idx="0">
                  <c:v>Machines in Shortage</c:v>
                </c:pt>
              </c:strCache>
            </c:strRef>
          </c:cat>
          <c:val>
            <c:numRef>
              <c:f>'14_capacity_scenarios'!$AG$24</c:f>
              <c:numCache>
                <c:formatCode>General</c:formatCode>
                <c:ptCount val="1"/>
                <c:pt idx="0">
                  <c:v>8</c:v>
                </c:pt>
              </c:numCache>
            </c:numRef>
          </c:val>
          <c:extLst>
            <c:ext xmlns:c16="http://schemas.microsoft.com/office/drawing/2014/chart" uri="{C3380CC4-5D6E-409C-BE32-E72D297353CC}">
              <c16:uniqueId val="{00000002-AB77-41D0-BE92-E36D7F5CE940}"/>
            </c:ext>
          </c:extLst>
        </c:ser>
        <c:ser>
          <c:idx val="3"/>
          <c:order val="3"/>
          <c:tx>
            <c:strRef>
              <c:f>'14_capacity_scenarios'!$AF$25</c:f>
              <c:strCache>
                <c:ptCount val="1"/>
                <c:pt idx="0">
                  <c:v>-20% Unplanned Downtime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'14_capacity_scenarios'!$AG$21</c:f>
              <c:strCache>
                <c:ptCount val="1"/>
                <c:pt idx="0">
                  <c:v>Machines in Shortage</c:v>
                </c:pt>
              </c:strCache>
            </c:strRef>
          </c:cat>
          <c:val>
            <c:numRef>
              <c:f>'14_capacity_scenarios'!$AG$25</c:f>
              <c:numCache>
                <c:formatCode>General</c:formatCode>
                <c:ptCount val="1"/>
                <c:pt idx="0">
                  <c:v>6</c:v>
                </c:pt>
              </c:numCache>
            </c:numRef>
          </c:val>
          <c:extLst>
            <c:ext xmlns:c16="http://schemas.microsoft.com/office/drawing/2014/chart" uri="{C3380CC4-5D6E-409C-BE32-E72D297353CC}">
              <c16:uniqueId val="{00000003-AB77-41D0-BE92-E36D7F5CE940}"/>
            </c:ext>
          </c:extLst>
        </c:ser>
        <c:ser>
          <c:idx val="4"/>
          <c:order val="4"/>
          <c:tx>
            <c:strRef>
              <c:f>'14_capacity_scenarios'!$AF$26</c:f>
              <c:strCache>
                <c:ptCount val="1"/>
                <c:pt idx="0">
                  <c:v>+5% Efficiency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'14_capacity_scenarios'!$AG$21</c:f>
              <c:strCache>
                <c:ptCount val="1"/>
                <c:pt idx="0">
                  <c:v>Machines in Shortage</c:v>
                </c:pt>
              </c:strCache>
            </c:strRef>
          </c:cat>
          <c:val>
            <c:numRef>
              <c:f>'14_capacity_scenarios'!$AG$26</c:f>
              <c:numCache>
                <c:formatCode>General</c:formatCode>
                <c:ptCount val="1"/>
                <c:pt idx="0">
                  <c:v>0</c:v>
                </c:pt>
              </c:numCache>
            </c:numRef>
          </c:val>
          <c:extLst>
            <c:ext xmlns:c16="http://schemas.microsoft.com/office/drawing/2014/chart" uri="{C3380CC4-5D6E-409C-BE32-E72D297353CC}">
              <c16:uniqueId val="{00000004-AB77-41D0-BE92-E36D7F5CE940}"/>
            </c:ext>
          </c:extLst>
        </c:ser>
        <c:dLbls>
          <c:dLblPos val="outEnd"/>
          <c:showLegendKey val="0"/>
          <c:showVal val="1"/>
          <c:showCatName val="0"/>
          <c:showSerName val="0"/>
          <c:showPercent val="0"/>
          <c:showBubbleSize val="0"/>
        </c:dLbls>
        <c:gapWidth val="182"/>
        <c:axId val="1147344080"/>
        <c:axId val="1147344560"/>
      </c:barChart>
      <c:catAx>
        <c:axId val="114734408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Scenarios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147344560"/>
        <c:crosses val="autoZero"/>
        <c:auto val="1"/>
        <c:lblAlgn val="ctr"/>
        <c:lblOffset val="100"/>
        <c:noMultiLvlLbl val="0"/>
      </c:catAx>
      <c:valAx>
        <c:axId val="1147344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Machines In Shortage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34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Bottle</a:t>
            </a:r>
            <a:r>
              <a:rPr lang="en-IN" baseline="0"/>
              <a:t> Neck Machines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1"/>
          <c:order val="0"/>
          <c:tx>
            <c:strRef>
              <c:f>'12_bottleneck_analysis'!$Z$30</c:f>
              <c:strCache>
                <c:ptCount val="1"/>
                <c:pt idx="0">
                  <c:v>Shortage</c:v>
                </c:pt>
              </c:strCache>
            </c:strRef>
          </c:tx>
          <c:spPr>
            <a:solidFill>
              <a:schemeClr val="accent2"/>
            </a:solidFill>
            <a:ln>
              <a:noFill/>
            </a:ln>
            <a:effectLst/>
          </c:spPr>
          <c:invertIfNegative val="0"/>
          <c:cat>
            <c:strRef>
              <c:f>'12_bottleneck_analysis'!$X$31:$X$43</c:f>
              <c:strCache>
                <c:ptCount val="13"/>
                <c:pt idx="0">
                  <c:v>M001</c:v>
                </c:pt>
                <c:pt idx="1">
                  <c:v>M002</c:v>
                </c:pt>
                <c:pt idx="2">
                  <c:v>M003</c:v>
                </c:pt>
                <c:pt idx="3">
                  <c:v>M004</c:v>
                </c:pt>
                <c:pt idx="4">
                  <c:v>M005</c:v>
                </c:pt>
                <c:pt idx="5">
                  <c:v>M006</c:v>
                </c:pt>
                <c:pt idx="6">
                  <c:v>M013</c:v>
                </c:pt>
                <c:pt idx="7">
                  <c:v>M014</c:v>
                </c:pt>
                <c:pt idx="8">
                  <c:v>M017</c:v>
                </c:pt>
                <c:pt idx="9">
                  <c:v>M018</c:v>
                </c:pt>
                <c:pt idx="10">
                  <c:v>M019</c:v>
                </c:pt>
                <c:pt idx="11">
                  <c:v>M020</c:v>
                </c:pt>
                <c:pt idx="12">
                  <c:v>M021</c:v>
                </c:pt>
              </c:strCache>
            </c:strRef>
          </c:cat>
          <c:val>
            <c:numRef>
              <c:f>'12_bottleneck_analysis'!$Z$31:$Z$43</c:f>
              <c:numCache>
                <c:formatCode>General</c:formatCode>
                <c:ptCount val="13"/>
                <c:pt idx="0">
                  <c:v>-19.436333333334005</c:v>
                </c:pt>
                <c:pt idx="1">
                  <c:v>-158.46333333333268</c:v>
                </c:pt>
                <c:pt idx="2">
                  <c:v>-1.3290000000015425</c:v>
                </c:pt>
                <c:pt idx="3">
                  <c:v>-95.693833333334169</c:v>
                </c:pt>
                <c:pt idx="4">
                  <c:v>-76.707500000000437</c:v>
                </c:pt>
                <c:pt idx="5">
                  <c:v>-125.82800000000134</c:v>
                </c:pt>
                <c:pt idx="6">
                  <c:v>-27.111666666667588</c:v>
                </c:pt>
                <c:pt idx="7">
                  <c:v>-51.318000000000211</c:v>
                </c:pt>
                <c:pt idx="8">
                  <c:v>-21.071500000000015</c:v>
                </c:pt>
                <c:pt idx="9">
                  <c:v>-29.935333333332892</c:v>
                </c:pt>
                <c:pt idx="10">
                  <c:v>-118.54716666666673</c:v>
                </c:pt>
                <c:pt idx="11">
                  <c:v>-172.94766666666783</c:v>
                </c:pt>
                <c:pt idx="12">
                  <c:v>-51.514833333331808</c:v>
                </c:pt>
              </c:numCache>
            </c:numRef>
          </c:val>
          <c:extLst>
            <c:ext xmlns:c16="http://schemas.microsoft.com/office/drawing/2014/chart" uri="{C3380CC4-5D6E-409C-BE32-E72D297353CC}">
              <c16:uniqueId val="{00000001-495C-479D-9CC5-9A805361507F}"/>
            </c:ext>
          </c:extLst>
        </c:ser>
        <c:dLbls>
          <c:showLegendKey val="0"/>
          <c:showVal val="0"/>
          <c:showCatName val="0"/>
          <c:showSerName val="0"/>
          <c:showPercent val="0"/>
          <c:showBubbleSize val="0"/>
        </c:dLbls>
        <c:gapWidth val="150"/>
        <c:overlap val="100"/>
        <c:axId val="33457151"/>
        <c:axId val="33446591"/>
      </c:barChart>
      <c:catAx>
        <c:axId val="3345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6591"/>
        <c:crosses val="autoZero"/>
        <c:auto val="1"/>
        <c:lblAlgn val="ctr"/>
        <c:lblOffset val="100"/>
        <c:noMultiLvlLbl val="0"/>
      </c:catAx>
      <c:valAx>
        <c:axId val="3344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Capacity</a:t>
                </a:r>
                <a:r>
                  <a:rPr lang="en-IN" baseline="0"/>
                  <a:t> Surplus/Shortage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Bottle</a:t>
            </a:r>
            <a:r>
              <a:rPr lang="en-IN" baseline="0"/>
              <a:t> Neck Machines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ser>
          <c:idx val="0"/>
          <c:order val="0"/>
          <c:tx>
            <c:strRef>
              <c:f>'12_bottleneck_analysis'!$Y$30</c:f>
              <c:strCache>
                <c:ptCount val="1"/>
                <c:pt idx="0">
                  <c:v>Utilization</c:v>
                </c:pt>
              </c:strCache>
            </c:strRef>
          </c:tx>
          <c:spPr>
            <a:solidFill>
              <a:schemeClr val="accent1"/>
            </a:solidFill>
            <a:ln>
              <a:noFill/>
            </a:ln>
            <a:effectLst/>
          </c:spPr>
          <c:invertIfNegative val="0"/>
          <c:cat>
            <c:strRef>
              <c:f>'12_bottleneck_analysis'!$X$31:$X$43</c:f>
              <c:strCache>
                <c:ptCount val="13"/>
                <c:pt idx="0">
                  <c:v>M001</c:v>
                </c:pt>
                <c:pt idx="1">
                  <c:v>M002</c:v>
                </c:pt>
                <c:pt idx="2">
                  <c:v>M003</c:v>
                </c:pt>
                <c:pt idx="3">
                  <c:v>M004</c:v>
                </c:pt>
                <c:pt idx="4">
                  <c:v>M005</c:v>
                </c:pt>
                <c:pt idx="5">
                  <c:v>M006</c:v>
                </c:pt>
                <c:pt idx="6">
                  <c:v>M013</c:v>
                </c:pt>
                <c:pt idx="7">
                  <c:v>M014</c:v>
                </c:pt>
                <c:pt idx="8">
                  <c:v>M017</c:v>
                </c:pt>
                <c:pt idx="9">
                  <c:v>M018</c:v>
                </c:pt>
                <c:pt idx="10">
                  <c:v>M019</c:v>
                </c:pt>
                <c:pt idx="11">
                  <c:v>M020</c:v>
                </c:pt>
                <c:pt idx="12">
                  <c:v>M021</c:v>
                </c:pt>
              </c:strCache>
            </c:strRef>
          </c:cat>
          <c:val>
            <c:numRef>
              <c:f>'12_bottleneck_analysis'!$Y$31:$Y$43</c:f>
              <c:numCache>
                <c:formatCode>General</c:formatCode>
                <c:ptCount val="13"/>
                <c:pt idx="0">
                  <c:v>1.0046774126269045</c:v>
                </c:pt>
                <c:pt idx="1">
                  <c:v>1.0394564293587238</c:v>
                </c:pt>
                <c:pt idx="2">
                  <c:v>1.0003184301322603</c:v>
                </c:pt>
                <c:pt idx="3">
                  <c:v>1.0234598908893597</c:v>
                </c:pt>
                <c:pt idx="4">
                  <c:v>1.0187171810338098</c:v>
                </c:pt>
                <c:pt idx="5">
                  <c:v>1.0310815350565177</c:v>
                </c:pt>
                <c:pt idx="6">
                  <c:v>1.0065350733413041</c:v>
                </c:pt>
                <c:pt idx="7">
                  <c:v>1.0124432611731844</c:v>
                </c:pt>
                <c:pt idx="8">
                  <c:v>1.0050726783375703</c:v>
                </c:pt>
                <c:pt idx="9">
                  <c:v>1.0072215467551848</c:v>
                </c:pt>
                <c:pt idx="10">
                  <c:v>1.0292206890545301</c:v>
                </c:pt>
                <c:pt idx="11">
                  <c:v>1.0432127175448418</c:v>
                </c:pt>
                <c:pt idx="12">
                  <c:v>1.0124924420258923</c:v>
                </c:pt>
              </c:numCache>
            </c:numRef>
          </c:val>
          <c:extLst>
            <c:ext xmlns:c16="http://schemas.microsoft.com/office/drawing/2014/chart" uri="{C3380CC4-5D6E-409C-BE32-E72D297353CC}">
              <c16:uniqueId val="{00000000-3052-4588-80AB-80230596402D}"/>
            </c:ext>
          </c:extLst>
        </c:ser>
        <c:dLbls>
          <c:showLegendKey val="0"/>
          <c:showVal val="0"/>
          <c:showCatName val="0"/>
          <c:showSerName val="0"/>
          <c:showPercent val="0"/>
          <c:showBubbleSize val="0"/>
        </c:dLbls>
        <c:gapWidth val="150"/>
        <c:overlap val="100"/>
        <c:axId val="33457151"/>
        <c:axId val="33446591"/>
      </c:barChart>
      <c:catAx>
        <c:axId val="3345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Machine ID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6591"/>
        <c:crosses val="autoZero"/>
        <c:auto val="1"/>
        <c:lblAlgn val="ctr"/>
        <c:lblOffset val="100"/>
        <c:noMultiLvlLbl val="0"/>
      </c:catAx>
      <c:valAx>
        <c:axId val="334465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Utilization (in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5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Production Priority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'13_cost_contribution'!$V$28</c:f>
              <c:strCache>
                <c:ptCount val="1"/>
                <c:pt idx="0">
                  <c:v>Components</c:v>
                </c:pt>
              </c:strCache>
            </c:strRef>
          </c:tx>
          <c:spPr>
            <a:solidFill>
              <a:schemeClr val="accent1"/>
            </a:solidFill>
            <a:ln>
              <a:noFill/>
            </a:ln>
            <a:effectLst/>
          </c:spPr>
          <c:invertIfNegative val="0"/>
          <c:cat>
            <c:strRef>
              <c:f>'13_cost_contribution'!$U$29:$U$32</c:f>
              <c:strCache>
                <c:ptCount val="4"/>
                <c:pt idx="0">
                  <c:v>Critical Priority</c:v>
                </c:pt>
                <c:pt idx="1">
                  <c:v>High Priority</c:v>
                </c:pt>
                <c:pt idx="2">
                  <c:v>Medium Priority</c:v>
                </c:pt>
                <c:pt idx="3">
                  <c:v>Low Priority</c:v>
                </c:pt>
              </c:strCache>
            </c:strRef>
          </c:cat>
          <c:val>
            <c:numRef>
              <c:f>'13_cost_contribution'!$V$29:$V$32</c:f>
              <c:numCache>
                <c:formatCode>General</c:formatCode>
                <c:ptCount val="4"/>
                <c:pt idx="0">
                  <c:v>35</c:v>
                </c:pt>
                <c:pt idx="1">
                  <c:v>116</c:v>
                </c:pt>
                <c:pt idx="2">
                  <c:v>113</c:v>
                </c:pt>
                <c:pt idx="3">
                  <c:v>36</c:v>
                </c:pt>
              </c:numCache>
            </c:numRef>
          </c:val>
          <c:extLst>
            <c:ext xmlns:c16="http://schemas.microsoft.com/office/drawing/2014/chart" uri="{C3380CC4-5D6E-409C-BE32-E72D297353CC}">
              <c16:uniqueId val="{00000000-B9DF-4908-ABD0-CA1C480033A4}"/>
            </c:ext>
          </c:extLst>
        </c:ser>
        <c:dLbls>
          <c:showLegendKey val="0"/>
          <c:showVal val="0"/>
          <c:showCatName val="0"/>
          <c:showSerName val="0"/>
          <c:showPercent val="0"/>
          <c:showBubbleSize val="0"/>
        </c:dLbls>
        <c:gapWidth val="219"/>
        <c:overlap val="-27"/>
        <c:axId val="630685999"/>
        <c:axId val="630686959"/>
      </c:barChart>
      <c:catAx>
        <c:axId val="63068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86959"/>
        <c:crosses val="autoZero"/>
        <c:auto val="1"/>
        <c:lblAlgn val="ctr"/>
        <c:lblOffset val="100"/>
        <c:noMultiLvlLbl val="0"/>
      </c:catAx>
      <c:valAx>
        <c:axId val="630686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8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Economic Contribution 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'13_cost_contribution'!$V$35</c:f>
              <c:strCache>
                <c:ptCount val="1"/>
                <c:pt idx="0">
                  <c:v>Contribution/Machine Hour</c:v>
                </c:pt>
              </c:strCache>
            </c:strRef>
          </c:tx>
          <c:spPr>
            <a:solidFill>
              <a:schemeClr val="accent1"/>
            </a:solidFill>
            <a:ln>
              <a:noFill/>
            </a:ln>
            <a:effectLst/>
          </c:spPr>
          <c:invertIfNegative val="0"/>
          <c:cat>
            <c:strRef>
              <c:f>'13_cost_contribution'!$U$36:$U$45</c:f>
              <c:strCache>
                <c:ptCount val="10"/>
                <c:pt idx="0">
                  <c:v>C027</c:v>
                </c:pt>
                <c:pt idx="1">
                  <c:v>C004</c:v>
                </c:pt>
                <c:pt idx="2">
                  <c:v>C102</c:v>
                </c:pt>
                <c:pt idx="3">
                  <c:v>C176</c:v>
                </c:pt>
                <c:pt idx="4">
                  <c:v>C235</c:v>
                </c:pt>
                <c:pt idx="5">
                  <c:v>C155</c:v>
                </c:pt>
                <c:pt idx="6">
                  <c:v>C141</c:v>
                </c:pt>
                <c:pt idx="7">
                  <c:v>C215</c:v>
                </c:pt>
                <c:pt idx="8">
                  <c:v>C005</c:v>
                </c:pt>
                <c:pt idx="9">
                  <c:v>C089</c:v>
                </c:pt>
              </c:strCache>
            </c:strRef>
          </c:cat>
          <c:val>
            <c:numRef>
              <c:f>'13_cost_contribution'!$V$36:$V$45</c:f>
              <c:numCache>
                <c:formatCode>General</c:formatCode>
                <c:ptCount val="10"/>
                <c:pt idx="0">
                  <c:v>50015.71428571429</c:v>
                </c:pt>
                <c:pt idx="1">
                  <c:v>28138.518518518515</c:v>
                </c:pt>
                <c:pt idx="2">
                  <c:v>27731.092436974792</c:v>
                </c:pt>
                <c:pt idx="3">
                  <c:v>18615.089820359284</c:v>
                </c:pt>
                <c:pt idx="4">
                  <c:v>18382.890173410404</c:v>
                </c:pt>
                <c:pt idx="5">
                  <c:v>17569.772727272728</c:v>
                </c:pt>
                <c:pt idx="6">
                  <c:v>17260.227272727272</c:v>
                </c:pt>
                <c:pt idx="7">
                  <c:v>16675.421686746988</c:v>
                </c:pt>
                <c:pt idx="8">
                  <c:v>16230.265486725668</c:v>
                </c:pt>
                <c:pt idx="9">
                  <c:v>15248.944099378881</c:v>
                </c:pt>
              </c:numCache>
            </c:numRef>
          </c:val>
          <c:extLst>
            <c:ext xmlns:c16="http://schemas.microsoft.com/office/drawing/2014/chart" uri="{C3380CC4-5D6E-409C-BE32-E72D297353CC}">
              <c16:uniqueId val="{00000000-0F1D-4CFE-9209-0604CC8B6E6F}"/>
            </c:ext>
          </c:extLst>
        </c:ser>
        <c:dLbls>
          <c:showLegendKey val="0"/>
          <c:showVal val="0"/>
          <c:showCatName val="0"/>
          <c:showSerName val="0"/>
          <c:showPercent val="0"/>
          <c:showBubbleSize val="0"/>
        </c:dLbls>
        <c:gapWidth val="219"/>
        <c:overlap val="-27"/>
        <c:axId val="630703279"/>
        <c:axId val="630703759"/>
      </c:barChart>
      <c:catAx>
        <c:axId val="630703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Component</a:t>
                </a:r>
                <a:r>
                  <a:rPr lang="en-IN" baseline="0"/>
                  <a:t> Code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03759"/>
        <c:crosses val="autoZero"/>
        <c:auto val="1"/>
        <c:lblAlgn val="ctr"/>
        <c:lblOffset val="100"/>
        <c:noMultiLvlLbl val="0"/>
      </c:catAx>
      <c:valAx>
        <c:axId val="6307037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lumMod val="65000"/>
                        <a:lumOff val="35000"/>
                      </a:sysClr>
                    </a:solidFill>
                  </a:rPr>
                  <a:t>Contribution/Machine Hour</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0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19</xdr:col>
      <xdr:colOff>600075</xdr:colOff>
      <xdr:row>20</xdr:row>
      <xdr:rowOff>0</xdr:rowOff>
    </xdr:from>
    <xdr:to>
      <xdr:col>27</xdr:col>
      <xdr:colOff>295275</xdr:colOff>
      <xdr:row>34</xdr:row>
      <xdr:rowOff>165100</xdr:rowOff>
    </xdr:to>
    <xdr:graphicFrame macro="">
      <xdr:nvGraphicFramePr>
        <xdr:cNvPr id="4" name="Chart 3">
          <a:extLst>
            <a:ext uri="{FF2B5EF4-FFF2-40B4-BE49-F238E27FC236}">
              <a16:creationId xmlns:a16="http://schemas.microsoft.com/office/drawing/2014/main" id="{CF4C6777-801E-E662-355F-CCAD68AF2B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0</xdr:colOff>
      <xdr:row>3</xdr:row>
      <xdr:rowOff>12700</xdr:rowOff>
    </xdr:from>
    <xdr:to>
      <xdr:col>27</xdr:col>
      <xdr:colOff>304800</xdr:colOff>
      <xdr:row>17</xdr:row>
      <xdr:rowOff>177800</xdr:rowOff>
    </xdr:to>
    <xdr:graphicFrame macro="">
      <xdr:nvGraphicFramePr>
        <xdr:cNvPr id="5" name="Chart 4">
          <a:extLst>
            <a:ext uri="{FF2B5EF4-FFF2-40B4-BE49-F238E27FC236}">
              <a16:creationId xmlns:a16="http://schemas.microsoft.com/office/drawing/2014/main" id="{29CA7DD7-364D-4CAA-AC1A-7404E2B7A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5774</xdr:colOff>
      <xdr:row>3</xdr:row>
      <xdr:rowOff>8081</xdr:rowOff>
    </xdr:from>
    <xdr:to>
      <xdr:col>25</xdr:col>
      <xdr:colOff>294410</xdr:colOff>
      <xdr:row>17</xdr:row>
      <xdr:rowOff>165099</xdr:rowOff>
    </xdr:to>
    <xdr:graphicFrame macro="">
      <xdr:nvGraphicFramePr>
        <xdr:cNvPr id="2" name="Chart 1">
          <a:extLst>
            <a:ext uri="{FF2B5EF4-FFF2-40B4-BE49-F238E27FC236}">
              <a16:creationId xmlns:a16="http://schemas.microsoft.com/office/drawing/2014/main" id="{1FAEE6E2-0923-1AC9-4632-C10B1DF7F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13608</xdr:colOff>
      <xdr:row>3</xdr:row>
      <xdr:rowOff>2721</xdr:rowOff>
    </xdr:from>
    <xdr:to>
      <xdr:col>22</xdr:col>
      <xdr:colOff>27214</xdr:colOff>
      <xdr:row>19</xdr:row>
      <xdr:rowOff>27214</xdr:rowOff>
    </xdr:to>
    <xdr:graphicFrame macro="">
      <xdr:nvGraphicFramePr>
        <xdr:cNvPr id="3" name="Chart 2">
          <a:extLst>
            <a:ext uri="{FF2B5EF4-FFF2-40B4-BE49-F238E27FC236}">
              <a16:creationId xmlns:a16="http://schemas.microsoft.com/office/drawing/2014/main" id="{3EADC4B0-5665-2DA3-E5FE-C60E4C084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4535</xdr:colOff>
      <xdr:row>23</xdr:row>
      <xdr:rowOff>2721</xdr:rowOff>
    </xdr:from>
    <xdr:to>
      <xdr:col>22</xdr:col>
      <xdr:colOff>72570</xdr:colOff>
      <xdr:row>39</xdr:row>
      <xdr:rowOff>63499</xdr:rowOff>
    </xdr:to>
    <xdr:graphicFrame macro="">
      <xdr:nvGraphicFramePr>
        <xdr:cNvPr id="4" name="Chart 3">
          <a:extLst>
            <a:ext uri="{FF2B5EF4-FFF2-40B4-BE49-F238E27FC236}">
              <a16:creationId xmlns:a16="http://schemas.microsoft.com/office/drawing/2014/main" id="{0952604B-04AD-BE39-A7ED-1AC3D12A0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6803</xdr:colOff>
      <xdr:row>2</xdr:row>
      <xdr:rowOff>175986</xdr:rowOff>
    </xdr:from>
    <xdr:to>
      <xdr:col>22</xdr:col>
      <xdr:colOff>311603</xdr:colOff>
      <xdr:row>17</xdr:row>
      <xdr:rowOff>159657</xdr:rowOff>
    </xdr:to>
    <xdr:graphicFrame macro="">
      <xdr:nvGraphicFramePr>
        <xdr:cNvPr id="2" name="Chart 1">
          <a:extLst>
            <a:ext uri="{FF2B5EF4-FFF2-40B4-BE49-F238E27FC236}">
              <a16:creationId xmlns:a16="http://schemas.microsoft.com/office/drawing/2014/main" id="{D795A86C-AF44-5A48-7003-CCBB82499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19503</xdr:colOff>
      <xdr:row>22</xdr:row>
      <xdr:rowOff>3628</xdr:rowOff>
    </xdr:from>
    <xdr:to>
      <xdr:col>22</xdr:col>
      <xdr:colOff>322488</xdr:colOff>
      <xdr:row>36</xdr:row>
      <xdr:rowOff>168728</xdr:rowOff>
    </xdr:to>
    <xdr:graphicFrame macro="">
      <xdr:nvGraphicFramePr>
        <xdr:cNvPr id="3" name="Chart 2">
          <a:extLst>
            <a:ext uri="{FF2B5EF4-FFF2-40B4-BE49-F238E27FC236}">
              <a16:creationId xmlns:a16="http://schemas.microsoft.com/office/drawing/2014/main" id="{AA39A2AA-9057-CE87-8577-20AB99325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581025</xdr:colOff>
      <xdr:row>14</xdr:row>
      <xdr:rowOff>31750</xdr:rowOff>
    </xdr:from>
    <xdr:to>
      <xdr:col>19</xdr:col>
      <xdr:colOff>606425</xdr:colOff>
      <xdr:row>29</xdr:row>
      <xdr:rowOff>12700</xdr:rowOff>
    </xdr:to>
    <xdr:graphicFrame macro="">
      <xdr:nvGraphicFramePr>
        <xdr:cNvPr id="2" name="Chart 1">
          <a:extLst>
            <a:ext uri="{FF2B5EF4-FFF2-40B4-BE49-F238E27FC236}">
              <a16:creationId xmlns:a16="http://schemas.microsoft.com/office/drawing/2014/main" id="{7AD18640-E9FC-91D8-60C7-F3C3C86EB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606424</xdr:colOff>
      <xdr:row>33</xdr:row>
      <xdr:rowOff>19050</xdr:rowOff>
    </xdr:from>
    <xdr:to>
      <xdr:col>21</xdr:col>
      <xdr:colOff>146049</xdr:colOff>
      <xdr:row>49</xdr:row>
      <xdr:rowOff>69850</xdr:rowOff>
    </xdr:to>
    <xdr:graphicFrame macro="">
      <xdr:nvGraphicFramePr>
        <xdr:cNvPr id="3" name="Chart 2">
          <a:extLst>
            <a:ext uri="{FF2B5EF4-FFF2-40B4-BE49-F238E27FC236}">
              <a16:creationId xmlns:a16="http://schemas.microsoft.com/office/drawing/2014/main" id="{391CE994-1B65-E209-0891-80A46D2CA4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25</xdr:col>
      <xdr:colOff>585507</xdr:colOff>
      <xdr:row>3</xdr:row>
      <xdr:rowOff>1120</xdr:rowOff>
    </xdr:from>
    <xdr:to>
      <xdr:col>33</xdr:col>
      <xdr:colOff>301625</xdr:colOff>
      <xdr:row>17</xdr:row>
      <xdr:rowOff>129614</xdr:rowOff>
    </xdr:to>
    <xdr:graphicFrame macro="">
      <xdr:nvGraphicFramePr>
        <xdr:cNvPr id="2" name="Chart 1">
          <a:extLst>
            <a:ext uri="{FF2B5EF4-FFF2-40B4-BE49-F238E27FC236}">
              <a16:creationId xmlns:a16="http://schemas.microsoft.com/office/drawing/2014/main" id="{9968BC1D-72EF-9996-6164-E57927D3A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6536</xdr:colOff>
      <xdr:row>21</xdr:row>
      <xdr:rowOff>169209</xdr:rowOff>
    </xdr:from>
    <xdr:to>
      <xdr:col>33</xdr:col>
      <xdr:colOff>329639</xdr:colOff>
      <xdr:row>36</xdr:row>
      <xdr:rowOff>110939</xdr:rowOff>
    </xdr:to>
    <xdr:graphicFrame macro="">
      <xdr:nvGraphicFramePr>
        <xdr:cNvPr id="3" name="Chart 2">
          <a:extLst>
            <a:ext uri="{FF2B5EF4-FFF2-40B4-BE49-F238E27FC236}">
              <a16:creationId xmlns:a16="http://schemas.microsoft.com/office/drawing/2014/main" id="{F90EE59F-DE09-775E-35D9-4B12393F9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604183</xdr:colOff>
      <xdr:row>40</xdr:row>
      <xdr:rowOff>37352</xdr:rowOff>
    </xdr:from>
    <xdr:to>
      <xdr:col>35</xdr:col>
      <xdr:colOff>494925</xdr:colOff>
      <xdr:row>57</xdr:row>
      <xdr:rowOff>130736</xdr:rowOff>
    </xdr:to>
    <xdr:graphicFrame macro="">
      <xdr:nvGraphicFramePr>
        <xdr:cNvPr id="4" name="Chart 3">
          <a:extLst>
            <a:ext uri="{FF2B5EF4-FFF2-40B4-BE49-F238E27FC236}">
              <a16:creationId xmlns:a16="http://schemas.microsoft.com/office/drawing/2014/main" id="{EE1E16E2-376D-6EC8-3F01-9D3C5DFE3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38</xdr:col>
      <xdr:colOff>5291</xdr:colOff>
      <xdr:row>3</xdr:row>
      <xdr:rowOff>4233</xdr:rowOff>
    </xdr:from>
    <xdr:to>
      <xdr:col>45</xdr:col>
      <xdr:colOff>280458</xdr:colOff>
      <xdr:row>18</xdr:row>
      <xdr:rowOff>48683</xdr:rowOff>
    </xdr:to>
    <xdr:graphicFrame macro="">
      <xdr:nvGraphicFramePr>
        <xdr:cNvPr id="2" name="Chart 1">
          <a:extLst>
            <a:ext uri="{FF2B5EF4-FFF2-40B4-BE49-F238E27FC236}">
              <a16:creationId xmlns:a16="http://schemas.microsoft.com/office/drawing/2014/main" id="{20921C45-12D5-906B-AF7D-2F2D18D32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5291</xdr:colOff>
      <xdr:row>22</xdr:row>
      <xdr:rowOff>14816</xdr:rowOff>
    </xdr:from>
    <xdr:to>
      <xdr:col>45</xdr:col>
      <xdr:colOff>280458</xdr:colOff>
      <xdr:row>37</xdr:row>
      <xdr:rowOff>59266</xdr:rowOff>
    </xdr:to>
    <xdr:graphicFrame macro="">
      <xdr:nvGraphicFramePr>
        <xdr:cNvPr id="3" name="Chart 2">
          <a:extLst>
            <a:ext uri="{FF2B5EF4-FFF2-40B4-BE49-F238E27FC236}">
              <a16:creationId xmlns:a16="http://schemas.microsoft.com/office/drawing/2014/main" id="{8ADE8314-06DA-6D79-55F7-A1FC45ED8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26458</xdr:colOff>
      <xdr:row>41</xdr:row>
      <xdr:rowOff>14816</xdr:rowOff>
    </xdr:from>
    <xdr:to>
      <xdr:col>46</xdr:col>
      <xdr:colOff>254000</xdr:colOff>
      <xdr:row>57</xdr:row>
      <xdr:rowOff>169332</xdr:rowOff>
    </xdr:to>
    <xdr:graphicFrame macro="">
      <xdr:nvGraphicFramePr>
        <xdr:cNvPr id="4" name="Chart 3">
          <a:extLst>
            <a:ext uri="{FF2B5EF4-FFF2-40B4-BE49-F238E27FC236}">
              <a16:creationId xmlns:a16="http://schemas.microsoft.com/office/drawing/2014/main" id="{6DF8E2BA-2AA5-3987-FC86-E5AB7BBF0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606425</xdr:colOff>
      <xdr:row>14</xdr:row>
      <xdr:rowOff>3175</xdr:rowOff>
    </xdr:from>
    <xdr:to>
      <xdr:col>3</xdr:col>
      <xdr:colOff>2057400</xdr:colOff>
      <xdr:row>28</xdr:row>
      <xdr:rowOff>165100</xdr:rowOff>
    </xdr:to>
    <xdr:graphicFrame macro="">
      <xdr:nvGraphicFramePr>
        <xdr:cNvPr id="3" name="Chart 2">
          <a:extLst>
            <a:ext uri="{FF2B5EF4-FFF2-40B4-BE49-F238E27FC236}">
              <a16:creationId xmlns:a16="http://schemas.microsoft.com/office/drawing/2014/main" id="{AA67633F-264E-D544-4831-507169871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17226</xdr:colOff>
      <xdr:row>14</xdr:row>
      <xdr:rowOff>25399</xdr:rowOff>
    </xdr:from>
    <xdr:to>
      <xdr:col>6</xdr:col>
      <xdr:colOff>418830</xdr:colOff>
      <xdr:row>23</xdr:row>
      <xdr:rowOff>175637</xdr:rowOff>
    </xdr:to>
    <xdr:graphicFrame macro="">
      <xdr:nvGraphicFramePr>
        <xdr:cNvPr id="4" name="Chart 3">
          <a:extLst>
            <a:ext uri="{FF2B5EF4-FFF2-40B4-BE49-F238E27FC236}">
              <a16:creationId xmlns:a16="http://schemas.microsoft.com/office/drawing/2014/main" id="{19D48B93-96A8-3A40-0949-89062A71D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486384</xdr:colOff>
      <xdr:row>14</xdr:row>
      <xdr:rowOff>13510</xdr:rowOff>
    </xdr:from>
    <xdr:to>
      <xdr:col>10</xdr:col>
      <xdr:colOff>418829</xdr:colOff>
      <xdr:row>23</xdr:row>
      <xdr:rowOff>162126</xdr:rowOff>
    </xdr:to>
    <xdr:graphicFrame macro="">
      <xdr:nvGraphicFramePr>
        <xdr:cNvPr id="5" name="Chart 4">
          <a:extLst>
            <a:ext uri="{FF2B5EF4-FFF2-40B4-BE49-F238E27FC236}">
              <a16:creationId xmlns:a16="http://schemas.microsoft.com/office/drawing/2014/main" id="{965BF514-9C62-4047-B344-9761441B5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591766</xdr:colOff>
      <xdr:row>31</xdr:row>
      <xdr:rowOff>155103</xdr:rowOff>
    </xdr:from>
    <xdr:to>
      <xdr:col>3</xdr:col>
      <xdr:colOff>2040106</xdr:colOff>
      <xdr:row>46</xdr:row>
      <xdr:rowOff>54043</xdr:rowOff>
    </xdr:to>
    <xdr:graphicFrame macro="">
      <xdr:nvGraphicFramePr>
        <xdr:cNvPr id="6" name="Chart 5">
          <a:extLst>
            <a:ext uri="{FF2B5EF4-FFF2-40B4-BE49-F238E27FC236}">
              <a16:creationId xmlns:a16="http://schemas.microsoft.com/office/drawing/2014/main" id="{7546C59E-4C4F-9476-ACBC-157C578E9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24320</xdr:colOff>
      <xdr:row>32</xdr:row>
      <xdr:rowOff>19995</xdr:rowOff>
    </xdr:from>
    <xdr:to>
      <xdr:col>11</xdr:col>
      <xdr:colOff>151320</xdr:colOff>
      <xdr:row>46</xdr:row>
      <xdr:rowOff>115110</xdr:rowOff>
    </xdr:to>
    <xdr:graphicFrame macro="">
      <xdr:nvGraphicFramePr>
        <xdr:cNvPr id="8" name="Chart 7">
          <a:extLst>
            <a:ext uri="{FF2B5EF4-FFF2-40B4-BE49-F238E27FC236}">
              <a16:creationId xmlns:a16="http://schemas.microsoft.com/office/drawing/2014/main" id="{44ADAC86-1022-E3FD-9BDB-39EF244BF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594468</xdr:colOff>
      <xdr:row>47</xdr:row>
      <xdr:rowOff>162128</xdr:rowOff>
    </xdr:from>
    <xdr:to>
      <xdr:col>11</xdr:col>
      <xdr:colOff>54043</xdr:colOff>
      <xdr:row>61</xdr:row>
      <xdr:rowOff>40532</xdr:rowOff>
    </xdr:to>
    <xdr:sp macro="" textlink="">
      <xdr:nvSpPr>
        <xdr:cNvPr id="10" name="TextBox 9">
          <a:extLst>
            <a:ext uri="{FF2B5EF4-FFF2-40B4-BE49-F238E27FC236}">
              <a16:creationId xmlns:a16="http://schemas.microsoft.com/office/drawing/2014/main" id="{3D6A0BD0-AFDA-BE48-1D43-E6A22CB7FE48}"/>
            </a:ext>
          </a:extLst>
        </xdr:cNvPr>
        <xdr:cNvSpPr txBox="1"/>
      </xdr:nvSpPr>
      <xdr:spPr>
        <a:xfrm>
          <a:off x="594468" y="9052128"/>
          <a:ext cx="9416915" cy="2634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Management Insights</a:t>
          </a:r>
        </a:p>
        <a:p>
          <a:endParaRPr lang="en-IN"/>
        </a:p>
        <a:p>
          <a:r>
            <a:rPr lang="en-IN" b="1"/>
            <a:t>1. Capacity Constraint</a:t>
          </a:r>
        </a:p>
        <a:p>
          <a:r>
            <a:rPr lang="en-IN"/>
            <a:t>Current production requirements place significant pressure on internal manufacturing capacity, with multiple machines operating above their available capacity.</a:t>
          </a:r>
        </a:p>
        <a:p>
          <a:r>
            <a:rPr lang="en-IN" b="1"/>
            <a:t>2. Bottleneck Focus</a:t>
          </a:r>
        </a:p>
        <a:p>
          <a:r>
            <a:rPr lang="en-IN"/>
            <a:t>Capacity constraints are concentrated in specific machines, indicating that targeted intervention is more appropriate than treating the entire production system uniformly.</a:t>
          </a:r>
        </a:p>
        <a:p>
          <a:r>
            <a:rPr lang="en-IN" b="1"/>
            <a:t>3. Production Prioritization</a:t>
          </a:r>
        </a:p>
        <a:p>
          <a:r>
            <a:rPr lang="en-IN"/>
            <a:t>Components with high contribution per machine-hour should receive greater consideration when allocating scarce production capacity, subject to component criticality.</a:t>
          </a:r>
        </a:p>
        <a:p>
          <a:r>
            <a:rPr lang="en-IN" b="1"/>
            <a:t>4. Capacity Improvement</a:t>
          </a:r>
        </a:p>
        <a:p>
          <a:r>
            <a:rPr lang="en-IN"/>
            <a:t>Scenario analysis indicates that increasing productive hours and improving operating efficiency can substantially reduce or eliminate modeled capacity shortages.</a:t>
          </a:r>
        </a:p>
        <a:p>
          <a:r>
            <a:rPr lang="en-IN" b="1"/>
            <a:t>5. Operational Recommendation</a:t>
          </a:r>
        </a:p>
        <a:p>
          <a:r>
            <a:rPr lang="en-IN"/>
            <a:t>Management should prioritize bottleneck-machine improvement, downtime reduction, and efficiency gains before committing to additional machine capacity.</a:t>
          </a:r>
        </a:p>
        <a:p>
          <a:endParaRPr lang="en-IN" sz="1100"/>
        </a:p>
      </xdr:txBody>
    </xdr:sp>
    <xdr:clientData/>
  </xdr:twoCellAnchor>
  <xdr:twoCellAnchor>
    <xdr:from>
      <xdr:col>1</xdr:col>
      <xdr:colOff>0</xdr:colOff>
      <xdr:row>62</xdr:row>
      <xdr:rowOff>162128</xdr:rowOff>
    </xdr:from>
    <xdr:to>
      <xdr:col>11</xdr:col>
      <xdr:colOff>94575</xdr:colOff>
      <xdr:row>73</xdr:row>
      <xdr:rowOff>0</xdr:rowOff>
    </xdr:to>
    <xdr:sp macro="" textlink="">
      <xdr:nvSpPr>
        <xdr:cNvPr id="11" name="TextBox 10">
          <a:extLst>
            <a:ext uri="{FF2B5EF4-FFF2-40B4-BE49-F238E27FC236}">
              <a16:creationId xmlns:a16="http://schemas.microsoft.com/office/drawing/2014/main" id="{318FB52F-425B-7D0E-3B3C-12AF2746899A}"/>
            </a:ext>
          </a:extLst>
        </xdr:cNvPr>
        <xdr:cNvSpPr txBox="1"/>
      </xdr:nvSpPr>
      <xdr:spPr>
        <a:xfrm>
          <a:off x="607979" y="11997447"/>
          <a:ext cx="9443936" cy="2148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Recommended Management Actions</a:t>
          </a:r>
        </a:p>
        <a:p>
          <a:endParaRPr lang="en-IN" b="1"/>
        </a:p>
        <a:p>
          <a:r>
            <a:rPr lang="en-IN" b="1"/>
            <a:t>01 — Focus on bottleneck machines</a:t>
          </a:r>
          <a:br>
            <a:rPr lang="en-IN"/>
          </a:br>
          <a:r>
            <a:rPr lang="en-IN"/>
            <a:t>Prioritize machines with the largest capacity shortages.</a:t>
          </a:r>
        </a:p>
        <a:p>
          <a:r>
            <a:rPr lang="en-IN" b="1"/>
            <a:t>02 — Improve productive availability</a:t>
          </a:r>
          <a:br>
            <a:rPr lang="en-IN"/>
          </a:br>
          <a:r>
            <a:rPr lang="en-IN"/>
            <a:t>Reduce planned and unplanned downtime where operationally feasible.</a:t>
          </a:r>
        </a:p>
        <a:p>
          <a:r>
            <a:rPr lang="en-IN" b="1"/>
            <a:t>03 — Prioritize high-value production</a:t>
          </a:r>
          <a:br>
            <a:rPr lang="en-IN"/>
          </a:br>
          <a:r>
            <a:rPr lang="en-IN"/>
            <a:t>Use contribution per machine-hour and component criticality when capacity is constrained.</a:t>
          </a:r>
        </a:p>
        <a:p>
          <a:r>
            <a:rPr lang="en-IN" b="1"/>
            <a:t>04 — Evaluate capacity expansion only after operational improvements</a:t>
          </a:r>
          <a:br>
            <a:rPr lang="en-IN"/>
          </a:br>
          <a:r>
            <a:rPr lang="en-IN"/>
            <a:t>Consider additional machine capacity if shortages remain after efficiency and availability improvements.</a:t>
          </a:r>
        </a:p>
        <a:p>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xdr:colOff>
      <xdr:row>6</xdr:row>
      <xdr:rowOff>177800</xdr:rowOff>
    </xdr:from>
    <xdr:to>
      <xdr:col>14</xdr:col>
      <xdr:colOff>0</xdr:colOff>
      <xdr:row>22</xdr:row>
      <xdr:rowOff>169333</xdr:rowOff>
    </xdr:to>
    <xdr:sp macro="" textlink="">
      <xdr:nvSpPr>
        <xdr:cNvPr id="2" name="TextBox 1">
          <a:extLst>
            <a:ext uri="{FF2B5EF4-FFF2-40B4-BE49-F238E27FC236}">
              <a16:creationId xmlns:a16="http://schemas.microsoft.com/office/drawing/2014/main" id="{DCCBDAAD-62C3-3231-EBFA-3048FFD166FB}"/>
            </a:ext>
          </a:extLst>
        </xdr:cNvPr>
        <xdr:cNvSpPr txBox="1"/>
      </xdr:nvSpPr>
      <xdr:spPr>
        <a:xfrm>
          <a:off x="6350" y="1257300"/>
          <a:ext cx="8216900" cy="287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Exective Conclusion</a:t>
          </a:r>
        </a:p>
        <a:p>
          <a:endParaRPr lang="en-IN" sz="1100" b="0"/>
        </a:p>
        <a:p>
          <a:r>
            <a:rPr lang="en-IN" b="0"/>
            <a:t>The analysis indicates that the company is operating under significant capacity pressure, with total production requirements marginally exceeding available manufacturing capacity in the base case. The constraint is concentrated across specific machines rather than being uniformly distributed across the manufacturing system.</a:t>
          </a:r>
        </a:p>
        <a:p>
          <a:endParaRPr lang="en-IN" b="0"/>
        </a:p>
        <a:p>
          <a:r>
            <a:rPr lang="en-IN" b="0"/>
            <a:t>The bottleneck and OEE analyses indicate that improving machine availability, reducing downtime and improving operating efficiency can meaningfully increase effective capacity without immediately requiring additional machinery.</a:t>
          </a:r>
        </a:p>
        <a:p>
          <a:r>
            <a:rPr lang="en-IN" b="0"/>
            <a:t>When capacity is constrained, production should be prioritized using both economic contribution and component criticality. Components generating higher contribution per machine-hour should receive greater economic priority, while critical components must continue to receive appropriate priority because of their operational importance.</a:t>
          </a:r>
        </a:p>
        <a:p>
          <a:endParaRPr lang="en-IN" b="0"/>
        </a:p>
        <a:p>
          <a:r>
            <a:rPr lang="en-IN" b="0"/>
            <a:t>Scenario analysis further indicates that operational improvements can substantially reduce or eliminate the modeled capacity shortages. Therefore, management should first pursue targeted operational improvements before committing to major additional manufacturing capacity.</a:t>
          </a:r>
        </a:p>
        <a:p>
          <a:endParaRPr lang="en-IN" sz="1100" b="1"/>
        </a:p>
      </xdr:txBody>
    </xdr:sp>
    <xdr:clientData/>
  </xdr:twoCellAnchor>
  <xdr:twoCellAnchor>
    <xdr:from>
      <xdr:col>0</xdr:col>
      <xdr:colOff>211667</xdr:colOff>
      <xdr:row>53</xdr:row>
      <xdr:rowOff>126999</xdr:rowOff>
    </xdr:from>
    <xdr:to>
      <xdr:col>12</xdr:col>
      <xdr:colOff>495300</xdr:colOff>
      <xdr:row>100</xdr:row>
      <xdr:rowOff>10583</xdr:rowOff>
    </xdr:to>
    <xdr:sp macro="" textlink="">
      <xdr:nvSpPr>
        <xdr:cNvPr id="3" name="TextBox 2">
          <a:extLst>
            <a:ext uri="{FF2B5EF4-FFF2-40B4-BE49-F238E27FC236}">
              <a16:creationId xmlns:a16="http://schemas.microsoft.com/office/drawing/2014/main" id="{6A3E04B2-FC10-D563-9828-71FA8EACE07C}"/>
            </a:ext>
          </a:extLst>
        </xdr:cNvPr>
        <xdr:cNvSpPr txBox="1"/>
      </xdr:nvSpPr>
      <xdr:spPr>
        <a:xfrm>
          <a:off x="211667" y="9372599"/>
          <a:ext cx="11637433" cy="88370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Recommended Management Actions</a:t>
          </a:r>
        </a:p>
        <a:p>
          <a:r>
            <a:rPr lang="en-IN"/>
            <a:t>.</a:t>
          </a:r>
        </a:p>
        <a:p>
          <a:r>
            <a:rPr lang="en-IN" b="1"/>
            <a:t>1. Target Bottleneck Machines First — HIGH PRIORITY</a:t>
          </a:r>
        </a:p>
        <a:p>
          <a:r>
            <a:rPr lang="en-IN"/>
            <a:t>Identify machines consistently operating above available capacity and focus improvement efforts specifically on these machines rather than applying uniform improvements across the entire plant.</a:t>
          </a:r>
        </a:p>
        <a:p>
          <a:r>
            <a:rPr lang="en-IN" b="1"/>
            <a:t>Actions:</a:t>
          </a:r>
          <a:endParaRPr lang="en-IN"/>
        </a:p>
        <a:p>
          <a:r>
            <a:rPr lang="en-IN"/>
            <a:t>Reduce downtime </a:t>
          </a:r>
        </a:p>
        <a:p>
          <a:r>
            <a:rPr lang="en-IN"/>
            <a:t>Improve maintenance planning </a:t>
          </a:r>
        </a:p>
        <a:p>
          <a:r>
            <a:rPr lang="en-IN"/>
            <a:t>Reduce setup/changeover time </a:t>
          </a:r>
        </a:p>
        <a:p>
          <a:r>
            <a:rPr lang="en-IN"/>
            <a:t>Investigate recurring machine losses </a:t>
          </a:r>
        </a:p>
        <a:p>
          <a:r>
            <a:rPr lang="en-IN"/>
            <a:t>Review operator allocation </a:t>
          </a:r>
        </a:p>
        <a:p>
          <a:br>
            <a:rPr lang="en-IN"/>
          </a:br>
          <a:endParaRPr lang="en-IN"/>
        </a:p>
        <a:p>
          <a:r>
            <a:rPr lang="en-IN" b="1"/>
            <a:t>2. Improve Machine Availability — HIGH PRIORITY</a:t>
          </a:r>
        </a:p>
        <a:p>
          <a:r>
            <a:rPr lang="en-IN"/>
            <a:t>Reduce planned and unplanned downtime to increase productive machine hours.</a:t>
          </a:r>
        </a:p>
        <a:p>
          <a:r>
            <a:rPr lang="en-IN" b="1"/>
            <a:t>Actions:</a:t>
          </a:r>
          <a:endParaRPr lang="en-IN"/>
        </a:p>
        <a:p>
          <a:r>
            <a:rPr lang="en-IN"/>
            <a:t>Preventive maintenance </a:t>
          </a:r>
        </a:p>
        <a:p>
          <a:r>
            <a:rPr lang="en-IN"/>
            <a:t>Breakdown analysis </a:t>
          </a:r>
        </a:p>
        <a:p>
          <a:r>
            <a:rPr lang="en-IN"/>
            <a:t>Faster maintenance response </a:t>
          </a:r>
        </a:p>
        <a:p>
          <a:r>
            <a:rPr lang="en-IN"/>
            <a:t>Planned maintenance scheduling during low-demand periods </a:t>
          </a:r>
        </a:p>
        <a:p>
          <a:r>
            <a:rPr lang="en-IN"/>
            <a:t>Track downtime causes by machine </a:t>
          </a:r>
        </a:p>
        <a:p>
          <a:br>
            <a:rPr lang="en-IN"/>
          </a:br>
          <a:endParaRPr lang="en-IN"/>
        </a:p>
        <a:p>
          <a:r>
            <a:rPr lang="en-IN" b="1"/>
            <a:t>3. Improve Operating Efficiency — HIGH PRIORITY</a:t>
          </a:r>
        </a:p>
        <a:p>
          <a:r>
            <a:rPr lang="en-IN"/>
            <a:t>Improve effective production output through better machine performance and operating practices.</a:t>
          </a:r>
        </a:p>
        <a:p>
          <a:r>
            <a:rPr lang="en-IN"/>
            <a:t>This is especially important because your scenario analysis showed that a relatively small efficiency improvement can materially reduce required machine hours.</a:t>
          </a:r>
        </a:p>
        <a:p>
          <a:br>
            <a:rPr lang="en-IN"/>
          </a:br>
          <a:endParaRPr lang="en-IN"/>
        </a:p>
        <a:p>
          <a:r>
            <a:rPr lang="en-IN" b="1"/>
            <a:t>4. Use Contribution per Machine-Hour for Capacity Allocation — HIGH PRIORITY</a:t>
          </a:r>
        </a:p>
        <a:p>
          <a:r>
            <a:rPr lang="en-IN"/>
            <a:t>When a machine is constrained, don't simply ask:</a:t>
          </a:r>
        </a:p>
        <a:p>
          <a:r>
            <a:rPr lang="en-IN"/>
            <a:t>“Which component has the highest contribution per unit?”</a:t>
          </a:r>
        </a:p>
        <a:p>
          <a:r>
            <a:rPr lang="en-IN"/>
            <a:t>Ask:</a:t>
          </a:r>
        </a:p>
        <a:p>
          <a:r>
            <a:rPr lang="en-IN" b="1"/>
            <a:t>“Which component generates the greatest contribution for each hour of scarce machine capacity?”</a:t>
          </a:r>
          <a:endParaRPr lang="en-IN"/>
        </a:p>
        <a:p>
          <a:r>
            <a:rPr lang="en-IN"/>
            <a:t>That's why your </a:t>
          </a:r>
          <a:r>
            <a:rPr lang="en-IN" b="1"/>
            <a:t>Contribution per Machine Hour</a:t>
          </a:r>
          <a:r>
            <a:rPr lang="en-IN"/>
            <a:t> analysis in Point 13 matters.</a:t>
          </a:r>
        </a:p>
        <a:p>
          <a:br>
            <a:rPr lang="en-IN"/>
          </a:br>
          <a:endParaRPr lang="en-IN"/>
        </a:p>
        <a:p>
          <a:r>
            <a:rPr lang="en-IN" b="1"/>
            <a:t>5. Incorporate Component Criticality — HIGH PRIORITY</a:t>
          </a:r>
        </a:p>
        <a:p>
          <a:r>
            <a:rPr lang="en-IN"/>
            <a:t>Economic optimization shouldn't blindly override operational requirements.</a:t>
          </a:r>
        </a:p>
        <a:p>
          <a:r>
            <a:rPr lang="en-IN"/>
            <a:t>A component that is strategically/operationally critical may need to remain high priority even if its contribution per machine-hour is relatively low.</a:t>
          </a:r>
        </a:p>
        <a:p>
          <a:r>
            <a:rPr lang="en-IN"/>
            <a:t>That's why we created your:</a:t>
          </a:r>
        </a:p>
        <a:p>
          <a:r>
            <a:rPr lang="en-IN" b="1"/>
            <a:t>Economic Priority × Criticality → Final Production Priority</a:t>
          </a:r>
          <a:endParaRPr lang="en-IN"/>
        </a:p>
        <a:p>
          <a:r>
            <a:rPr lang="en-IN"/>
            <a:t>framework.</a:t>
          </a:r>
        </a:p>
        <a:p>
          <a:br>
            <a:rPr lang="en-IN"/>
          </a:br>
          <a:endParaRPr lang="en-IN"/>
        </a:p>
        <a:p>
          <a:r>
            <a:rPr lang="en-IN" b="1"/>
            <a:t>6. Evaluate Additional Capacity Only After Operational Improvements — MEDIUM PRIORITY</a:t>
          </a:r>
        </a:p>
        <a:p>
          <a:r>
            <a:rPr lang="en-IN"/>
            <a:t>Don't immediately buy machines just because the base case shows shortages.</a:t>
          </a:r>
        </a:p>
        <a:p>
          <a:r>
            <a:rPr lang="en-IN"/>
            <a:t>First test:</a:t>
          </a:r>
        </a:p>
        <a:p>
          <a:r>
            <a:rPr lang="en-IN" b="1"/>
            <a:t>Downtime reduction → efficiency improvement → additional productive hours → then capital expansion if required.</a:t>
          </a:r>
          <a:endParaRPr lang="en-IN"/>
        </a:p>
        <a:p>
          <a:r>
            <a:rPr lang="en-IN"/>
            <a:t>If shortages remain after realistic operational improvements, additional capacity investment can then be justified.</a:t>
          </a:r>
        </a:p>
        <a:p>
          <a:endParaRPr lang="en-IN" sz="1100"/>
        </a:p>
      </xdr:txBody>
    </xdr:sp>
    <xdr:clientData/>
  </xdr:twoCellAnchor>
  <xdr:twoCellAnchor>
    <xdr:from>
      <xdr:col>1</xdr:col>
      <xdr:colOff>12700</xdr:colOff>
      <xdr:row>115</xdr:row>
      <xdr:rowOff>165100</xdr:rowOff>
    </xdr:from>
    <xdr:to>
      <xdr:col>7</xdr:col>
      <xdr:colOff>12700</xdr:colOff>
      <xdr:row>144</xdr:row>
      <xdr:rowOff>165100</xdr:rowOff>
    </xdr:to>
    <xdr:sp macro="" textlink="">
      <xdr:nvSpPr>
        <xdr:cNvPr id="4" name="TextBox 3">
          <a:extLst>
            <a:ext uri="{FF2B5EF4-FFF2-40B4-BE49-F238E27FC236}">
              <a16:creationId xmlns:a16="http://schemas.microsoft.com/office/drawing/2014/main" id="{62B2E507-7207-3DB4-85FD-BC684FAB13FE}"/>
            </a:ext>
          </a:extLst>
        </xdr:cNvPr>
        <xdr:cNvSpPr txBox="1"/>
      </xdr:nvSpPr>
      <xdr:spPr>
        <a:xfrm>
          <a:off x="266700" y="21577300"/>
          <a:ext cx="8051800" cy="552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Final Management Recommendation</a:t>
          </a:r>
        </a:p>
        <a:p>
          <a:endParaRPr lang="en-IN" b="1"/>
        </a:p>
        <a:p>
          <a:r>
            <a:rPr lang="en-IN" b="0"/>
            <a:t>A Auto Components Pvt. Ltd. should adopt a bottleneck-focused capacity management strategy rather than immediately expanding manufacturing capacity.</a:t>
          </a:r>
        </a:p>
        <a:p>
          <a:endParaRPr lang="en-IN" b="0"/>
        </a:p>
        <a:p>
          <a:r>
            <a:rPr lang="en-IN" b="0"/>
            <a:t>The recommended approach is to first improve machine availability, reduce downtime, improve operating efficiency and optimize production allocation using contribution per machine-hour and component criticality.</a:t>
          </a:r>
        </a:p>
        <a:p>
          <a:r>
            <a:rPr lang="en-IN" b="0"/>
            <a:t>Capacity expansion should be considered only after these operational improvements have been implemented and the remaining capacity gap has been reassessed.</a:t>
          </a:r>
        </a:p>
        <a:p>
          <a:endParaRPr lang="en-IN" b="0"/>
        </a:p>
        <a:p>
          <a:r>
            <a:rPr lang="en-IN" b="1"/>
            <a:t>1. Prioritize Critical Bottleneck Machines</a:t>
          </a:r>
        </a:p>
        <a:p>
          <a:r>
            <a:rPr lang="en-IN" b="1"/>
            <a:t>M020, M002, M006, M019 and M004 should be the first machines targeted for capacity improvement, as they exhibit the largest capacity shortages and are classified as Critical Bottlenecks.</a:t>
          </a:r>
        </a:p>
        <a:p>
          <a:endParaRPr lang="en-IN"/>
        </a:p>
        <a:p>
          <a:r>
            <a:rPr lang="en-IN" b="1"/>
            <a:t>2. Improve Machine Availability</a:t>
          </a:r>
        </a:p>
        <a:p>
          <a:r>
            <a:rPr lang="en-IN" b="1"/>
            <a:t>Availability is the primary loss driver identified across the bottleneck machines. Management should therefore focus on preventive maintenance, breakdown reduction and faster recovery from unplanned downtime.</a:t>
          </a:r>
        </a:p>
        <a:p>
          <a:endParaRPr lang="en-IN"/>
        </a:p>
        <a:p>
          <a:r>
            <a:rPr lang="en-IN" b="1"/>
            <a:t>3. Prioritize Production Using Economics + Criticality</a:t>
          </a:r>
        </a:p>
        <a:p>
          <a:r>
            <a:rPr lang="en-IN" b="1"/>
            <a:t>When capacity is constrained, components such as C027, C004 and C102 should receive greater economic consideration because of their high contribution per machine-hour. However, economic priority should be balanced with component criticality, particularly for critical components such as C027 and C215.</a:t>
          </a:r>
        </a:p>
        <a:p>
          <a:endParaRPr lang="en-IN"/>
        </a:p>
        <a:p>
          <a:r>
            <a:rPr lang="en-IN" b="1"/>
            <a:t>4. Use Operational Improvements Before Capacity Expansion</a:t>
          </a:r>
        </a:p>
        <a:p>
          <a:r>
            <a:rPr lang="en-IN" b="1"/>
            <a:t>The scenario analysis indicates that increasing scheduled hours, reducing downtime and improving efficiency can materially reduce or eliminate modeled capacity shortages. Therefore, operational improvements should be evaluated before committing to additional machine capacity.</a:t>
          </a:r>
          <a:endParaRPr lang="en-IN"/>
        </a:p>
        <a:p>
          <a:endParaRPr lang="en-IN" b="0"/>
        </a:p>
        <a:p>
          <a:r>
            <a:rPr lang="en-IN" b="0"/>
            <a:t>This approach aims to improve capacity utilization, protect critical production requirements and maximize the economic value generated from constrained manufacturing resources.</a:t>
          </a:r>
        </a:p>
        <a:p>
          <a:endParaRPr lang="en-IN" sz="1100"/>
        </a:p>
      </xdr:txBody>
    </xdr:sp>
    <xdr:clientData/>
  </xdr:twoCellAnchor>
  <xdr:twoCellAnchor>
    <xdr:from>
      <xdr:col>1</xdr:col>
      <xdr:colOff>38100</xdr:colOff>
      <xdr:row>36</xdr:row>
      <xdr:rowOff>152400</xdr:rowOff>
    </xdr:from>
    <xdr:to>
      <xdr:col>4</xdr:col>
      <xdr:colOff>88900</xdr:colOff>
      <xdr:row>49</xdr:row>
      <xdr:rowOff>165100</xdr:rowOff>
    </xdr:to>
    <xdr:sp macro="" textlink="">
      <xdr:nvSpPr>
        <xdr:cNvPr id="5" name="TextBox 4">
          <a:extLst>
            <a:ext uri="{FF2B5EF4-FFF2-40B4-BE49-F238E27FC236}">
              <a16:creationId xmlns:a16="http://schemas.microsoft.com/office/drawing/2014/main" id="{1EB1A417-963A-B0EE-4743-0D28EDC4AFD2}"/>
            </a:ext>
          </a:extLst>
        </xdr:cNvPr>
        <xdr:cNvSpPr txBox="1"/>
      </xdr:nvSpPr>
      <xdr:spPr>
        <a:xfrm>
          <a:off x="292100" y="8826500"/>
          <a:ext cx="6273800" cy="248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Key Findings</a:t>
          </a:r>
        </a:p>
        <a:p>
          <a:endParaRPr lang="en-IN" b="1"/>
        </a:p>
        <a:p>
          <a:r>
            <a:rPr lang="en-IN" b="0"/>
            <a:t>Base capacity is marginally insufficient, with required machine hours </a:t>
          </a:r>
          <a:r>
            <a:rPr lang="en-IN" b="1"/>
            <a:t>of 104,382.33 hours </a:t>
          </a:r>
          <a:r>
            <a:rPr lang="en-IN" b="0"/>
            <a:t>against available capacity of </a:t>
          </a:r>
          <a:r>
            <a:rPr lang="en-IN" b="1"/>
            <a:t>104,309.28 hours</a:t>
          </a:r>
          <a:r>
            <a:rPr lang="en-IN" b="0"/>
            <a:t>, resulting in </a:t>
          </a:r>
          <a:r>
            <a:rPr lang="en-IN" b="1"/>
            <a:t>13 machines </a:t>
          </a:r>
          <a:r>
            <a:rPr lang="en-IN" b="0"/>
            <a:t>operating above available capacity.</a:t>
          </a:r>
        </a:p>
        <a:p>
          <a:endParaRPr lang="en-IN" b="0"/>
        </a:p>
        <a:p>
          <a:r>
            <a:rPr lang="en-IN" b="0"/>
            <a:t>The most severe capacity constraints occur on </a:t>
          </a:r>
          <a:r>
            <a:rPr lang="en-IN" b="1"/>
            <a:t>M020, M002, M006, M019 and M004</a:t>
          </a:r>
          <a:r>
            <a:rPr lang="en-IN" b="0"/>
            <a:t>. Availability is identified as the primary loss driver for these bottleneck machines.</a:t>
          </a:r>
        </a:p>
        <a:p>
          <a:endParaRPr lang="en-IN" b="0"/>
        </a:p>
        <a:p>
          <a:r>
            <a:rPr lang="en-IN" b="0"/>
            <a:t>From an economic perspective, </a:t>
          </a:r>
          <a:r>
            <a:rPr lang="en-IN" b="1"/>
            <a:t>C027, C004 and C102 </a:t>
          </a:r>
          <a:r>
            <a:rPr lang="en-IN" b="0"/>
            <a:t>rank among the </a:t>
          </a:r>
          <a:r>
            <a:rPr lang="en-IN" b="1"/>
            <a:t>highest contribution-per-machine-hour Make components</a:t>
          </a:r>
          <a:r>
            <a:rPr lang="en-IN" b="0"/>
            <a:t>, indicating that machine capacity allocation should consider economic contribution alongside component criticality.</a:t>
          </a:r>
        </a:p>
        <a:p>
          <a:endParaRPr lang="en-IN"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DE7495-5F55-458B-9B82-2CDDF00F1076}" name="tblComponents" displayName="tblComponents" ref="A1:BE501" totalsRowShown="0">
  <autoFilter ref="A1:BE501" xr:uid="{4DDE7495-5F55-458B-9B82-2CDDF00F1076}"/>
  <tableColumns count="57">
    <tableColumn id="1" xr3:uid="{EA455457-A7F1-4FED-9373-5547906FA2A9}" name="Component_ID"/>
    <tableColumn id="2" xr3:uid="{66E6091A-C49F-46C2-A2E1-8C9EE4228C46}" name="Component_Name"/>
    <tableColumn id="3" xr3:uid="{BB95F812-B1CA-456B-B9B8-A47DE0DE9395}" name="Product_Family"/>
    <tableColumn id="4" xr3:uid="{084D4C01-E9BC-4C14-9EB2-096D96F62DB8}" name="Category"/>
    <tableColumn id="5" xr3:uid="{FD4EF785-4EE1-49C7-8E47-93B8CB9D8408}" name="Size"/>
    <tableColumn id="6" xr3:uid="{4601822A-8EF2-418E-B064-524BCCB8D115}" name="Sourcing_Type"/>
    <tableColumn id="7" xr3:uid="{331ACC92-DAA3-4435-BF19-BEE6CC0C52D0}" name="Criticality"/>
    <tableColumn id="8" xr3:uid="{6A540AA8-438A-412B-97B5-27FCF355D7DB}" name="Monthly_Demand"/>
    <tableColumn id="9" xr3:uid="{6774ED58-CD3A-4817-9929-04DD9B1A7A4B}" name="Demand_Growth_Rate"/>
    <tableColumn id="10" xr3:uid="{D8041B8B-A258-4006-92DF-0D83A67AEEA7}" name="Forecast_Demand"/>
    <tableColumn id="11" xr3:uid="{5EE4304D-ECF9-4603-9FE8-B7A1AA3F314B}" name="Opening_Inventory"/>
    <tableColumn id="12" xr3:uid="{A2162F62-89F4-4454-969B-5AD473557C96}" name="Safety_Stock"/>
    <tableColumn id="13" xr3:uid="{5B347A62-0D4D-49A8-BAD5-978B062879E0}" name="Assigned_Machine"/>
    <tableColumn id="14" xr3:uid="{E3066C62-4860-4A6C-A533-2D14F32D807D}" name="Ideal_Cycle_Time_Min"/>
    <tableColumn id="15" xr3:uid="{E249F6A8-7E86-4D46-A30D-7E8651CF4376}" name="Actual_Cycle_Time_Min"/>
    <tableColumn id="16" xr3:uid="{9324B1D4-DE5E-4C59-B54B-986E5A01BF84}" name="Setup_Time_Min"/>
    <tableColumn id="17" xr3:uid="{C648E99C-D8A9-4D10-8B2A-B30FBC8CE332}" name="Changeover_Time_Min"/>
    <tableColumn id="18" xr3:uid="{6F11056A-25BF-4463-9013-C461E1036DC4}" name="Operators_Required"/>
    <tableColumn id="19" xr3:uid="{137F9261-1650-4314-B9C3-5B5D1BC53289}" name="Labor_Hours_Per_Unit"/>
    <tableColumn id="20" xr3:uid="{D588ED63-8B96-4E48-A876-6778975C9A16}" name="Defect_Rate"/>
    <tableColumn id="21" xr3:uid="{648CA96C-C942-4921-BDB9-FA715EA5B2A6}" name="Labor_Efficiency"/>
    <tableColumn id="22" xr3:uid="{C2A32065-4A5C-4F5E-BEB3-AF279CD66743}" name="Assigned_Supplier"/>
    <tableColumn id="23" xr3:uid="{6B50B881-D37C-4786-AE00-849BC7FA8EED}" name="Supplier_Capacity"/>
    <tableColumn id="24" xr3:uid="{1E9DB087-E1A9-45C9-94D2-649057F55BE7}" name="Purchase_Price_Index"/>
    <tableColumn id="25" xr3:uid="{3501E85B-D18A-4B46-A97B-01B0FD94D258}" name="Lead_Time_Days"/>
    <tableColumn id="26" xr3:uid="{486F34BE-23CD-4134-AF6A-BC83328A8232}" name="MOQ"/>
    <tableColumn id="27" xr3:uid="{D6655AC2-55CF-433F-8B27-FB33B85F3927}" name="Supplier_Defect_Rate"/>
    <tableColumn id="28" xr3:uid="{89A60AAF-B235-437B-ACED-3FD72693A5DD}" name="Delivery_Reliability"/>
    <tableColumn id="29" xr3:uid="{16B705D3-223F-4762-83F9-24AA832D8CC0}" name="Transportation_Cost"/>
    <tableColumn id="30" xr3:uid="{395298C2-06EC-49B2-8D13-1854A5C00F3C}" name="Payment_Terms_Days"/>
    <tableColumn id="31" xr3:uid="{DC5FE76D-2EBE-4909-AF13-D15D19BD4664}" name="Purchase_Price_Per_Unit"/>
    <tableColumn id="32" xr3:uid="{5DF07731-4124-443B-B2A3-CE27F97E48FE}" name="Landed_Cost_Per_Unit"/>
    <tableColumn id="33" xr3:uid="{C134AA89-49C2-4E8F-A55F-8FDA56D420D8}" name="Effective_Cost_Per_Unit"/>
    <tableColumn id="34" xr3:uid="{EF0814E5-3DD8-4EA4-BD71-A1D91B9F71BD}" name="Raw_Material_Cost_Per_Unit"/>
    <tableColumn id="35" xr3:uid="{AC99FA5F-DBC8-424D-929C-39E0BAFBE2A2}" name="Direct_Labor_Cost_Per_Unit"/>
    <tableColumn id="36" xr3:uid="{4CDB9DBD-76B2-40C3-BFBE-6D41785BF2FE}" name="Machine_Cost_Per_Unit"/>
    <tableColumn id="37" xr3:uid="{70869F94-5680-4C56-9556-46137BE09E0B}" name="Variable_Overhead_Per_Unit"/>
    <tableColumn id="38" xr3:uid="{506E5E09-3A65-4580-B222-4A112AED7630}" name="Variable_Cost_Per_Unit"/>
    <tableColumn id="39" xr3:uid="{583EBDD5-74BE-4B96-8BA5-3C6D2090EB39}" name="Target_Contribution_Margin"/>
    <tableColumn id="40" xr3:uid="{CBFD0A3D-A153-40CF-B4AC-868DF640558F}" name="Selling_Price_Per_Unit"/>
    <tableColumn id="41" xr3:uid="{E1156235-4942-4AA0-B9D9-B6793A6A4442}" name="Contribution_Per_Unit"/>
    <tableColumn id="42" xr3:uid="{C28B695F-1D22-4C87-AC18-7DE0AC96036B}" name="Contribution_Margin"/>
    <tableColumn id="43" xr3:uid="{513774C7-8321-4072-88AC-3681FE388635}" name="Variable_Cost_Ratio"/>
    <tableColumn id="44" xr3:uid="{06934810-DA15-4808-908E-4DA6DAE75540}" name="Annual_Demand"/>
    <tableColumn id="45" xr3:uid="{7EAE6968-647D-4D51-940D-C7110D6329F9}" name="Average_Monthly_Demand"/>
    <tableColumn id="46" xr3:uid="{D2F4EABA-4B38-4A69-9295-1A9CC363BB61}" name="Demand_Variability"/>
    <tableColumn id="47" xr3:uid="{1E8AEE1E-6172-4D7A-BF90-3911BF51918B}" name="Net_Requirement"/>
    <tableColumn id="48" xr3:uid="{A828B5F3-C22C-44F6-B129-65066DDE0536}" name="Required_Good_Units"/>
    <tableColumn id="49" xr3:uid="{2B257F35-891E-4D74-BD6D-42BD07B23AF7}" name="Gross_Requirement"/>
    <tableColumn id="50" xr3:uid="{995EABED-6D28-4A6B-A872-ECDFC16A1271}" name="Planned_Production_or_Procurement"/>
    <tableColumn id="51" xr3:uid="{1B828C0E-ED7E-4214-8FAA-473E75BC030C}" name="Required_Machine_Hours"/>
    <tableColumn id="52" xr3:uid="{128E06C7-9A18-4B97-ABBF-3CDC926CE18E}" name="Machine_Efficiency"/>
    <tableColumn id="53" xr3:uid="{5584D9D1-8AE3-4C41-8DE0-3EA67DD51605}" name="Required_Labor_Hours"/>
    <tableColumn id="54" xr3:uid="{666B75C6-DEAD-41C7-B81B-5AE168A1C2B8}" name="Quality_Rate"/>
    <tableColumn id="55" xr3:uid="{FAB42833-4F9D-4E01-951F-B0892CBB4073}" name="Performance_Rate"/>
    <tableColumn id="56" xr3:uid="{EE98AAFF-3532-4EDE-89FD-98E6F91E3705}" name="Availability_Rate"/>
    <tableColumn id="57" xr3:uid="{2FEAE3A3-7B70-4058-B459-6B8DB8F48DC2}" name="OEE"/>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9C20DC1-C902-4DD1-A30D-7E4F4F908B0E}" name="tblMachines" displayName="tblMachines" ref="A1:P26" totalsRowShown="0">
  <autoFilter ref="A1:P26" xr:uid="{E9C20DC1-C902-4DD1-A30D-7E4F4F908B0E}"/>
  <tableColumns count="16">
    <tableColumn id="1" xr3:uid="{E2DC815F-194C-427F-B73B-AA4C145B2461}" name="Machine_ID"/>
    <tableColumn id="2" xr3:uid="{8E34D3EC-42F3-43EA-9253-1900AC86FFD8}" name="Machine_Efficiency"/>
    <tableColumn id="3" xr3:uid="{B8F2F933-4925-4AEE-B323-7C8369112424}" name="Planned_Downtime_Rate"/>
    <tableColumn id="4" xr3:uid="{F2DA94F7-81A6-4171-B289-DF5C8B408001}" name="Unplanned_Downtime_Rate"/>
    <tableColumn id="5" xr3:uid="{6DB25F96-FC94-4D29-83A7-AACA6582220F}" name="Scheduled_Hours"/>
    <tableColumn id="6" xr3:uid="{E8C67125-245F-431F-BE2D-12A33061AC02}" name="Planned_Downtime_Hours"/>
    <tableColumn id="7" xr3:uid="{359B874F-3A0E-4922-958C-F394EE89E0AE}" name="Unplanned_Downtime_Hours"/>
    <tableColumn id="8" xr3:uid="{78992709-A9F0-4AB8-BA96-31785F269712}" name="Available_Production_Hours"/>
    <tableColumn id="9" xr3:uid="{36A27181-91E7-4369-9F8C-ED7BB6277A90}" name="Required_Machine_Hours"/>
    <tableColumn id="10" xr3:uid="{EF68B59D-2C74-426C-9AE2-51CD72EE67D4}" name="Machine_Utilization"/>
    <tableColumn id="11" xr3:uid="{864C6369-7365-4B4B-866D-239443957BE7}" name="Capacity_Surplus_Shortage_Hours"/>
    <tableColumn id="12" xr3:uid="{891AA265-8833-4291-9A51-AFC0DC3AD779}" name="Average_Availability"/>
    <tableColumn id="13" xr3:uid="{7BC2A6CD-8511-419C-8034-9F0B7C324D32}" name="Average_Performance"/>
    <tableColumn id="14" xr3:uid="{95F3CE5F-3685-459F-8461-D415EE4CF778}" name="Average_Quality"/>
    <tableColumn id="15" xr3:uid="{AD8EBBD0-8A02-430F-9712-239D94079102}" name="Average_OEE"/>
    <tableColumn id="16" xr3:uid="{DBFD89F2-0786-495F-A9EC-B5E35DEE0555}" name="Capacity_Status"/>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9C1D07-4C28-41C1-BBC0-262E3B44ED6A}" name="tblSuppliers" displayName="tblSuppliers" ref="A1:K31" totalsRowShown="0">
  <autoFilter ref="A1:K31" xr:uid="{049C1D07-4C28-41C1-BBC0-262E3B44ED6A}"/>
  <tableColumns count="11">
    <tableColumn id="1" xr3:uid="{853E1735-EC36-4F2F-88A9-0C2CCBC997A3}" name="Supplier_ID"/>
    <tableColumn id="2" xr3:uid="{3C65BECC-6B43-436D-ACB6-FA12ECE5356D}" name="Supplier_Name"/>
    <tableColumn id="3" xr3:uid="{74496ED7-E49E-439F-8828-D653A500480E}" name="Supplier_Category"/>
    <tableColumn id="4" xr3:uid="{FCC63B45-068B-4579-862B-32C51E6BAA8C}" name="Supplier_Capacity"/>
    <tableColumn id="5" xr3:uid="{84648B2C-8726-4B6D-8123-A2BD50182916}" name="Purchase_Price_Index"/>
    <tableColumn id="6" xr3:uid="{4D27DABB-06BA-4B1A-85D3-F943210DAAA2}" name="Lead_Time_Days"/>
    <tableColumn id="7" xr3:uid="{BD540BE1-48CC-4146-BD7C-218B5AB628A4}" name="MOQ"/>
    <tableColumn id="8" xr3:uid="{E5F57AF7-6E71-471F-BC9E-5BFDA5EEFB6F}" name="Supplier_Defect_Rate"/>
    <tableColumn id="9" xr3:uid="{E6EA301C-545B-44C1-95A0-01F416639AEE}" name="Delivery_Reliability"/>
    <tableColumn id="10" xr3:uid="{96C01A08-D95F-488E-BBB4-7495B250D607}" name="Transportation_Cost"/>
    <tableColumn id="11" xr3:uid="{43F9473E-ECA2-4502-9F2F-C01683B40B3C}" name="Payment_Terms_Days"/>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9F0DF2-1646-477A-9932-DF5615B16937}" name="tblOEE" displayName="tblOEE" ref="A1:E26" totalsRowShown="0">
  <autoFilter ref="A1:E26" xr:uid="{289F0DF2-1646-477A-9932-DF5615B16937}"/>
  <tableColumns count="5">
    <tableColumn id="1" xr3:uid="{D2B02186-E175-4D17-82D2-7E25535EE2E8}" name="Machine_ID"/>
    <tableColumn id="2" xr3:uid="{4A6CE41A-7D41-4BCD-A8BA-A8CF85209E98}" name="Average_Availability"/>
    <tableColumn id="3" xr3:uid="{A17E6C02-C284-4867-B511-A70CD63D8C7A}" name="Average_Performance"/>
    <tableColumn id="4" xr3:uid="{55BEF2AC-529C-48C5-A18A-E2BBB840E3A3}" name="Average_Quality"/>
    <tableColumn id="5" xr3:uid="{FBE77F15-DCCF-4C4E-B226-9A60AA82615B}" name="Average_OEE"/>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6705F6D-47FB-4B1C-B24D-0B4A5E8FDAF1}" name="tblLabor" displayName="tblLabor" ref="A1:B7" totalsRowShown="0">
  <autoFilter ref="A1:B7" xr:uid="{56705F6D-47FB-4B1C-B24D-0B4A5E8FDAF1}"/>
  <tableColumns count="2">
    <tableColumn id="1" xr3:uid="{C9F2D521-A56E-4E82-8CF9-62E02C16AA4B}" name="Metric"/>
    <tableColumn id="2" xr3:uid="{58291A30-B735-4736-B9C7-3C8E85D1731B}" name="Value"/>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38AF9E-34F6-4BB5-9517-877549FA13EB}" name="Table6" displayName="Table6" ref="B29:D36" totalsRowShown="0" headerRowDxfId="7">
  <autoFilter ref="B29:D36" xr:uid="{1838AF9E-34F6-4BB5-9517-877549FA13EB}"/>
  <tableColumns count="3">
    <tableColumn id="1" xr3:uid="{AD3EE708-7ABC-4FE2-90DB-80A0ED00421E}" name="Area" dataDxfId="6"/>
    <tableColumn id="2" xr3:uid="{B8F57E25-2207-4701-B35B-54B77F1D5D3B}" name="Key Finding" dataDxfId="5"/>
    <tableColumn id="3" xr3:uid="{6659AA5C-5030-4CB3-834B-7F002B1C0321}" name="Management Implication" dataDxfId="4"/>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FD0713-29C8-4381-A644-1F97B0402E4B}" name="Table7" displayName="Table7" ref="B106:D112" totalsRowShown="0" headerRowDxfId="3">
  <autoFilter ref="B106:D112" xr:uid="{78FD0713-29C8-4381-A644-1F97B0402E4B}"/>
  <tableColumns count="3">
    <tableColumn id="1" xr3:uid="{880B75DB-9067-44FE-BFE5-8C12D328723B}" name="Timeline" dataDxfId="2"/>
    <tableColumn id="2" xr3:uid="{95E36A0B-A6BC-4F38-9292-257BD30A4A59}" name="Action" dataDxfId="1"/>
    <tableColumn id="3" xr3:uid="{0263ECFF-D096-4239-97F2-BF79B602077E}" name="Objective" dataDxfId="0"/>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topLeftCell="A50" zoomScale="90" zoomScaleNormal="90" workbookViewId="0">
      <selection activeCell="A63" sqref="A63"/>
    </sheetView>
  </sheetViews>
  <sheetFormatPr defaultRowHeight="14.5" x14ac:dyDescent="0.35"/>
  <cols>
    <col min="1" max="1" width="95.36328125" customWidth="1"/>
    <col min="2" max="2" width="12.81640625" customWidth="1"/>
  </cols>
  <sheetData>
    <row r="1" spans="1:1" x14ac:dyDescent="0.35">
      <c r="A1" s="1" t="s">
        <v>1</v>
      </c>
    </row>
    <row r="2" spans="1:1" x14ac:dyDescent="0.35">
      <c r="A2" s="1" t="s">
        <v>0</v>
      </c>
    </row>
    <row r="3" spans="1:1" x14ac:dyDescent="0.35">
      <c r="A3" s="1"/>
    </row>
    <row r="4" spans="1:1" x14ac:dyDescent="0.35">
      <c r="A4" s="1" t="s">
        <v>2</v>
      </c>
    </row>
    <row r="5" spans="1:1" ht="93" customHeight="1" x14ac:dyDescent="0.35">
      <c r="A5" s="3" t="s">
        <v>3</v>
      </c>
    </row>
    <row r="7" spans="1:1" x14ac:dyDescent="0.35">
      <c r="A7" s="1" t="s">
        <v>4</v>
      </c>
    </row>
    <row r="8" spans="1:1" ht="58" x14ac:dyDescent="0.35">
      <c r="A8" s="2" t="s">
        <v>5</v>
      </c>
    </row>
    <row r="10" spans="1:1" x14ac:dyDescent="0.35">
      <c r="A10" s="1" t="s">
        <v>6</v>
      </c>
    </row>
    <row r="11" spans="1:1" x14ac:dyDescent="0.35">
      <c r="A11"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2" x14ac:dyDescent="0.35">
      <c r="A17" t="s">
        <v>13</v>
      </c>
    </row>
    <row r="18" spans="1:2" x14ac:dyDescent="0.35">
      <c r="A18" t="s">
        <v>14</v>
      </c>
    </row>
    <row r="19" spans="1:2" x14ac:dyDescent="0.35">
      <c r="A19" t="s">
        <v>15</v>
      </c>
    </row>
    <row r="20" spans="1:2" x14ac:dyDescent="0.35">
      <c r="A20" t="s">
        <v>16</v>
      </c>
    </row>
    <row r="21" spans="1:2" x14ac:dyDescent="0.35">
      <c r="A21" t="s">
        <v>17</v>
      </c>
    </row>
    <row r="22" spans="1:2" x14ac:dyDescent="0.35">
      <c r="A22" t="s">
        <v>18</v>
      </c>
    </row>
    <row r="23" spans="1:2" x14ac:dyDescent="0.35">
      <c r="A23" t="s">
        <v>19</v>
      </c>
    </row>
    <row r="25" spans="1:2" x14ac:dyDescent="0.35">
      <c r="A25" s="1" t="s">
        <v>20</v>
      </c>
    </row>
    <row r="26" spans="1:2" x14ac:dyDescent="0.35">
      <c r="A26" s="2" t="s">
        <v>21</v>
      </c>
      <c r="B26" s="2" t="s">
        <v>38</v>
      </c>
    </row>
    <row r="27" spans="1:2" x14ac:dyDescent="0.35">
      <c r="A27" s="2" t="s">
        <v>22</v>
      </c>
      <c r="B27" s="2">
        <v>500</v>
      </c>
    </row>
    <row r="28" spans="1:2" x14ac:dyDescent="0.35">
      <c r="A28" s="2" t="s">
        <v>23</v>
      </c>
      <c r="B28" s="2">
        <v>300</v>
      </c>
    </row>
    <row r="29" spans="1:2" x14ac:dyDescent="0.35">
      <c r="A29" s="2" t="s">
        <v>24</v>
      </c>
      <c r="B29" s="2">
        <v>200</v>
      </c>
    </row>
    <row r="30" spans="1:2" x14ac:dyDescent="0.35">
      <c r="A30" s="2" t="s">
        <v>25</v>
      </c>
      <c r="B30" s="2">
        <v>25</v>
      </c>
    </row>
    <row r="31" spans="1:2" x14ac:dyDescent="0.35">
      <c r="A31" s="2" t="s">
        <v>26</v>
      </c>
      <c r="B31" s="2">
        <v>30</v>
      </c>
    </row>
    <row r="32" spans="1:2" x14ac:dyDescent="0.35">
      <c r="A32" s="3" t="s">
        <v>27</v>
      </c>
      <c r="B32" s="2" t="s">
        <v>39</v>
      </c>
    </row>
    <row r="33" spans="1:2" x14ac:dyDescent="0.35">
      <c r="A33" s="2" t="s">
        <v>28</v>
      </c>
      <c r="B33" s="2" t="s">
        <v>40</v>
      </c>
    </row>
    <row r="34" spans="1:2" x14ac:dyDescent="0.35">
      <c r="A34" s="2" t="s">
        <v>29</v>
      </c>
      <c r="B34" s="2" t="s">
        <v>40</v>
      </c>
    </row>
    <row r="35" spans="1:2" x14ac:dyDescent="0.35">
      <c r="A35" s="2" t="s">
        <v>30</v>
      </c>
      <c r="B35" s="2" t="s">
        <v>41</v>
      </c>
    </row>
    <row r="36" spans="1:2" x14ac:dyDescent="0.35">
      <c r="A36" s="2" t="s">
        <v>31</v>
      </c>
      <c r="B36" s="2" t="s">
        <v>40</v>
      </c>
    </row>
    <row r="37" spans="1:2" x14ac:dyDescent="0.35">
      <c r="A37" s="2" t="s">
        <v>32</v>
      </c>
      <c r="B37" t="s">
        <v>42</v>
      </c>
    </row>
    <row r="38" spans="1:2" x14ac:dyDescent="0.35">
      <c r="A38" s="2" t="s">
        <v>33</v>
      </c>
      <c r="B38" t="s">
        <v>43</v>
      </c>
    </row>
    <row r="39" spans="1:2" x14ac:dyDescent="0.35">
      <c r="A39" s="2" t="s">
        <v>34</v>
      </c>
      <c r="B39" t="s">
        <v>44</v>
      </c>
    </row>
    <row r="40" spans="1:2" x14ac:dyDescent="0.35">
      <c r="A40" s="2" t="s">
        <v>35</v>
      </c>
      <c r="B40" t="s">
        <v>45</v>
      </c>
    </row>
    <row r="41" spans="1:2" x14ac:dyDescent="0.35">
      <c r="A41" s="2" t="s">
        <v>36</v>
      </c>
      <c r="B41" t="s">
        <v>46</v>
      </c>
    </row>
    <row r="42" spans="1:2" x14ac:dyDescent="0.35">
      <c r="A42" s="2" t="s">
        <v>37</v>
      </c>
      <c r="B42" t="s">
        <v>47</v>
      </c>
    </row>
    <row r="44" spans="1:2" x14ac:dyDescent="0.35">
      <c r="A44" s="1" t="s">
        <v>48</v>
      </c>
    </row>
    <row r="45" spans="1:2" x14ac:dyDescent="0.35">
      <c r="A45" t="s">
        <v>49</v>
      </c>
    </row>
    <row r="46" spans="1:2" x14ac:dyDescent="0.35">
      <c r="A46" t="s">
        <v>50</v>
      </c>
    </row>
    <row r="47" spans="1:2" x14ac:dyDescent="0.35">
      <c r="A47" t="s">
        <v>51</v>
      </c>
    </row>
    <row r="48" spans="1:2" x14ac:dyDescent="0.35">
      <c r="A48" t="s">
        <v>52</v>
      </c>
    </row>
    <row r="49" spans="1:1" x14ac:dyDescent="0.35">
      <c r="A49" t="s">
        <v>53</v>
      </c>
    </row>
    <row r="50" spans="1:1" x14ac:dyDescent="0.35">
      <c r="A50" t="s">
        <v>54</v>
      </c>
    </row>
    <row r="51" spans="1:1" x14ac:dyDescent="0.35">
      <c r="A51" t="s">
        <v>55</v>
      </c>
    </row>
    <row r="52" spans="1:1" x14ac:dyDescent="0.35">
      <c r="A52" t="s">
        <v>56</v>
      </c>
    </row>
    <row r="53" spans="1:1" x14ac:dyDescent="0.35">
      <c r="A53" t="s">
        <v>57</v>
      </c>
    </row>
    <row r="54" spans="1:1" x14ac:dyDescent="0.35">
      <c r="A54" t="s">
        <v>58</v>
      </c>
    </row>
    <row r="55" spans="1:1" x14ac:dyDescent="0.35">
      <c r="A55" t="s">
        <v>59</v>
      </c>
    </row>
    <row r="56" spans="1:1" x14ac:dyDescent="0.35">
      <c r="A56" t="s">
        <v>60</v>
      </c>
    </row>
    <row r="57" spans="1:1" x14ac:dyDescent="0.35">
      <c r="A57" t="s">
        <v>61</v>
      </c>
    </row>
    <row r="58" spans="1:1" x14ac:dyDescent="0.35">
      <c r="A58" t="s">
        <v>62</v>
      </c>
    </row>
    <row r="60" spans="1:1" x14ac:dyDescent="0.35">
      <c r="A60" t="s">
        <v>63</v>
      </c>
    </row>
    <row r="61" spans="1:1" ht="43.5" x14ac:dyDescent="0.35">
      <c r="A61" s="2"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4B39A-9787-4181-8AF1-FAFA9DCD8826}">
  <dimension ref="A1:H172"/>
  <sheetViews>
    <sheetView workbookViewId="0">
      <selection activeCell="A174" sqref="A174"/>
    </sheetView>
  </sheetViews>
  <sheetFormatPr defaultRowHeight="14.5" x14ac:dyDescent="0.35"/>
  <cols>
    <col min="1" max="1" width="10.6328125" bestFit="1" customWidth="1"/>
    <col min="2" max="2" width="19" bestFit="1" customWidth="1"/>
    <col min="3" max="3" width="44.36328125" bestFit="1" customWidth="1"/>
    <col min="4" max="4" width="11.453125" bestFit="1" customWidth="1"/>
    <col min="5" max="5" width="9.453125" bestFit="1" customWidth="1"/>
    <col min="6" max="6" width="9.6328125" bestFit="1" customWidth="1"/>
    <col min="7" max="7" width="24.7265625" bestFit="1" customWidth="1"/>
    <col min="8" max="8" width="26.08984375" bestFit="1" customWidth="1"/>
  </cols>
  <sheetData>
    <row r="1" spans="1:8" x14ac:dyDescent="0.35">
      <c r="A1" t="s">
        <v>118</v>
      </c>
    </row>
    <row r="2" spans="1:8" x14ac:dyDescent="0.35">
      <c r="A2" s="4" t="s">
        <v>65</v>
      </c>
      <c r="B2" s="4" t="s">
        <v>66</v>
      </c>
      <c r="C2" s="4" t="s">
        <v>67</v>
      </c>
      <c r="D2" s="4" t="s">
        <v>68</v>
      </c>
      <c r="E2" s="4" t="s">
        <v>69</v>
      </c>
      <c r="F2" s="4" t="s">
        <v>70</v>
      </c>
      <c r="G2" s="4" t="s">
        <v>71</v>
      </c>
      <c r="H2" s="4" t="s">
        <v>72</v>
      </c>
    </row>
    <row r="3" spans="1:8" x14ac:dyDescent="0.35">
      <c r="A3" s="5" t="s">
        <v>73</v>
      </c>
      <c r="B3" s="5" t="s">
        <v>74</v>
      </c>
      <c r="C3" s="5" t="s">
        <v>75</v>
      </c>
      <c r="D3" s="5" t="s">
        <v>76</v>
      </c>
      <c r="E3" s="5" t="s">
        <v>77</v>
      </c>
      <c r="F3" s="5" t="s">
        <v>78</v>
      </c>
      <c r="G3" s="5" t="s">
        <v>79</v>
      </c>
      <c r="H3" s="5" t="s">
        <v>80</v>
      </c>
    </row>
    <row r="4" spans="1:8" x14ac:dyDescent="0.35">
      <c r="A4" s="5" t="s">
        <v>73</v>
      </c>
      <c r="B4" s="5" t="s">
        <v>81</v>
      </c>
      <c r="C4" s="5" t="s">
        <v>82</v>
      </c>
      <c r="D4" s="5" t="s">
        <v>76</v>
      </c>
      <c r="E4" s="5" t="s">
        <v>77</v>
      </c>
      <c r="F4" s="5" t="s">
        <v>78</v>
      </c>
      <c r="G4" s="5" t="s">
        <v>79</v>
      </c>
      <c r="H4" s="5" t="s">
        <v>83</v>
      </c>
    </row>
    <row r="5" spans="1:8" x14ac:dyDescent="0.35">
      <c r="A5" s="5" t="s">
        <v>73</v>
      </c>
      <c r="B5" s="5" t="s">
        <v>84</v>
      </c>
      <c r="C5" s="5" t="s">
        <v>85</v>
      </c>
      <c r="D5" s="5" t="s">
        <v>76</v>
      </c>
      <c r="E5" s="5" t="s">
        <v>77</v>
      </c>
      <c r="F5" s="5" t="s">
        <v>78</v>
      </c>
      <c r="G5" s="5" t="s">
        <v>79</v>
      </c>
      <c r="H5" s="5" t="s">
        <v>86</v>
      </c>
    </row>
    <row r="6" spans="1:8" x14ac:dyDescent="0.35">
      <c r="A6" s="5" t="s">
        <v>73</v>
      </c>
      <c r="B6" s="5" t="s">
        <v>87</v>
      </c>
      <c r="C6" s="5" t="s">
        <v>88</v>
      </c>
      <c r="D6" s="5" t="s">
        <v>76</v>
      </c>
      <c r="E6" s="5" t="s">
        <v>77</v>
      </c>
      <c r="F6" s="5" t="s">
        <v>78</v>
      </c>
      <c r="G6" s="5" t="s">
        <v>79</v>
      </c>
      <c r="H6" s="5" t="s">
        <v>89</v>
      </c>
    </row>
    <row r="7" spans="1:8" x14ac:dyDescent="0.35">
      <c r="A7" s="5" t="s">
        <v>73</v>
      </c>
      <c r="B7" s="5" t="s">
        <v>90</v>
      </c>
      <c r="C7" s="5" t="s">
        <v>91</v>
      </c>
      <c r="D7" s="5" t="s">
        <v>76</v>
      </c>
      <c r="E7" s="5" t="s">
        <v>77</v>
      </c>
      <c r="F7" s="5" t="s">
        <v>78</v>
      </c>
      <c r="G7" s="5" t="s">
        <v>79</v>
      </c>
      <c r="H7" s="5" t="s">
        <v>92</v>
      </c>
    </row>
    <row r="8" spans="1:8" x14ac:dyDescent="0.35">
      <c r="A8" s="5" t="s">
        <v>73</v>
      </c>
      <c r="B8" s="5" t="s">
        <v>93</v>
      </c>
      <c r="C8" s="5" t="s">
        <v>94</v>
      </c>
      <c r="D8" s="5" t="s">
        <v>76</v>
      </c>
      <c r="E8" s="5" t="s">
        <v>77</v>
      </c>
      <c r="F8" s="5" t="s">
        <v>78</v>
      </c>
      <c r="G8" s="5" t="s">
        <v>79</v>
      </c>
      <c r="H8" s="5" t="s">
        <v>95</v>
      </c>
    </row>
    <row r="9" spans="1:8" x14ac:dyDescent="0.35">
      <c r="A9" s="5" t="s">
        <v>73</v>
      </c>
      <c r="B9" s="5" t="s">
        <v>96</v>
      </c>
      <c r="C9" s="5" t="s">
        <v>97</v>
      </c>
      <c r="D9" s="5" t="s">
        <v>98</v>
      </c>
      <c r="E9" s="5" t="s">
        <v>77</v>
      </c>
      <c r="F9" s="5" t="s">
        <v>78</v>
      </c>
      <c r="G9" s="5" t="s">
        <v>79</v>
      </c>
      <c r="H9" s="5" t="s">
        <v>99</v>
      </c>
    </row>
    <row r="10" spans="1:8" x14ac:dyDescent="0.35">
      <c r="A10" s="5" t="s">
        <v>73</v>
      </c>
      <c r="B10" s="5" t="s">
        <v>100</v>
      </c>
      <c r="C10" s="5" t="s">
        <v>101</v>
      </c>
      <c r="D10" s="5" t="s">
        <v>102</v>
      </c>
      <c r="E10" s="5" t="s">
        <v>77</v>
      </c>
      <c r="F10" s="5" t="s">
        <v>78</v>
      </c>
      <c r="G10" s="5" t="s">
        <v>79</v>
      </c>
      <c r="H10" s="5" t="s">
        <v>103</v>
      </c>
    </row>
    <row r="11" spans="1:8" x14ac:dyDescent="0.35">
      <c r="A11" s="5" t="s">
        <v>73</v>
      </c>
      <c r="B11" s="5" t="s">
        <v>104</v>
      </c>
      <c r="C11" s="5" t="s">
        <v>105</v>
      </c>
      <c r="D11" s="5" t="s">
        <v>98</v>
      </c>
      <c r="E11" s="5" t="s">
        <v>77</v>
      </c>
      <c r="F11" s="5" t="s">
        <v>106</v>
      </c>
      <c r="G11" s="5" t="s">
        <v>107</v>
      </c>
      <c r="H11" s="5" t="s">
        <v>76</v>
      </c>
    </row>
    <row r="12" spans="1:8" x14ac:dyDescent="0.35">
      <c r="A12" s="5" t="s">
        <v>73</v>
      </c>
      <c r="B12" s="5" t="s">
        <v>108</v>
      </c>
      <c r="C12" s="5" t="s">
        <v>109</v>
      </c>
      <c r="D12" s="5" t="s">
        <v>110</v>
      </c>
      <c r="E12" s="5" t="s">
        <v>77</v>
      </c>
      <c r="F12" s="5" t="s">
        <v>78</v>
      </c>
      <c r="G12" s="5" t="s">
        <v>79</v>
      </c>
      <c r="H12" s="5" t="s">
        <v>111</v>
      </c>
    </row>
    <row r="13" spans="1:8" x14ac:dyDescent="0.35">
      <c r="A13" s="5" t="s">
        <v>73</v>
      </c>
      <c r="B13" s="5" t="s">
        <v>112</v>
      </c>
      <c r="C13" s="5" t="s">
        <v>113</v>
      </c>
      <c r="D13" s="5" t="s">
        <v>110</v>
      </c>
      <c r="E13" s="5" t="s">
        <v>77</v>
      </c>
      <c r="F13" s="5" t="s">
        <v>78</v>
      </c>
      <c r="G13" s="5" t="s">
        <v>79</v>
      </c>
      <c r="H13" s="5" t="s">
        <v>114</v>
      </c>
    </row>
    <row r="14" spans="1:8" x14ac:dyDescent="0.35">
      <c r="A14" s="5" t="s">
        <v>73</v>
      </c>
      <c r="B14" s="5" t="s">
        <v>115</v>
      </c>
      <c r="C14" s="5" t="s">
        <v>116</v>
      </c>
      <c r="D14" s="5" t="s">
        <v>110</v>
      </c>
      <c r="E14" s="5" t="s">
        <v>77</v>
      </c>
      <c r="F14" s="5" t="s">
        <v>106</v>
      </c>
      <c r="G14" s="5" t="s">
        <v>117</v>
      </c>
      <c r="H14" s="5" t="s">
        <v>76</v>
      </c>
    </row>
    <row r="16" spans="1:8" x14ac:dyDescent="0.35">
      <c r="A16" s="5" t="s">
        <v>119</v>
      </c>
    </row>
    <row r="17" spans="1:8" x14ac:dyDescent="0.35">
      <c r="A17" s="6" t="s">
        <v>65</v>
      </c>
      <c r="B17" s="6" t="s">
        <v>66</v>
      </c>
      <c r="C17" s="6" t="s">
        <v>67</v>
      </c>
      <c r="D17" s="6" t="s">
        <v>68</v>
      </c>
      <c r="E17" s="6" t="s">
        <v>69</v>
      </c>
      <c r="F17" s="6" t="s">
        <v>70</v>
      </c>
      <c r="G17" s="6" t="s">
        <v>71</v>
      </c>
      <c r="H17" s="6" t="s">
        <v>72</v>
      </c>
    </row>
    <row r="18" spans="1:8" x14ac:dyDescent="0.35">
      <c r="A18" s="7" t="s">
        <v>120</v>
      </c>
      <c r="B18" s="7" t="s">
        <v>121</v>
      </c>
      <c r="C18" s="7" t="s">
        <v>122</v>
      </c>
      <c r="D18" s="7" t="s">
        <v>76</v>
      </c>
      <c r="E18" s="7" t="s">
        <v>123</v>
      </c>
      <c r="F18" s="7" t="s">
        <v>78</v>
      </c>
      <c r="G18" s="7" t="s">
        <v>79</v>
      </c>
      <c r="H18" s="7" t="s">
        <v>124</v>
      </c>
    </row>
    <row r="19" spans="1:8" x14ac:dyDescent="0.35">
      <c r="A19" s="7" t="s">
        <v>120</v>
      </c>
      <c r="B19" s="7" t="s">
        <v>125</v>
      </c>
      <c r="C19" s="7" t="s">
        <v>126</v>
      </c>
      <c r="D19" s="7" t="s">
        <v>76</v>
      </c>
      <c r="E19" s="7" t="s">
        <v>123</v>
      </c>
      <c r="F19" s="7" t="s">
        <v>78</v>
      </c>
      <c r="G19" s="7" t="s">
        <v>79</v>
      </c>
      <c r="H19" s="7" t="s">
        <v>79</v>
      </c>
    </row>
    <row r="20" spans="1:8" x14ac:dyDescent="0.35">
      <c r="A20" s="7" t="s">
        <v>120</v>
      </c>
      <c r="B20" s="7" t="s">
        <v>127</v>
      </c>
      <c r="C20" s="7" t="s">
        <v>128</v>
      </c>
      <c r="D20" s="7" t="s">
        <v>76</v>
      </c>
      <c r="E20" s="7" t="s">
        <v>123</v>
      </c>
      <c r="F20" s="7" t="s">
        <v>78</v>
      </c>
      <c r="G20" s="7" t="s">
        <v>79</v>
      </c>
      <c r="H20" s="7" t="s">
        <v>129</v>
      </c>
    </row>
    <row r="21" spans="1:8" x14ac:dyDescent="0.35">
      <c r="A21" s="7" t="s">
        <v>120</v>
      </c>
      <c r="B21" s="7" t="s">
        <v>130</v>
      </c>
      <c r="C21" s="7" t="s">
        <v>131</v>
      </c>
      <c r="D21" s="7" t="s">
        <v>76</v>
      </c>
      <c r="E21" s="7" t="s">
        <v>123</v>
      </c>
      <c r="F21" s="7" t="s">
        <v>78</v>
      </c>
      <c r="G21" s="7" t="s">
        <v>79</v>
      </c>
      <c r="H21" s="7" t="s">
        <v>132</v>
      </c>
    </row>
    <row r="22" spans="1:8" x14ac:dyDescent="0.35">
      <c r="A22" s="7" t="s">
        <v>120</v>
      </c>
      <c r="B22" s="7" t="s">
        <v>133</v>
      </c>
      <c r="C22" s="7" t="s">
        <v>134</v>
      </c>
      <c r="D22" s="7" t="s">
        <v>135</v>
      </c>
      <c r="E22" s="7" t="s">
        <v>123</v>
      </c>
      <c r="F22" s="7" t="s">
        <v>78</v>
      </c>
      <c r="G22" s="7" t="s">
        <v>79</v>
      </c>
      <c r="H22" s="7" t="s">
        <v>136</v>
      </c>
    </row>
    <row r="23" spans="1:8" x14ac:dyDescent="0.35">
      <c r="A23" s="7" t="s">
        <v>120</v>
      </c>
      <c r="B23" s="7" t="s">
        <v>137</v>
      </c>
      <c r="C23" s="7" t="s">
        <v>138</v>
      </c>
      <c r="D23" s="7" t="s">
        <v>139</v>
      </c>
      <c r="E23" s="7" t="s">
        <v>123</v>
      </c>
      <c r="F23" s="7" t="s">
        <v>106</v>
      </c>
      <c r="G23" s="7" t="s">
        <v>140</v>
      </c>
      <c r="H23" s="7" t="s">
        <v>76</v>
      </c>
    </row>
    <row r="24" spans="1:8" x14ac:dyDescent="0.35">
      <c r="A24" s="7" t="s">
        <v>120</v>
      </c>
      <c r="B24" s="7" t="s">
        <v>141</v>
      </c>
      <c r="C24" s="7" t="s">
        <v>142</v>
      </c>
      <c r="D24" s="7" t="s">
        <v>143</v>
      </c>
      <c r="E24" s="7" t="s">
        <v>123</v>
      </c>
      <c r="F24" s="7" t="s">
        <v>78</v>
      </c>
      <c r="G24" s="7" t="s">
        <v>79</v>
      </c>
      <c r="H24" s="7" t="s">
        <v>144</v>
      </c>
    </row>
    <row r="25" spans="1:8" x14ac:dyDescent="0.35">
      <c r="A25" s="7" t="s">
        <v>120</v>
      </c>
      <c r="B25" s="7" t="s">
        <v>145</v>
      </c>
      <c r="C25" s="7" t="s">
        <v>146</v>
      </c>
      <c r="D25" s="7" t="s">
        <v>143</v>
      </c>
      <c r="E25" s="7" t="s">
        <v>123</v>
      </c>
      <c r="F25" s="7" t="s">
        <v>78</v>
      </c>
      <c r="G25" s="7" t="s">
        <v>79</v>
      </c>
      <c r="H25" s="7" t="s">
        <v>147</v>
      </c>
    </row>
    <row r="26" spans="1:8" x14ac:dyDescent="0.35">
      <c r="A26" s="7" t="s">
        <v>120</v>
      </c>
      <c r="B26" s="7" t="s">
        <v>148</v>
      </c>
      <c r="C26" s="7" t="s">
        <v>149</v>
      </c>
      <c r="D26" s="7" t="s">
        <v>143</v>
      </c>
      <c r="E26" s="7" t="s">
        <v>123</v>
      </c>
      <c r="F26" s="7" t="s">
        <v>78</v>
      </c>
      <c r="G26" s="7" t="s">
        <v>79</v>
      </c>
      <c r="H26" s="7" t="s">
        <v>147</v>
      </c>
    </row>
    <row r="27" spans="1:8" x14ac:dyDescent="0.35">
      <c r="A27" s="7" t="s">
        <v>120</v>
      </c>
      <c r="B27" s="7" t="s">
        <v>150</v>
      </c>
      <c r="C27" s="7" t="s">
        <v>151</v>
      </c>
      <c r="D27" s="7" t="s">
        <v>102</v>
      </c>
      <c r="E27" s="7" t="s">
        <v>123</v>
      </c>
      <c r="F27" s="7" t="s">
        <v>78</v>
      </c>
      <c r="G27" s="7" t="s">
        <v>79</v>
      </c>
      <c r="H27" s="7" t="s">
        <v>152</v>
      </c>
    </row>
    <row r="28" spans="1:8" x14ac:dyDescent="0.35">
      <c r="A28" s="7" t="s">
        <v>120</v>
      </c>
      <c r="B28" s="7" t="s">
        <v>153</v>
      </c>
      <c r="C28" s="7" t="s">
        <v>154</v>
      </c>
      <c r="D28" s="7" t="s">
        <v>143</v>
      </c>
      <c r="E28" s="7" t="s">
        <v>123</v>
      </c>
      <c r="F28" s="7" t="s">
        <v>106</v>
      </c>
      <c r="G28" s="7" t="s">
        <v>155</v>
      </c>
      <c r="H28" s="7" t="s">
        <v>76</v>
      </c>
    </row>
    <row r="30" spans="1:8" x14ac:dyDescent="0.35">
      <c r="A30" t="s">
        <v>156</v>
      </c>
    </row>
    <row r="31" spans="1:8" x14ac:dyDescent="0.35">
      <c r="A31" s="4" t="s">
        <v>65</v>
      </c>
      <c r="B31" s="4" t="s">
        <v>66</v>
      </c>
      <c r="C31" s="4" t="s">
        <v>67</v>
      </c>
      <c r="D31" s="4" t="s">
        <v>68</v>
      </c>
      <c r="E31" s="4" t="s">
        <v>69</v>
      </c>
      <c r="F31" s="4" t="s">
        <v>70</v>
      </c>
      <c r="G31" s="4" t="s">
        <v>71</v>
      </c>
      <c r="H31" s="4" t="s">
        <v>72</v>
      </c>
    </row>
    <row r="32" spans="1:8" x14ac:dyDescent="0.35">
      <c r="A32" s="5" t="s">
        <v>157</v>
      </c>
      <c r="B32" s="5" t="s">
        <v>158</v>
      </c>
      <c r="C32" s="5" t="s">
        <v>159</v>
      </c>
      <c r="D32" s="5" t="s">
        <v>76</v>
      </c>
      <c r="E32" s="5" t="s">
        <v>123</v>
      </c>
      <c r="F32" s="5" t="s">
        <v>78</v>
      </c>
      <c r="G32" s="5" t="s">
        <v>160</v>
      </c>
      <c r="H32" s="5" t="s">
        <v>124</v>
      </c>
    </row>
    <row r="33" spans="1:8" x14ac:dyDescent="0.35">
      <c r="A33" s="5" t="s">
        <v>157</v>
      </c>
      <c r="B33" s="5" t="s">
        <v>161</v>
      </c>
      <c r="C33" s="5" t="s">
        <v>162</v>
      </c>
      <c r="D33" s="5" t="s">
        <v>163</v>
      </c>
      <c r="E33" s="5" t="s">
        <v>123</v>
      </c>
      <c r="F33" s="5" t="s">
        <v>78</v>
      </c>
      <c r="G33" s="5" t="s">
        <v>79</v>
      </c>
      <c r="H33" s="5" t="s">
        <v>164</v>
      </c>
    </row>
    <row r="34" spans="1:8" x14ac:dyDescent="0.35">
      <c r="A34" s="5" t="s">
        <v>157</v>
      </c>
      <c r="B34" s="5" t="s">
        <v>165</v>
      </c>
      <c r="C34" s="5" t="s">
        <v>166</v>
      </c>
      <c r="D34" s="5" t="s">
        <v>163</v>
      </c>
      <c r="E34" s="5" t="s">
        <v>123</v>
      </c>
      <c r="F34" s="5" t="s">
        <v>106</v>
      </c>
      <c r="G34" s="5" t="s">
        <v>167</v>
      </c>
      <c r="H34" s="5" t="s">
        <v>168</v>
      </c>
    </row>
    <row r="35" spans="1:8" x14ac:dyDescent="0.35">
      <c r="A35" s="5" t="s">
        <v>157</v>
      </c>
      <c r="B35" s="5" t="s">
        <v>169</v>
      </c>
      <c r="C35" s="5" t="s">
        <v>170</v>
      </c>
      <c r="D35" s="5" t="s">
        <v>171</v>
      </c>
      <c r="E35" s="5" t="s">
        <v>123</v>
      </c>
      <c r="F35" s="5" t="s">
        <v>78</v>
      </c>
      <c r="G35" s="5" t="s">
        <v>79</v>
      </c>
      <c r="H35" s="5" t="s">
        <v>172</v>
      </c>
    </row>
    <row r="36" spans="1:8" x14ac:dyDescent="0.35">
      <c r="A36" s="5" t="s">
        <v>157</v>
      </c>
      <c r="B36" s="5" t="s">
        <v>173</v>
      </c>
      <c r="C36" s="5" t="s">
        <v>174</v>
      </c>
      <c r="D36" s="5" t="s">
        <v>171</v>
      </c>
      <c r="E36" s="5" t="s">
        <v>123</v>
      </c>
      <c r="F36" s="5" t="s">
        <v>78</v>
      </c>
      <c r="G36" s="5" t="s">
        <v>79</v>
      </c>
      <c r="H36" s="5" t="s">
        <v>175</v>
      </c>
    </row>
    <row r="37" spans="1:8" x14ac:dyDescent="0.35">
      <c r="A37" s="5" t="s">
        <v>157</v>
      </c>
      <c r="B37" s="5" t="s">
        <v>176</v>
      </c>
      <c r="C37" s="5" t="s">
        <v>177</v>
      </c>
      <c r="D37" s="5" t="s">
        <v>143</v>
      </c>
      <c r="E37" s="5" t="s">
        <v>123</v>
      </c>
      <c r="F37" s="5" t="s">
        <v>106</v>
      </c>
      <c r="G37" s="5" t="s">
        <v>178</v>
      </c>
      <c r="H37" s="5" t="s">
        <v>76</v>
      </c>
    </row>
    <row r="38" spans="1:8" x14ac:dyDescent="0.35">
      <c r="A38" s="5" t="s">
        <v>157</v>
      </c>
      <c r="B38" s="5" t="s">
        <v>179</v>
      </c>
      <c r="C38" s="5" t="s">
        <v>180</v>
      </c>
      <c r="D38" s="5" t="s">
        <v>143</v>
      </c>
      <c r="E38" s="5" t="s">
        <v>123</v>
      </c>
      <c r="F38" s="5" t="s">
        <v>78</v>
      </c>
      <c r="G38" s="5" t="s">
        <v>79</v>
      </c>
      <c r="H38" s="5" t="s">
        <v>147</v>
      </c>
    </row>
    <row r="39" spans="1:8" x14ac:dyDescent="0.35">
      <c r="A39" s="5" t="s">
        <v>157</v>
      </c>
      <c r="B39" s="5" t="s">
        <v>181</v>
      </c>
      <c r="C39" s="5" t="s">
        <v>182</v>
      </c>
      <c r="D39" s="5" t="s">
        <v>143</v>
      </c>
      <c r="E39" s="5" t="s">
        <v>123</v>
      </c>
      <c r="F39" s="5" t="s">
        <v>106</v>
      </c>
      <c r="G39" s="5" t="s">
        <v>183</v>
      </c>
      <c r="H39" s="5" t="s">
        <v>76</v>
      </c>
    </row>
    <row r="40" spans="1:8" x14ac:dyDescent="0.35">
      <c r="A40" s="5" t="s">
        <v>157</v>
      </c>
      <c r="B40" s="5" t="s">
        <v>184</v>
      </c>
      <c r="C40" s="5" t="s">
        <v>185</v>
      </c>
      <c r="D40" s="5" t="s">
        <v>110</v>
      </c>
      <c r="E40" s="5" t="s">
        <v>123</v>
      </c>
      <c r="F40" s="5" t="s">
        <v>106</v>
      </c>
      <c r="G40" s="5" t="s">
        <v>186</v>
      </c>
      <c r="H40" s="5" t="s">
        <v>76</v>
      </c>
    </row>
    <row r="41" spans="1:8" x14ac:dyDescent="0.35">
      <c r="A41" s="5" t="s">
        <v>157</v>
      </c>
      <c r="B41" s="5" t="s">
        <v>187</v>
      </c>
      <c r="C41" s="5" t="s">
        <v>188</v>
      </c>
      <c r="D41" s="5" t="s">
        <v>110</v>
      </c>
      <c r="E41" s="5" t="s">
        <v>123</v>
      </c>
      <c r="F41" s="5" t="s">
        <v>106</v>
      </c>
      <c r="G41" s="5" t="s">
        <v>189</v>
      </c>
      <c r="H41" s="5" t="s">
        <v>76</v>
      </c>
    </row>
    <row r="42" spans="1:8" x14ac:dyDescent="0.35">
      <c r="A42" s="5" t="s">
        <v>157</v>
      </c>
      <c r="B42" s="5" t="s">
        <v>190</v>
      </c>
      <c r="C42" s="5" t="s">
        <v>191</v>
      </c>
      <c r="D42" s="5" t="s">
        <v>110</v>
      </c>
      <c r="E42" s="5" t="s">
        <v>123</v>
      </c>
      <c r="F42" s="5" t="s">
        <v>106</v>
      </c>
      <c r="G42" s="5" t="s">
        <v>192</v>
      </c>
      <c r="H42" s="5" t="s">
        <v>76</v>
      </c>
    </row>
    <row r="43" spans="1:8" x14ac:dyDescent="0.35">
      <c r="A43" s="5" t="s">
        <v>157</v>
      </c>
      <c r="B43" s="5" t="s">
        <v>193</v>
      </c>
      <c r="C43" s="5" t="s">
        <v>194</v>
      </c>
      <c r="D43" s="5" t="s">
        <v>110</v>
      </c>
      <c r="E43" s="5" t="s">
        <v>123</v>
      </c>
      <c r="F43" s="5" t="s">
        <v>106</v>
      </c>
      <c r="G43" s="5" t="s">
        <v>195</v>
      </c>
      <c r="H43" s="5" t="s">
        <v>76</v>
      </c>
    </row>
    <row r="44" spans="1:8" x14ac:dyDescent="0.35">
      <c r="A44" s="5" t="s">
        <v>157</v>
      </c>
      <c r="B44" s="5" t="s">
        <v>196</v>
      </c>
      <c r="C44" s="5" t="s">
        <v>197</v>
      </c>
      <c r="D44" s="5" t="s">
        <v>102</v>
      </c>
      <c r="E44" s="5" t="s">
        <v>123</v>
      </c>
      <c r="F44" s="5" t="s">
        <v>106</v>
      </c>
      <c r="G44" s="5" t="s">
        <v>198</v>
      </c>
      <c r="H44" s="5" t="s">
        <v>76</v>
      </c>
    </row>
    <row r="45" spans="1:8" x14ac:dyDescent="0.35">
      <c r="A45" s="5" t="s">
        <v>157</v>
      </c>
      <c r="B45" s="5" t="s">
        <v>199</v>
      </c>
      <c r="C45" s="5" t="s">
        <v>200</v>
      </c>
      <c r="D45" s="5" t="s">
        <v>102</v>
      </c>
      <c r="E45" s="5" t="s">
        <v>123</v>
      </c>
      <c r="F45" s="5" t="s">
        <v>78</v>
      </c>
      <c r="G45" s="5" t="s">
        <v>79</v>
      </c>
      <c r="H45" s="5" t="s">
        <v>201</v>
      </c>
    </row>
    <row r="47" spans="1:8" x14ac:dyDescent="0.35">
      <c r="A47" t="s">
        <v>202</v>
      </c>
    </row>
    <row r="48" spans="1:8" x14ac:dyDescent="0.35">
      <c r="A48" s="4" t="s">
        <v>65</v>
      </c>
      <c r="B48" s="4" t="s">
        <v>66</v>
      </c>
      <c r="C48" s="4" t="s">
        <v>67</v>
      </c>
      <c r="D48" s="4" t="s">
        <v>68</v>
      </c>
      <c r="E48" s="4" t="s">
        <v>69</v>
      </c>
      <c r="F48" s="4" t="s">
        <v>70</v>
      </c>
      <c r="G48" s="4" t="s">
        <v>71</v>
      </c>
      <c r="H48" s="4" t="s">
        <v>72</v>
      </c>
    </row>
    <row r="49" spans="1:8" x14ac:dyDescent="0.35">
      <c r="A49" s="5" t="s">
        <v>203</v>
      </c>
      <c r="B49" s="5" t="s">
        <v>204</v>
      </c>
      <c r="C49" s="5" t="s">
        <v>205</v>
      </c>
      <c r="D49" s="5" t="s">
        <v>206</v>
      </c>
      <c r="E49" s="5" t="s">
        <v>123</v>
      </c>
      <c r="F49" s="5" t="s">
        <v>78</v>
      </c>
      <c r="G49" s="5" t="s">
        <v>79</v>
      </c>
      <c r="H49" s="5" t="s">
        <v>207</v>
      </c>
    </row>
    <row r="50" spans="1:8" x14ac:dyDescent="0.35">
      <c r="A50" s="5" t="s">
        <v>203</v>
      </c>
      <c r="B50" s="5" t="s">
        <v>208</v>
      </c>
      <c r="C50" s="5" t="s">
        <v>209</v>
      </c>
      <c r="D50" s="5" t="s">
        <v>210</v>
      </c>
      <c r="E50" s="5" t="s">
        <v>123</v>
      </c>
      <c r="F50" s="5" t="s">
        <v>78</v>
      </c>
      <c r="G50" s="5" t="s">
        <v>79</v>
      </c>
      <c r="H50" s="5" t="s">
        <v>211</v>
      </c>
    </row>
    <row r="51" spans="1:8" x14ac:dyDescent="0.35">
      <c r="A51" s="5" t="s">
        <v>203</v>
      </c>
      <c r="B51" s="5" t="s">
        <v>212</v>
      </c>
      <c r="C51" s="5" t="s">
        <v>213</v>
      </c>
      <c r="D51" s="5" t="s">
        <v>143</v>
      </c>
      <c r="E51" s="5" t="s">
        <v>123</v>
      </c>
      <c r="F51" s="5" t="s">
        <v>78</v>
      </c>
      <c r="G51" s="5" t="s">
        <v>79</v>
      </c>
      <c r="H51" s="5" t="s">
        <v>214</v>
      </c>
    </row>
    <row r="52" spans="1:8" x14ac:dyDescent="0.35">
      <c r="A52" s="5" t="s">
        <v>203</v>
      </c>
      <c r="B52" s="5" t="s">
        <v>215</v>
      </c>
      <c r="C52" s="5" t="s">
        <v>216</v>
      </c>
      <c r="D52" s="5" t="s">
        <v>102</v>
      </c>
      <c r="E52" s="5" t="s">
        <v>123</v>
      </c>
      <c r="F52" s="5" t="s">
        <v>78</v>
      </c>
      <c r="G52" s="5" t="s">
        <v>79</v>
      </c>
      <c r="H52" s="5" t="s">
        <v>217</v>
      </c>
    </row>
    <row r="53" spans="1:8" x14ac:dyDescent="0.35">
      <c r="A53" s="5" t="s">
        <v>203</v>
      </c>
      <c r="B53" s="5" t="s">
        <v>218</v>
      </c>
      <c r="C53" s="5" t="s">
        <v>219</v>
      </c>
      <c r="D53" s="5" t="s">
        <v>143</v>
      </c>
      <c r="E53" s="5" t="s">
        <v>123</v>
      </c>
      <c r="F53" s="5" t="s">
        <v>106</v>
      </c>
      <c r="G53" s="5" t="s">
        <v>220</v>
      </c>
      <c r="H53" s="5" t="s">
        <v>76</v>
      </c>
    </row>
    <row r="54" spans="1:8" x14ac:dyDescent="0.35">
      <c r="A54" s="5" t="s">
        <v>203</v>
      </c>
      <c r="B54" s="5" t="s">
        <v>221</v>
      </c>
      <c r="C54" s="5" t="s">
        <v>222</v>
      </c>
      <c r="D54" s="5" t="s">
        <v>223</v>
      </c>
      <c r="E54" s="5" t="s">
        <v>123</v>
      </c>
      <c r="F54" s="5" t="s">
        <v>106</v>
      </c>
      <c r="G54" s="5" t="s">
        <v>224</v>
      </c>
      <c r="H54" s="5" t="s">
        <v>76</v>
      </c>
    </row>
    <row r="55" spans="1:8" x14ac:dyDescent="0.35">
      <c r="A55" s="5" t="s">
        <v>203</v>
      </c>
      <c r="B55" s="5" t="s">
        <v>225</v>
      </c>
      <c r="C55" s="5" t="s">
        <v>226</v>
      </c>
      <c r="D55" s="5" t="s">
        <v>102</v>
      </c>
      <c r="E55" s="5" t="s">
        <v>123</v>
      </c>
      <c r="F55" s="5" t="s">
        <v>106</v>
      </c>
      <c r="G55" s="5" t="s">
        <v>227</v>
      </c>
      <c r="H55" s="5" t="s">
        <v>76</v>
      </c>
    </row>
    <row r="57" spans="1:8" x14ac:dyDescent="0.35">
      <c r="A57" s="5" t="s">
        <v>228</v>
      </c>
    </row>
    <row r="58" spans="1:8" x14ac:dyDescent="0.35">
      <c r="A58" s="4" t="s">
        <v>65</v>
      </c>
      <c r="B58" s="4" t="s">
        <v>66</v>
      </c>
      <c r="C58" s="4" t="s">
        <v>67</v>
      </c>
      <c r="D58" s="4" t="s">
        <v>68</v>
      </c>
      <c r="E58" s="4" t="s">
        <v>69</v>
      </c>
      <c r="F58" s="4" t="s">
        <v>70</v>
      </c>
      <c r="G58" s="4" t="s">
        <v>71</v>
      </c>
      <c r="H58" s="4" t="s">
        <v>72</v>
      </c>
    </row>
    <row r="59" spans="1:8" x14ac:dyDescent="0.35">
      <c r="A59" s="5" t="s">
        <v>229</v>
      </c>
      <c r="B59" s="5" t="s">
        <v>230</v>
      </c>
      <c r="C59" s="5" t="s">
        <v>231</v>
      </c>
      <c r="D59" s="5" t="s">
        <v>102</v>
      </c>
      <c r="E59" s="5" t="s">
        <v>123</v>
      </c>
      <c r="F59" s="5" t="s">
        <v>106</v>
      </c>
      <c r="G59" s="5" t="s">
        <v>232</v>
      </c>
      <c r="H59" s="5" t="s">
        <v>40</v>
      </c>
    </row>
    <row r="60" spans="1:8" x14ac:dyDescent="0.35">
      <c r="A60" s="5" t="s">
        <v>229</v>
      </c>
      <c r="B60" s="5" t="s">
        <v>233</v>
      </c>
      <c r="C60" s="5" t="s">
        <v>234</v>
      </c>
      <c r="D60" s="5" t="s">
        <v>102</v>
      </c>
      <c r="E60" s="5" t="s">
        <v>123</v>
      </c>
      <c r="F60" s="5" t="s">
        <v>106</v>
      </c>
      <c r="G60" s="5" t="s">
        <v>235</v>
      </c>
      <c r="H60" s="5" t="s">
        <v>40</v>
      </c>
    </row>
    <row r="61" spans="1:8" x14ac:dyDescent="0.35">
      <c r="A61" s="5" t="s">
        <v>229</v>
      </c>
      <c r="B61" s="5" t="s">
        <v>236</v>
      </c>
      <c r="C61" s="5" t="s">
        <v>237</v>
      </c>
      <c r="D61" s="5" t="s">
        <v>102</v>
      </c>
      <c r="E61" s="5" t="s">
        <v>123</v>
      </c>
      <c r="F61" s="5" t="s">
        <v>106</v>
      </c>
      <c r="G61" s="5" t="s">
        <v>198</v>
      </c>
      <c r="H61" s="5" t="s">
        <v>40</v>
      </c>
    </row>
    <row r="62" spans="1:8" x14ac:dyDescent="0.35">
      <c r="A62" s="5" t="s">
        <v>229</v>
      </c>
      <c r="B62" s="5" t="s">
        <v>229</v>
      </c>
      <c r="C62" s="5" t="s">
        <v>238</v>
      </c>
      <c r="D62" s="5" t="s">
        <v>102</v>
      </c>
      <c r="E62" s="5" t="s">
        <v>123</v>
      </c>
      <c r="F62" s="5" t="s">
        <v>106</v>
      </c>
      <c r="G62" s="5" t="s">
        <v>239</v>
      </c>
      <c r="H62" s="5" t="s">
        <v>40</v>
      </c>
    </row>
    <row r="64" spans="1:8" x14ac:dyDescent="0.35">
      <c r="A64" t="s">
        <v>240</v>
      </c>
    </row>
    <row r="65" spans="1:8" x14ac:dyDescent="0.35">
      <c r="A65" s="4" t="s">
        <v>65</v>
      </c>
      <c r="B65" s="4" t="s">
        <v>66</v>
      </c>
      <c r="C65" s="4" t="s">
        <v>67</v>
      </c>
      <c r="D65" s="4" t="s">
        <v>68</v>
      </c>
      <c r="E65" s="4" t="s">
        <v>69</v>
      </c>
      <c r="F65" s="4" t="s">
        <v>70</v>
      </c>
      <c r="G65" s="4" t="s">
        <v>71</v>
      </c>
      <c r="H65" s="4" t="s">
        <v>72</v>
      </c>
    </row>
    <row r="66" spans="1:8" x14ac:dyDescent="0.35">
      <c r="A66" s="5" t="s">
        <v>241</v>
      </c>
      <c r="B66" s="5" t="s">
        <v>242</v>
      </c>
      <c r="C66" s="5" t="s">
        <v>243</v>
      </c>
      <c r="D66" s="5" t="s">
        <v>110</v>
      </c>
      <c r="E66" s="5" t="s">
        <v>123</v>
      </c>
      <c r="F66" s="5" t="s">
        <v>106</v>
      </c>
      <c r="G66" s="5" t="s">
        <v>244</v>
      </c>
      <c r="H66" s="5" t="s">
        <v>76</v>
      </c>
    </row>
    <row r="67" spans="1:8" x14ac:dyDescent="0.35">
      <c r="A67" s="5" t="s">
        <v>241</v>
      </c>
      <c r="B67" s="5" t="s">
        <v>245</v>
      </c>
      <c r="C67" s="5" t="s">
        <v>246</v>
      </c>
      <c r="D67" s="5" t="s">
        <v>110</v>
      </c>
      <c r="E67" s="5" t="s">
        <v>123</v>
      </c>
      <c r="F67" s="5" t="s">
        <v>106</v>
      </c>
      <c r="G67" s="5" t="s">
        <v>247</v>
      </c>
      <c r="H67" s="5" t="s">
        <v>76</v>
      </c>
    </row>
    <row r="68" spans="1:8" x14ac:dyDescent="0.35">
      <c r="A68" s="5" t="s">
        <v>241</v>
      </c>
      <c r="B68" s="5" t="s">
        <v>248</v>
      </c>
      <c r="C68" s="5" t="s">
        <v>249</v>
      </c>
      <c r="D68" s="5" t="s">
        <v>223</v>
      </c>
      <c r="E68" s="5" t="s">
        <v>123</v>
      </c>
      <c r="F68" s="5" t="s">
        <v>106</v>
      </c>
      <c r="G68" s="5" t="s">
        <v>250</v>
      </c>
      <c r="H68" s="5" t="s">
        <v>76</v>
      </c>
    </row>
    <row r="69" spans="1:8" x14ac:dyDescent="0.35">
      <c r="A69" s="5" t="s">
        <v>241</v>
      </c>
      <c r="B69" s="5" t="s">
        <v>251</v>
      </c>
      <c r="C69" s="5" t="s">
        <v>252</v>
      </c>
      <c r="D69" s="5" t="s">
        <v>223</v>
      </c>
      <c r="E69" s="5" t="s">
        <v>123</v>
      </c>
      <c r="F69" s="5" t="s">
        <v>106</v>
      </c>
      <c r="G69" s="5" t="s">
        <v>253</v>
      </c>
      <c r="H69" s="5" t="s">
        <v>76</v>
      </c>
    </row>
    <row r="70" spans="1:8" x14ac:dyDescent="0.35">
      <c r="A70" s="5" t="s">
        <v>241</v>
      </c>
      <c r="B70" s="5" t="s">
        <v>254</v>
      </c>
      <c r="C70" s="5" t="s">
        <v>255</v>
      </c>
      <c r="D70" s="5" t="s">
        <v>102</v>
      </c>
      <c r="E70" s="5" t="s">
        <v>123</v>
      </c>
      <c r="F70" s="5" t="s">
        <v>106</v>
      </c>
      <c r="G70" s="5" t="s">
        <v>256</v>
      </c>
      <c r="H70" s="5" t="s">
        <v>76</v>
      </c>
    </row>
    <row r="71" spans="1:8" x14ac:dyDescent="0.35">
      <c r="A71" s="5" t="s">
        <v>241</v>
      </c>
      <c r="B71" s="5" t="s">
        <v>257</v>
      </c>
      <c r="C71" s="5" t="s">
        <v>258</v>
      </c>
      <c r="D71" s="5" t="s">
        <v>223</v>
      </c>
      <c r="E71" s="5" t="s">
        <v>123</v>
      </c>
      <c r="F71" s="5" t="s">
        <v>106</v>
      </c>
      <c r="G71" s="5" t="s">
        <v>259</v>
      </c>
      <c r="H71" s="5" t="s">
        <v>76</v>
      </c>
    </row>
    <row r="72" spans="1:8" x14ac:dyDescent="0.35">
      <c r="A72" s="5" t="s">
        <v>241</v>
      </c>
      <c r="B72" s="5" t="s">
        <v>260</v>
      </c>
      <c r="C72" s="5" t="s">
        <v>261</v>
      </c>
      <c r="D72" s="5" t="s">
        <v>223</v>
      </c>
      <c r="E72" s="5" t="s">
        <v>123</v>
      </c>
      <c r="F72" s="5" t="s">
        <v>106</v>
      </c>
      <c r="G72" s="5" t="s">
        <v>262</v>
      </c>
      <c r="H72" s="5" t="s">
        <v>76</v>
      </c>
    </row>
    <row r="73" spans="1:8" x14ac:dyDescent="0.35">
      <c r="A73" s="5" t="s">
        <v>241</v>
      </c>
      <c r="B73" s="5" t="s">
        <v>263</v>
      </c>
      <c r="C73" s="5" t="s">
        <v>264</v>
      </c>
      <c r="D73" s="5" t="s">
        <v>76</v>
      </c>
      <c r="E73" s="5" t="s">
        <v>123</v>
      </c>
      <c r="F73" s="5" t="s">
        <v>106</v>
      </c>
      <c r="G73" s="5" t="s">
        <v>265</v>
      </c>
      <c r="H73" s="5" t="s">
        <v>266</v>
      </c>
    </row>
    <row r="75" spans="1:8" x14ac:dyDescent="0.35">
      <c r="A75" t="s">
        <v>267</v>
      </c>
    </row>
    <row r="76" spans="1:8" x14ac:dyDescent="0.35">
      <c r="A76" s="4" t="s">
        <v>65</v>
      </c>
      <c r="B76" s="4" t="s">
        <v>66</v>
      </c>
      <c r="C76" s="4" t="s">
        <v>67</v>
      </c>
      <c r="D76" s="4" t="s">
        <v>68</v>
      </c>
      <c r="E76" s="4" t="s">
        <v>69</v>
      </c>
      <c r="F76" s="4" t="s">
        <v>70</v>
      </c>
      <c r="G76" s="4" t="s">
        <v>71</v>
      </c>
      <c r="H76" s="4" t="s">
        <v>72</v>
      </c>
    </row>
    <row r="77" spans="1:8" x14ac:dyDescent="0.35">
      <c r="A77" s="5" t="s">
        <v>268</v>
      </c>
      <c r="B77" s="5" t="s">
        <v>269</v>
      </c>
      <c r="C77" s="5" t="s">
        <v>270</v>
      </c>
      <c r="D77" s="5" t="s">
        <v>271</v>
      </c>
      <c r="E77" s="5" t="s">
        <v>123</v>
      </c>
      <c r="F77" s="5" t="s">
        <v>106</v>
      </c>
      <c r="G77" s="5" t="s">
        <v>272</v>
      </c>
      <c r="H77" s="5" t="s">
        <v>76</v>
      </c>
    </row>
    <row r="78" spans="1:8" x14ac:dyDescent="0.35">
      <c r="A78" s="5" t="s">
        <v>268</v>
      </c>
      <c r="B78" s="5" t="s">
        <v>273</v>
      </c>
      <c r="C78" s="5" t="s">
        <v>274</v>
      </c>
      <c r="D78" s="5" t="s">
        <v>271</v>
      </c>
      <c r="E78" s="5" t="s">
        <v>123</v>
      </c>
      <c r="F78" s="5" t="s">
        <v>106</v>
      </c>
      <c r="G78" s="5" t="s">
        <v>275</v>
      </c>
      <c r="H78" s="5" t="s">
        <v>76</v>
      </c>
    </row>
    <row r="79" spans="1:8" x14ac:dyDescent="0.35">
      <c r="A79" s="5" t="s">
        <v>268</v>
      </c>
      <c r="B79" s="5" t="s">
        <v>276</v>
      </c>
      <c r="C79" s="5" t="s">
        <v>277</v>
      </c>
      <c r="D79" s="5" t="s">
        <v>278</v>
      </c>
      <c r="E79" s="5" t="s">
        <v>123</v>
      </c>
      <c r="F79" s="5" t="s">
        <v>106</v>
      </c>
      <c r="G79" s="5" t="s">
        <v>279</v>
      </c>
      <c r="H79" s="5" t="s">
        <v>76</v>
      </c>
    </row>
    <row r="80" spans="1:8" x14ac:dyDescent="0.35">
      <c r="A80" s="5" t="s">
        <v>268</v>
      </c>
      <c r="B80" s="5" t="s">
        <v>280</v>
      </c>
      <c r="C80" s="5" t="s">
        <v>281</v>
      </c>
      <c r="D80" s="5" t="s">
        <v>278</v>
      </c>
      <c r="E80" s="5" t="s">
        <v>123</v>
      </c>
      <c r="F80" s="5" t="s">
        <v>106</v>
      </c>
      <c r="G80" s="5" t="s">
        <v>282</v>
      </c>
      <c r="H80" s="5" t="s">
        <v>76</v>
      </c>
    </row>
    <row r="81" spans="1:8" x14ac:dyDescent="0.35">
      <c r="A81" s="5" t="s">
        <v>268</v>
      </c>
      <c r="B81" s="5" t="s">
        <v>283</v>
      </c>
      <c r="C81" s="5" t="s">
        <v>284</v>
      </c>
      <c r="D81" s="5" t="s">
        <v>278</v>
      </c>
      <c r="E81" s="5" t="s">
        <v>123</v>
      </c>
      <c r="F81" s="5" t="s">
        <v>106</v>
      </c>
      <c r="G81" s="5" t="s">
        <v>285</v>
      </c>
      <c r="H81" s="5" t="s">
        <v>76</v>
      </c>
    </row>
    <row r="83" spans="1:8" x14ac:dyDescent="0.35">
      <c r="A83" t="s">
        <v>286</v>
      </c>
    </row>
    <row r="84" spans="1:8" x14ac:dyDescent="0.35">
      <c r="A84" s="4" t="s">
        <v>65</v>
      </c>
      <c r="B84" s="4" t="s">
        <v>66</v>
      </c>
      <c r="C84" s="4" t="s">
        <v>67</v>
      </c>
      <c r="D84" s="4" t="s">
        <v>68</v>
      </c>
      <c r="E84" s="4" t="s">
        <v>69</v>
      </c>
      <c r="F84" s="4" t="s">
        <v>70</v>
      </c>
      <c r="G84" s="4" t="s">
        <v>71</v>
      </c>
      <c r="H84" s="4" t="s">
        <v>72</v>
      </c>
    </row>
    <row r="85" spans="1:8" x14ac:dyDescent="0.35">
      <c r="A85" s="5" t="s">
        <v>287</v>
      </c>
      <c r="B85" s="5" t="s">
        <v>288</v>
      </c>
      <c r="C85" s="5" t="s">
        <v>289</v>
      </c>
      <c r="D85" s="5" t="s">
        <v>76</v>
      </c>
      <c r="E85" s="5" t="s">
        <v>290</v>
      </c>
      <c r="F85" s="5" t="s">
        <v>78</v>
      </c>
      <c r="G85" s="5" t="s">
        <v>79</v>
      </c>
      <c r="H85" s="5" t="s">
        <v>291</v>
      </c>
    </row>
    <row r="86" spans="1:8" x14ac:dyDescent="0.35">
      <c r="A86" s="5" t="s">
        <v>287</v>
      </c>
      <c r="B86" s="5" t="s">
        <v>292</v>
      </c>
      <c r="C86" s="5" t="s">
        <v>293</v>
      </c>
      <c r="D86" s="5" t="s">
        <v>76</v>
      </c>
      <c r="E86" s="5" t="s">
        <v>290</v>
      </c>
      <c r="F86" s="5" t="s">
        <v>78</v>
      </c>
      <c r="G86" s="5" t="s">
        <v>79</v>
      </c>
      <c r="H86" s="5" t="s">
        <v>79</v>
      </c>
    </row>
    <row r="87" spans="1:8" x14ac:dyDescent="0.35">
      <c r="A87" s="5" t="s">
        <v>287</v>
      </c>
      <c r="B87" s="5" t="s">
        <v>294</v>
      </c>
      <c r="C87" s="5" t="s">
        <v>295</v>
      </c>
      <c r="D87" s="5" t="s">
        <v>76</v>
      </c>
      <c r="E87" s="5" t="s">
        <v>290</v>
      </c>
      <c r="F87" s="5" t="s">
        <v>78</v>
      </c>
      <c r="G87" s="5" t="s">
        <v>79</v>
      </c>
      <c r="H87" s="5" t="s">
        <v>296</v>
      </c>
    </row>
    <row r="88" spans="1:8" x14ac:dyDescent="0.35">
      <c r="A88" s="5" t="s">
        <v>287</v>
      </c>
      <c r="B88" s="5" t="s">
        <v>297</v>
      </c>
      <c r="C88" s="5" t="s">
        <v>298</v>
      </c>
      <c r="D88" s="5" t="s">
        <v>98</v>
      </c>
      <c r="E88" s="5" t="s">
        <v>290</v>
      </c>
      <c r="F88" s="5" t="s">
        <v>78</v>
      </c>
      <c r="G88" s="5" t="s">
        <v>79</v>
      </c>
      <c r="H88" s="5" t="s">
        <v>299</v>
      </c>
    </row>
    <row r="89" spans="1:8" x14ac:dyDescent="0.35">
      <c r="A89" s="5" t="s">
        <v>287</v>
      </c>
      <c r="B89" s="5" t="s">
        <v>300</v>
      </c>
      <c r="C89" s="5" t="s">
        <v>301</v>
      </c>
      <c r="D89" s="5" t="s">
        <v>302</v>
      </c>
      <c r="E89" s="5" t="s">
        <v>290</v>
      </c>
      <c r="F89" s="5" t="s">
        <v>78</v>
      </c>
      <c r="G89" s="5" t="s">
        <v>79</v>
      </c>
      <c r="H89" s="5" t="s">
        <v>303</v>
      </c>
    </row>
    <row r="90" spans="1:8" x14ac:dyDescent="0.35">
      <c r="A90" s="5" t="s">
        <v>287</v>
      </c>
      <c r="B90" s="5" t="s">
        <v>304</v>
      </c>
      <c r="C90" s="5" t="s">
        <v>305</v>
      </c>
      <c r="D90" s="5" t="s">
        <v>302</v>
      </c>
      <c r="E90" s="5" t="s">
        <v>290</v>
      </c>
      <c r="F90" s="5" t="s">
        <v>78</v>
      </c>
      <c r="G90" s="5" t="s">
        <v>79</v>
      </c>
      <c r="H90" s="5" t="s">
        <v>111</v>
      </c>
    </row>
    <row r="91" spans="1:8" x14ac:dyDescent="0.35">
      <c r="A91" s="5" t="s">
        <v>287</v>
      </c>
      <c r="B91" s="5" t="s">
        <v>306</v>
      </c>
      <c r="C91" s="5" t="s">
        <v>307</v>
      </c>
      <c r="D91" s="5" t="s">
        <v>302</v>
      </c>
      <c r="E91" s="5" t="s">
        <v>290</v>
      </c>
      <c r="F91" s="5" t="s">
        <v>106</v>
      </c>
      <c r="G91" s="5" t="s">
        <v>308</v>
      </c>
      <c r="H91" s="5" t="s">
        <v>76</v>
      </c>
    </row>
    <row r="92" spans="1:8" x14ac:dyDescent="0.35">
      <c r="A92" s="5" t="s">
        <v>287</v>
      </c>
      <c r="B92" s="5" t="s">
        <v>309</v>
      </c>
      <c r="C92" s="5" t="s">
        <v>310</v>
      </c>
      <c r="D92" s="5" t="s">
        <v>311</v>
      </c>
      <c r="E92" s="5" t="s">
        <v>290</v>
      </c>
      <c r="F92" s="5" t="s">
        <v>78</v>
      </c>
      <c r="G92" s="5" t="s">
        <v>79</v>
      </c>
      <c r="H92" s="5" t="s">
        <v>312</v>
      </c>
    </row>
    <row r="93" spans="1:8" x14ac:dyDescent="0.35">
      <c r="A93" s="5" t="s">
        <v>287</v>
      </c>
      <c r="B93" s="5" t="s">
        <v>313</v>
      </c>
      <c r="C93" s="5" t="s">
        <v>314</v>
      </c>
      <c r="D93" s="5" t="s">
        <v>110</v>
      </c>
      <c r="E93" s="5" t="s">
        <v>290</v>
      </c>
      <c r="F93" s="5" t="s">
        <v>78</v>
      </c>
      <c r="G93" s="5" t="s">
        <v>79</v>
      </c>
      <c r="H93" s="5" t="s">
        <v>111</v>
      </c>
    </row>
    <row r="94" spans="1:8" x14ac:dyDescent="0.35">
      <c r="A94" s="5" t="s">
        <v>287</v>
      </c>
      <c r="B94" s="5" t="s">
        <v>315</v>
      </c>
      <c r="C94" s="5" t="s">
        <v>316</v>
      </c>
      <c r="D94" s="5" t="s">
        <v>102</v>
      </c>
      <c r="E94" s="5" t="s">
        <v>290</v>
      </c>
      <c r="F94" s="5" t="s">
        <v>78</v>
      </c>
      <c r="G94" s="5" t="s">
        <v>79</v>
      </c>
      <c r="H94" s="5" t="s">
        <v>317</v>
      </c>
    </row>
    <row r="95" spans="1:8" x14ac:dyDescent="0.35">
      <c r="A95" s="5" t="s">
        <v>287</v>
      </c>
      <c r="B95" s="5" t="s">
        <v>318</v>
      </c>
      <c r="C95" s="5" t="s">
        <v>319</v>
      </c>
      <c r="D95" s="5" t="s">
        <v>102</v>
      </c>
      <c r="E95" s="5" t="s">
        <v>290</v>
      </c>
      <c r="F95" s="5" t="s">
        <v>78</v>
      </c>
      <c r="G95" s="5" t="s">
        <v>79</v>
      </c>
      <c r="H95" s="5" t="s">
        <v>320</v>
      </c>
    </row>
    <row r="96" spans="1:8" x14ac:dyDescent="0.35">
      <c r="A96" s="5" t="s">
        <v>287</v>
      </c>
      <c r="B96" s="5" t="s">
        <v>321</v>
      </c>
      <c r="C96" s="5" t="s">
        <v>322</v>
      </c>
      <c r="D96" s="5" t="s">
        <v>311</v>
      </c>
      <c r="E96" s="5" t="s">
        <v>290</v>
      </c>
      <c r="F96" s="5" t="s">
        <v>78</v>
      </c>
      <c r="G96" s="5" t="s">
        <v>79</v>
      </c>
      <c r="H96" s="5" t="s">
        <v>323</v>
      </c>
    </row>
    <row r="98" spans="1:8" x14ac:dyDescent="0.35">
      <c r="A98" s="5" t="s">
        <v>324</v>
      </c>
    </row>
    <row r="99" spans="1:8" x14ac:dyDescent="0.35">
      <c r="A99" s="4" t="s">
        <v>65</v>
      </c>
      <c r="B99" s="4" t="s">
        <v>66</v>
      </c>
      <c r="C99" s="4" t="s">
        <v>67</v>
      </c>
      <c r="D99" s="4" t="s">
        <v>68</v>
      </c>
      <c r="E99" s="4" t="s">
        <v>69</v>
      </c>
      <c r="F99" s="4" t="s">
        <v>70</v>
      </c>
      <c r="G99" s="4" t="s">
        <v>71</v>
      </c>
      <c r="H99" s="4" t="s">
        <v>72</v>
      </c>
    </row>
    <row r="100" spans="1:8" x14ac:dyDescent="0.35">
      <c r="A100" s="5" t="s">
        <v>33</v>
      </c>
      <c r="B100" s="5" t="s">
        <v>108</v>
      </c>
      <c r="C100" s="5" t="s">
        <v>325</v>
      </c>
      <c r="D100" s="5" t="s">
        <v>110</v>
      </c>
      <c r="E100" s="5" t="s">
        <v>77</v>
      </c>
      <c r="F100" s="5" t="s">
        <v>78</v>
      </c>
      <c r="G100" s="5" t="s">
        <v>79</v>
      </c>
      <c r="H100" s="5" t="s">
        <v>111</v>
      </c>
    </row>
    <row r="101" spans="1:8" x14ac:dyDescent="0.35">
      <c r="A101" s="5" t="s">
        <v>33</v>
      </c>
      <c r="B101" s="5" t="s">
        <v>326</v>
      </c>
      <c r="C101" s="5" t="s">
        <v>327</v>
      </c>
      <c r="D101" s="5" t="s">
        <v>110</v>
      </c>
      <c r="E101" s="5" t="s">
        <v>123</v>
      </c>
      <c r="F101" s="5" t="s">
        <v>106</v>
      </c>
      <c r="G101" s="5" t="s">
        <v>193</v>
      </c>
      <c r="H101" s="5" t="s">
        <v>76</v>
      </c>
    </row>
    <row r="102" spans="1:8" x14ac:dyDescent="0.35">
      <c r="A102" s="5" t="s">
        <v>33</v>
      </c>
      <c r="B102" s="5" t="s">
        <v>328</v>
      </c>
      <c r="C102" s="5" t="s">
        <v>329</v>
      </c>
      <c r="D102" s="5" t="s">
        <v>110</v>
      </c>
      <c r="E102" s="5" t="s">
        <v>290</v>
      </c>
      <c r="F102" s="5" t="s">
        <v>106</v>
      </c>
      <c r="G102" s="5" t="s">
        <v>330</v>
      </c>
      <c r="H102" s="5" t="s">
        <v>76</v>
      </c>
    </row>
    <row r="103" spans="1:8" x14ac:dyDescent="0.35">
      <c r="A103" s="5" t="s">
        <v>33</v>
      </c>
      <c r="B103" s="5" t="s">
        <v>331</v>
      </c>
      <c r="C103" s="5" t="s">
        <v>332</v>
      </c>
      <c r="D103" s="5" t="s">
        <v>110</v>
      </c>
      <c r="E103" s="5" t="s">
        <v>77</v>
      </c>
      <c r="F103" s="5" t="s">
        <v>106</v>
      </c>
      <c r="G103" s="5" t="s">
        <v>333</v>
      </c>
      <c r="H103" s="5" t="s">
        <v>76</v>
      </c>
    </row>
    <row r="104" spans="1:8" x14ac:dyDescent="0.35">
      <c r="A104" s="5" t="s">
        <v>33</v>
      </c>
      <c r="B104" s="5" t="s">
        <v>334</v>
      </c>
      <c r="C104" s="5" t="s">
        <v>335</v>
      </c>
      <c r="D104" s="5" t="s">
        <v>110</v>
      </c>
      <c r="E104" s="5" t="s">
        <v>77</v>
      </c>
      <c r="F104" s="5" t="s">
        <v>106</v>
      </c>
      <c r="G104" s="5" t="s">
        <v>336</v>
      </c>
      <c r="H104" s="5" t="s">
        <v>76</v>
      </c>
    </row>
    <row r="105" spans="1:8" x14ac:dyDescent="0.35">
      <c r="A105" s="5" t="s">
        <v>33</v>
      </c>
      <c r="B105" s="5" t="s">
        <v>112</v>
      </c>
      <c r="C105" s="5" t="s">
        <v>337</v>
      </c>
      <c r="D105" s="5" t="s">
        <v>110</v>
      </c>
      <c r="E105" s="5" t="s">
        <v>77</v>
      </c>
      <c r="F105" s="5" t="s">
        <v>78</v>
      </c>
      <c r="G105" s="5" t="s">
        <v>338</v>
      </c>
      <c r="H105" s="5" t="s">
        <v>111</v>
      </c>
    </row>
    <row r="106" spans="1:8" x14ac:dyDescent="0.35">
      <c r="A106" s="5" t="s">
        <v>33</v>
      </c>
      <c r="B106" s="5" t="s">
        <v>339</v>
      </c>
      <c r="C106" s="5" t="s">
        <v>340</v>
      </c>
      <c r="D106" s="5" t="s">
        <v>110</v>
      </c>
      <c r="E106" s="5" t="s">
        <v>77</v>
      </c>
      <c r="F106" s="5" t="s">
        <v>106</v>
      </c>
      <c r="G106" s="5" t="s">
        <v>341</v>
      </c>
      <c r="H106" s="5" t="s">
        <v>76</v>
      </c>
    </row>
    <row r="107" spans="1:8" x14ac:dyDescent="0.35">
      <c r="A107" s="5" t="s">
        <v>33</v>
      </c>
      <c r="B107" s="5" t="s">
        <v>342</v>
      </c>
      <c r="C107" s="5" t="s">
        <v>343</v>
      </c>
      <c r="D107" s="5" t="s">
        <v>76</v>
      </c>
      <c r="E107" s="5" t="s">
        <v>77</v>
      </c>
      <c r="F107" s="5" t="s">
        <v>106</v>
      </c>
      <c r="G107" s="5" t="s">
        <v>344</v>
      </c>
      <c r="H107" s="5" t="s">
        <v>76</v>
      </c>
    </row>
    <row r="108" spans="1:8" x14ac:dyDescent="0.35">
      <c r="A108" s="5" t="s">
        <v>33</v>
      </c>
      <c r="B108" s="5" t="s">
        <v>345</v>
      </c>
      <c r="C108" s="5" t="s">
        <v>346</v>
      </c>
      <c r="D108" s="5" t="s">
        <v>76</v>
      </c>
      <c r="E108" s="5" t="s">
        <v>77</v>
      </c>
      <c r="F108" s="5" t="s">
        <v>106</v>
      </c>
      <c r="G108" s="5" t="s">
        <v>347</v>
      </c>
      <c r="H108" s="5" t="s">
        <v>76</v>
      </c>
    </row>
    <row r="109" spans="1:8" x14ac:dyDescent="0.35">
      <c r="A109" s="5" t="s">
        <v>33</v>
      </c>
      <c r="B109" s="5" t="s">
        <v>348</v>
      </c>
      <c r="C109" s="5" t="s">
        <v>349</v>
      </c>
      <c r="D109" s="5" t="s">
        <v>350</v>
      </c>
      <c r="E109" s="5" t="s">
        <v>77</v>
      </c>
      <c r="F109" s="5" t="s">
        <v>106</v>
      </c>
      <c r="G109" s="5" t="s">
        <v>351</v>
      </c>
      <c r="H109" s="5" t="s">
        <v>76</v>
      </c>
    </row>
    <row r="111" spans="1:8" x14ac:dyDescent="0.35">
      <c r="A111" t="s">
        <v>352</v>
      </c>
    </row>
    <row r="112" spans="1:8" x14ac:dyDescent="0.35">
      <c r="A112" s="4" t="s">
        <v>65</v>
      </c>
      <c r="B112" s="4" t="s">
        <v>66</v>
      </c>
      <c r="C112" s="4" t="s">
        <v>67</v>
      </c>
      <c r="D112" s="4" t="s">
        <v>68</v>
      </c>
      <c r="E112" s="4" t="s">
        <v>69</v>
      </c>
      <c r="F112" s="4" t="s">
        <v>70</v>
      </c>
      <c r="G112" s="4" t="s">
        <v>71</v>
      </c>
      <c r="H112" s="4" t="s">
        <v>72</v>
      </c>
    </row>
    <row r="113" spans="1:8" x14ac:dyDescent="0.35">
      <c r="A113" s="5" t="s">
        <v>36</v>
      </c>
      <c r="B113" s="5" t="s">
        <v>353</v>
      </c>
      <c r="C113" s="5" t="s">
        <v>354</v>
      </c>
      <c r="D113" s="5" t="s">
        <v>302</v>
      </c>
      <c r="E113" s="5" t="s">
        <v>123</v>
      </c>
      <c r="F113" s="5" t="s">
        <v>78</v>
      </c>
      <c r="G113" s="5" t="s">
        <v>79</v>
      </c>
      <c r="H113" s="5" t="s">
        <v>111</v>
      </c>
    </row>
    <row r="114" spans="1:8" x14ac:dyDescent="0.35">
      <c r="A114" s="5" t="s">
        <v>36</v>
      </c>
      <c r="B114" s="5" t="s">
        <v>355</v>
      </c>
      <c r="C114" s="5" t="s">
        <v>356</v>
      </c>
      <c r="D114" s="5" t="s">
        <v>302</v>
      </c>
      <c r="E114" s="5" t="s">
        <v>123</v>
      </c>
      <c r="F114" s="5" t="s">
        <v>106</v>
      </c>
      <c r="G114" s="5" t="s">
        <v>357</v>
      </c>
      <c r="H114" s="5" t="s">
        <v>76</v>
      </c>
    </row>
    <row r="115" spans="1:8" x14ac:dyDescent="0.35">
      <c r="A115" s="5" t="s">
        <v>36</v>
      </c>
      <c r="B115" s="5" t="s">
        <v>358</v>
      </c>
      <c r="C115" s="5" t="s">
        <v>359</v>
      </c>
      <c r="D115" s="5" t="s">
        <v>302</v>
      </c>
      <c r="E115" s="5" t="s">
        <v>123</v>
      </c>
      <c r="F115" s="5" t="s">
        <v>106</v>
      </c>
      <c r="G115" s="5" t="s">
        <v>360</v>
      </c>
      <c r="H115" s="5" t="s">
        <v>76</v>
      </c>
    </row>
    <row r="116" spans="1:8" x14ac:dyDescent="0.35">
      <c r="A116" s="5" t="s">
        <v>36</v>
      </c>
      <c r="B116" s="5" t="s">
        <v>361</v>
      </c>
      <c r="C116" s="5" t="s">
        <v>362</v>
      </c>
      <c r="D116" s="5" t="s">
        <v>302</v>
      </c>
      <c r="E116" s="5" t="s">
        <v>123</v>
      </c>
      <c r="F116" s="5" t="s">
        <v>78</v>
      </c>
      <c r="G116" s="5" t="s">
        <v>79</v>
      </c>
      <c r="H116" s="5" t="s">
        <v>111</v>
      </c>
    </row>
    <row r="117" spans="1:8" x14ac:dyDescent="0.35">
      <c r="A117" s="5" t="s">
        <v>36</v>
      </c>
      <c r="B117" s="5" t="s">
        <v>363</v>
      </c>
      <c r="C117" s="5" t="s">
        <v>364</v>
      </c>
      <c r="D117" s="5" t="s">
        <v>365</v>
      </c>
      <c r="E117" s="5" t="s">
        <v>123</v>
      </c>
      <c r="F117" s="5" t="s">
        <v>78</v>
      </c>
      <c r="G117" s="5" t="s">
        <v>79</v>
      </c>
      <c r="H117" s="5" t="s">
        <v>111</v>
      </c>
    </row>
    <row r="118" spans="1:8" x14ac:dyDescent="0.35">
      <c r="A118" s="5" t="s">
        <v>36</v>
      </c>
      <c r="B118" s="5" t="s">
        <v>366</v>
      </c>
      <c r="C118" s="5" t="s">
        <v>367</v>
      </c>
      <c r="D118" s="5" t="s">
        <v>302</v>
      </c>
      <c r="E118" s="5" t="s">
        <v>77</v>
      </c>
      <c r="F118" s="5" t="s">
        <v>106</v>
      </c>
      <c r="G118" s="5" t="s">
        <v>368</v>
      </c>
      <c r="H118" s="5" t="s">
        <v>76</v>
      </c>
    </row>
    <row r="119" spans="1:8" x14ac:dyDescent="0.35">
      <c r="A119" s="5" t="s">
        <v>36</v>
      </c>
      <c r="B119" s="5" t="s">
        <v>369</v>
      </c>
      <c r="C119" s="5" t="s">
        <v>370</v>
      </c>
      <c r="D119" s="5" t="s">
        <v>365</v>
      </c>
      <c r="E119" s="5" t="s">
        <v>123</v>
      </c>
      <c r="F119" s="5" t="s">
        <v>106</v>
      </c>
      <c r="G119" s="5" t="s">
        <v>364</v>
      </c>
      <c r="H119" s="5" t="s">
        <v>76</v>
      </c>
    </row>
    <row r="120" spans="1:8" x14ac:dyDescent="0.35">
      <c r="A120" s="5" t="s">
        <v>36</v>
      </c>
      <c r="B120" s="5" t="s">
        <v>371</v>
      </c>
      <c r="C120" s="5" t="s">
        <v>372</v>
      </c>
      <c r="D120" s="5" t="s">
        <v>373</v>
      </c>
      <c r="E120" s="5" t="s">
        <v>77</v>
      </c>
      <c r="F120" s="5" t="s">
        <v>106</v>
      </c>
      <c r="G120" s="5" t="s">
        <v>374</v>
      </c>
      <c r="H120" s="5" t="s">
        <v>76</v>
      </c>
    </row>
    <row r="121" spans="1:8" x14ac:dyDescent="0.35">
      <c r="A121" s="5" t="s">
        <v>36</v>
      </c>
      <c r="B121" s="5" t="s">
        <v>375</v>
      </c>
      <c r="C121" s="5" t="s">
        <v>376</v>
      </c>
      <c r="D121" s="5" t="s">
        <v>302</v>
      </c>
      <c r="E121" s="5" t="s">
        <v>77</v>
      </c>
      <c r="F121" s="5" t="s">
        <v>106</v>
      </c>
      <c r="G121" s="5" t="s">
        <v>377</v>
      </c>
      <c r="H121" s="5" t="s">
        <v>76</v>
      </c>
    </row>
    <row r="123" spans="1:8" x14ac:dyDescent="0.35">
      <c r="A123" t="s">
        <v>378</v>
      </c>
    </row>
    <row r="124" spans="1:8" x14ac:dyDescent="0.35">
      <c r="A124" s="4" t="s">
        <v>65</v>
      </c>
      <c r="B124" s="4" t="s">
        <v>66</v>
      </c>
      <c r="C124" s="4" t="s">
        <v>67</v>
      </c>
      <c r="D124" s="4" t="s">
        <v>68</v>
      </c>
      <c r="E124" s="4" t="s">
        <v>69</v>
      </c>
      <c r="F124" s="4" t="s">
        <v>70</v>
      </c>
      <c r="G124" s="4" t="s">
        <v>71</v>
      </c>
      <c r="H124" s="4" t="s">
        <v>72</v>
      </c>
    </row>
    <row r="125" spans="1:8" x14ac:dyDescent="0.35">
      <c r="A125" s="5" t="s">
        <v>35</v>
      </c>
      <c r="B125" s="5" t="s">
        <v>379</v>
      </c>
      <c r="C125" s="5" t="s">
        <v>380</v>
      </c>
      <c r="D125" s="5" t="s">
        <v>302</v>
      </c>
      <c r="E125" s="5" t="s">
        <v>77</v>
      </c>
      <c r="F125" s="5" t="s">
        <v>78</v>
      </c>
      <c r="G125" s="5" t="s">
        <v>79</v>
      </c>
      <c r="H125" s="5" t="s">
        <v>381</v>
      </c>
    </row>
    <row r="126" spans="1:8" x14ac:dyDescent="0.35">
      <c r="A126" s="5" t="s">
        <v>35</v>
      </c>
      <c r="B126" s="5" t="s">
        <v>382</v>
      </c>
      <c r="C126" s="5" t="s">
        <v>383</v>
      </c>
      <c r="D126" s="5" t="s">
        <v>302</v>
      </c>
      <c r="E126" s="5" t="s">
        <v>77</v>
      </c>
      <c r="F126" s="5" t="s">
        <v>78</v>
      </c>
      <c r="G126" s="5" t="s">
        <v>79</v>
      </c>
      <c r="H126" s="5" t="s">
        <v>381</v>
      </c>
    </row>
    <row r="127" spans="1:8" x14ac:dyDescent="0.35">
      <c r="A127" s="5" t="s">
        <v>35</v>
      </c>
      <c r="B127" s="5" t="s">
        <v>384</v>
      </c>
      <c r="C127" s="5" t="s">
        <v>385</v>
      </c>
      <c r="D127" s="5" t="s">
        <v>302</v>
      </c>
      <c r="E127" s="5" t="s">
        <v>77</v>
      </c>
      <c r="F127" s="5" t="s">
        <v>106</v>
      </c>
      <c r="G127" s="5" t="s">
        <v>386</v>
      </c>
      <c r="H127" s="5" t="s">
        <v>76</v>
      </c>
    </row>
    <row r="128" spans="1:8" x14ac:dyDescent="0.35">
      <c r="A128" s="5" t="s">
        <v>35</v>
      </c>
      <c r="B128" s="5" t="s">
        <v>387</v>
      </c>
      <c r="C128" s="5" t="s">
        <v>388</v>
      </c>
      <c r="D128" s="5" t="s">
        <v>302</v>
      </c>
      <c r="E128" s="5" t="s">
        <v>77</v>
      </c>
      <c r="F128" s="5" t="s">
        <v>78</v>
      </c>
      <c r="G128" s="5" t="s">
        <v>79</v>
      </c>
      <c r="H128" s="5" t="s">
        <v>389</v>
      </c>
    </row>
    <row r="129" spans="1:8" x14ac:dyDescent="0.35">
      <c r="A129" s="5" t="s">
        <v>35</v>
      </c>
      <c r="B129" s="5" t="s">
        <v>390</v>
      </c>
      <c r="C129" s="5" t="s">
        <v>391</v>
      </c>
      <c r="D129" s="5" t="s">
        <v>302</v>
      </c>
      <c r="E129" s="5" t="s">
        <v>77</v>
      </c>
      <c r="F129" s="5" t="s">
        <v>78</v>
      </c>
      <c r="G129" s="5" t="s">
        <v>79</v>
      </c>
      <c r="H129" s="5" t="s">
        <v>392</v>
      </c>
    </row>
    <row r="130" spans="1:8" x14ac:dyDescent="0.35">
      <c r="A130" s="5" t="s">
        <v>35</v>
      </c>
      <c r="B130" s="5" t="s">
        <v>393</v>
      </c>
      <c r="C130" s="5" t="s">
        <v>394</v>
      </c>
      <c r="D130" s="5" t="s">
        <v>373</v>
      </c>
      <c r="E130" s="5" t="s">
        <v>77</v>
      </c>
      <c r="F130" s="5" t="s">
        <v>106</v>
      </c>
      <c r="G130" s="5" t="s">
        <v>395</v>
      </c>
      <c r="H130" s="5" t="s">
        <v>76</v>
      </c>
    </row>
    <row r="131" spans="1:8" x14ac:dyDescent="0.35">
      <c r="A131" s="5" t="s">
        <v>396</v>
      </c>
      <c r="B131" s="5" t="s">
        <v>397</v>
      </c>
      <c r="C131" s="5" t="s">
        <v>398</v>
      </c>
      <c r="D131" s="5" t="s">
        <v>302</v>
      </c>
      <c r="E131" s="5" t="s">
        <v>77</v>
      </c>
      <c r="F131" s="5" t="s">
        <v>106</v>
      </c>
      <c r="G131" s="5" t="s">
        <v>399</v>
      </c>
      <c r="H131" s="5" t="s">
        <v>76</v>
      </c>
    </row>
    <row r="132" spans="1:8" x14ac:dyDescent="0.35">
      <c r="A132" s="5" t="s">
        <v>396</v>
      </c>
      <c r="B132" s="5" t="s">
        <v>400</v>
      </c>
      <c r="C132" s="5" t="s">
        <v>401</v>
      </c>
      <c r="D132" s="5" t="s">
        <v>373</v>
      </c>
      <c r="E132" s="5" t="s">
        <v>77</v>
      </c>
      <c r="F132" s="5" t="s">
        <v>106</v>
      </c>
      <c r="G132" s="5" t="s">
        <v>402</v>
      </c>
      <c r="H132" s="5" t="s">
        <v>76</v>
      </c>
    </row>
    <row r="133" spans="1:8" x14ac:dyDescent="0.35">
      <c r="A133" s="5" t="s">
        <v>396</v>
      </c>
      <c r="B133" s="5" t="s">
        <v>403</v>
      </c>
      <c r="C133" s="5" t="s">
        <v>404</v>
      </c>
      <c r="D133" s="5" t="s">
        <v>102</v>
      </c>
      <c r="E133" s="5" t="s">
        <v>77</v>
      </c>
      <c r="F133" s="5" t="s">
        <v>106</v>
      </c>
      <c r="G133" s="5" t="s">
        <v>405</v>
      </c>
      <c r="H133" s="5" t="s">
        <v>76</v>
      </c>
    </row>
    <row r="134" spans="1:8" x14ac:dyDescent="0.35">
      <c r="A134" s="5" t="s">
        <v>396</v>
      </c>
      <c r="B134" s="5" t="s">
        <v>406</v>
      </c>
      <c r="C134" s="5" t="s">
        <v>407</v>
      </c>
      <c r="D134" s="5" t="s">
        <v>102</v>
      </c>
      <c r="E134" s="5" t="s">
        <v>77</v>
      </c>
      <c r="F134" s="5" t="s">
        <v>106</v>
      </c>
      <c r="G134" s="5" t="s">
        <v>408</v>
      </c>
      <c r="H134" s="5" t="s">
        <v>76</v>
      </c>
    </row>
    <row r="136" spans="1:8" x14ac:dyDescent="0.35">
      <c r="A136" t="s">
        <v>409</v>
      </c>
    </row>
    <row r="137" spans="1:8" x14ac:dyDescent="0.35">
      <c r="A137" s="4" t="s">
        <v>65</v>
      </c>
      <c r="B137" s="4" t="s">
        <v>66</v>
      </c>
      <c r="C137" s="4" t="s">
        <v>67</v>
      </c>
      <c r="D137" s="4" t="s">
        <v>68</v>
      </c>
      <c r="E137" s="4" t="s">
        <v>69</v>
      </c>
      <c r="F137" s="4" t="s">
        <v>70</v>
      </c>
      <c r="G137" s="4" t="s">
        <v>71</v>
      </c>
      <c r="H137" s="4" t="s">
        <v>72</v>
      </c>
    </row>
    <row r="138" spans="1:8" x14ac:dyDescent="0.35">
      <c r="A138" s="5" t="s">
        <v>410</v>
      </c>
      <c r="B138" s="5" t="s">
        <v>411</v>
      </c>
      <c r="C138" s="5" t="s">
        <v>412</v>
      </c>
      <c r="D138" s="5" t="s">
        <v>302</v>
      </c>
      <c r="E138" s="5" t="s">
        <v>123</v>
      </c>
      <c r="F138" s="5" t="s">
        <v>106</v>
      </c>
      <c r="G138" s="5" t="s">
        <v>413</v>
      </c>
      <c r="H138" s="5" t="s">
        <v>76</v>
      </c>
    </row>
    <row r="139" spans="1:8" x14ac:dyDescent="0.35">
      <c r="A139" s="5" t="s">
        <v>410</v>
      </c>
      <c r="B139" s="5" t="s">
        <v>414</v>
      </c>
      <c r="C139" s="5" t="s">
        <v>415</v>
      </c>
      <c r="D139" s="5" t="s">
        <v>302</v>
      </c>
      <c r="E139" s="5" t="s">
        <v>290</v>
      </c>
      <c r="F139" s="5" t="s">
        <v>106</v>
      </c>
      <c r="G139" s="5" t="s">
        <v>416</v>
      </c>
      <c r="H139" s="5" t="s">
        <v>76</v>
      </c>
    </row>
    <row r="140" spans="1:8" x14ac:dyDescent="0.35">
      <c r="A140" s="5" t="s">
        <v>410</v>
      </c>
      <c r="B140" s="5" t="s">
        <v>417</v>
      </c>
      <c r="C140" s="5" t="s">
        <v>418</v>
      </c>
      <c r="D140" s="5" t="s">
        <v>302</v>
      </c>
      <c r="E140" s="5" t="s">
        <v>77</v>
      </c>
      <c r="F140" s="5" t="s">
        <v>106</v>
      </c>
      <c r="G140" s="5" t="s">
        <v>419</v>
      </c>
      <c r="H140" s="5" t="s">
        <v>76</v>
      </c>
    </row>
    <row r="141" spans="1:8" x14ac:dyDescent="0.35">
      <c r="A141" s="5" t="s">
        <v>410</v>
      </c>
      <c r="B141" s="5" t="s">
        <v>420</v>
      </c>
      <c r="C141" s="5" t="s">
        <v>421</v>
      </c>
      <c r="D141" s="5" t="s">
        <v>302</v>
      </c>
      <c r="E141" s="5" t="s">
        <v>77</v>
      </c>
      <c r="F141" s="5" t="s">
        <v>106</v>
      </c>
      <c r="G141" s="5" t="s">
        <v>422</v>
      </c>
      <c r="H141" s="5" t="s">
        <v>76</v>
      </c>
    </row>
    <row r="142" spans="1:8" x14ac:dyDescent="0.35">
      <c r="A142" s="5" t="s">
        <v>410</v>
      </c>
      <c r="B142" s="5" t="s">
        <v>423</v>
      </c>
      <c r="C142" s="5" t="s">
        <v>424</v>
      </c>
      <c r="D142" s="5" t="s">
        <v>302</v>
      </c>
      <c r="E142" s="5" t="s">
        <v>77</v>
      </c>
      <c r="F142" s="5" t="s">
        <v>106</v>
      </c>
      <c r="G142" s="5" t="s">
        <v>425</v>
      </c>
      <c r="H142" s="5" t="s">
        <v>76</v>
      </c>
    </row>
    <row r="143" spans="1:8" x14ac:dyDescent="0.35">
      <c r="A143" s="5" t="s">
        <v>410</v>
      </c>
      <c r="B143" s="5" t="s">
        <v>426</v>
      </c>
      <c r="C143" s="5" t="s">
        <v>427</v>
      </c>
      <c r="D143" s="5" t="s">
        <v>223</v>
      </c>
      <c r="E143" s="5" t="s">
        <v>123</v>
      </c>
      <c r="F143" s="5" t="s">
        <v>106</v>
      </c>
      <c r="G143" s="5" t="s">
        <v>428</v>
      </c>
      <c r="H143" s="5" t="s">
        <v>76</v>
      </c>
    </row>
    <row r="144" spans="1:8" x14ac:dyDescent="0.35">
      <c r="A144" s="5" t="s">
        <v>410</v>
      </c>
      <c r="B144" s="5" t="s">
        <v>429</v>
      </c>
      <c r="C144" s="5" t="s">
        <v>430</v>
      </c>
      <c r="D144" s="5" t="s">
        <v>76</v>
      </c>
      <c r="E144" s="5" t="s">
        <v>77</v>
      </c>
      <c r="F144" s="5" t="s">
        <v>106</v>
      </c>
      <c r="G144" s="5" t="s">
        <v>431</v>
      </c>
      <c r="H144" s="5" t="s">
        <v>432</v>
      </c>
    </row>
    <row r="146" spans="1:8" x14ac:dyDescent="0.35">
      <c r="A146" t="s">
        <v>433</v>
      </c>
    </row>
    <row r="147" spans="1:8" x14ac:dyDescent="0.35">
      <c r="A147" s="4" t="s">
        <v>65</v>
      </c>
      <c r="B147" s="4" t="s">
        <v>66</v>
      </c>
      <c r="C147" s="4" t="s">
        <v>67</v>
      </c>
      <c r="D147" s="4" t="s">
        <v>68</v>
      </c>
      <c r="E147" s="4" t="s">
        <v>69</v>
      </c>
      <c r="F147" s="4" t="s">
        <v>70</v>
      </c>
      <c r="G147" s="4" t="s">
        <v>71</v>
      </c>
      <c r="H147" s="4" t="s">
        <v>72</v>
      </c>
    </row>
    <row r="148" spans="1:8" x14ac:dyDescent="0.35">
      <c r="A148" s="5" t="s">
        <v>434</v>
      </c>
      <c r="B148" s="5" t="s">
        <v>435</v>
      </c>
      <c r="C148" s="5" t="s">
        <v>436</v>
      </c>
      <c r="D148" s="5" t="s">
        <v>102</v>
      </c>
      <c r="E148" s="5" t="s">
        <v>77</v>
      </c>
      <c r="F148" s="5" t="s">
        <v>437</v>
      </c>
      <c r="G148" s="5" t="s">
        <v>438</v>
      </c>
      <c r="H148" s="5" t="s">
        <v>439</v>
      </c>
    </row>
    <row r="149" spans="1:8" x14ac:dyDescent="0.35">
      <c r="A149" s="5" t="s">
        <v>434</v>
      </c>
      <c r="B149" s="5" t="s">
        <v>440</v>
      </c>
      <c r="C149" s="5" t="s">
        <v>441</v>
      </c>
      <c r="D149" s="5" t="s">
        <v>102</v>
      </c>
      <c r="E149" s="5" t="s">
        <v>123</v>
      </c>
      <c r="F149" s="5" t="s">
        <v>437</v>
      </c>
      <c r="G149" s="5" t="s">
        <v>438</v>
      </c>
      <c r="H149" s="5" t="s">
        <v>442</v>
      </c>
    </row>
    <row r="150" spans="1:8" x14ac:dyDescent="0.35">
      <c r="A150" s="5" t="s">
        <v>434</v>
      </c>
      <c r="B150" s="5" t="s">
        <v>443</v>
      </c>
      <c r="C150" s="5" t="s">
        <v>444</v>
      </c>
      <c r="D150" s="5" t="s">
        <v>445</v>
      </c>
      <c r="E150" s="5" t="s">
        <v>123</v>
      </c>
      <c r="F150" s="5" t="s">
        <v>437</v>
      </c>
      <c r="G150" s="5" t="s">
        <v>438</v>
      </c>
      <c r="H150" s="5" t="s">
        <v>446</v>
      </c>
    </row>
    <row r="151" spans="1:8" x14ac:dyDescent="0.35">
      <c r="A151" s="5" t="s">
        <v>434</v>
      </c>
      <c r="B151" s="5" t="s">
        <v>447</v>
      </c>
      <c r="C151" s="5" t="s">
        <v>448</v>
      </c>
      <c r="D151" s="5" t="s">
        <v>102</v>
      </c>
      <c r="E151" s="5" t="s">
        <v>123</v>
      </c>
      <c r="F151" s="5" t="s">
        <v>437</v>
      </c>
      <c r="G151" s="5" t="s">
        <v>438</v>
      </c>
      <c r="H151" s="5" t="s">
        <v>449</v>
      </c>
    </row>
    <row r="152" spans="1:8" x14ac:dyDescent="0.35">
      <c r="A152" s="5" t="s">
        <v>450</v>
      </c>
      <c r="B152" s="5" t="s">
        <v>451</v>
      </c>
      <c r="C152" s="5" t="s">
        <v>452</v>
      </c>
      <c r="D152" s="5" t="s">
        <v>110</v>
      </c>
      <c r="E152" s="5" t="s">
        <v>123</v>
      </c>
      <c r="F152" s="5" t="s">
        <v>453</v>
      </c>
      <c r="G152" s="5" t="s">
        <v>454</v>
      </c>
      <c r="H152" s="5" t="s">
        <v>455</v>
      </c>
    </row>
    <row r="153" spans="1:8" x14ac:dyDescent="0.35">
      <c r="A153" s="5" t="s">
        <v>450</v>
      </c>
      <c r="B153" s="5" t="s">
        <v>456</v>
      </c>
      <c r="C153" s="5" t="s">
        <v>457</v>
      </c>
      <c r="D153" s="5" t="s">
        <v>373</v>
      </c>
      <c r="E153" s="5" t="s">
        <v>123</v>
      </c>
      <c r="F153" s="5" t="s">
        <v>453</v>
      </c>
      <c r="G153" s="5" t="s">
        <v>458</v>
      </c>
      <c r="H153" s="5" t="s">
        <v>459</v>
      </c>
    </row>
    <row r="154" spans="1:8" x14ac:dyDescent="0.35">
      <c r="A154" s="5" t="s">
        <v>450</v>
      </c>
      <c r="B154" s="5" t="s">
        <v>460</v>
      </c>
      <c r="C154" s="5" t="s">
        <v>461</v>
      </c>
      <c r="D154" s="5" t="s">
        <v>223</v>
      </c>
      <c r="E154" s="5" t="s">
        <v>123</v>
      </c>
      <c r="F154" s="5" t="s">
        <v>453</v>
      </c>
      <c r="G154" s="5" t="s">
        <v>462</v>
      </c>
      <c r="H154" s="5" t="s">
        <v>463</v>
      </c>
    </row>
    <row r="155" spans="1:8" x14ac:dyDescent="0.35">
      <c r="A155" s="5" t="s">
        <v>450</v>
      </c>
      <c r="B155" s="5" t="s">
        <v>464</v>
      </c>
      <c r="C155" s="5" t="s">
        <v>465</v>
      </c>
      <c r="D155" s="5" t="s">
        <v>223</v>
      </c>
      <c r="E155" s="5" t="s">
        <v>123</v>
      </c>
      <c r="F155" s="5" t="s">
        <v>453</v>
      </c>
      <c r="G155" s="5" t="s">
        <v>466</v>
      </c>
      <c r="H155" s="5" t="s">
        <v>463</v>
      </c>
    </row>
    <row r="156" spans="1:8" x14ac:dyDescent="0.35">
      <c r="A156" s="5" t="s">
        <v>450</v>
      </c>
      <c r="B156" s="5" t="s">
        <v>467</v>
      </c>
      <c r="C156" s="5" t="s">
        <v>468</v>
      </c>
      <c r="D156" s="5" t="s">
        <v>110</v>
      </c>
      <c r="E156" s="5" t="s">
        <v>123</v>
      </c>
      <c r="F156" s="5" t="s">
        <v>453</v>
      </c>
      <c r="G156" s="5" t="s">
        <v>469</v>
      </c>
      <c r="H156" s="5" t="s">
        <v>463</v>
      </c>
    </row>
    <row r="158" spans="1:8" x14ac:dyDescent="0.35">
      <c r="A158" t="s">
        <v>470</v>
      </c>
    </row>
    <row r="159" spans="1:8" x14ac:dyDescent="0.35">
      <c r="A159" s="4" t="s">
        <v>65</v>
      </c>
      <c r="B159" s="4" t="s">
        <v>66</v>
      </c>
      <c r="C159" s="4" t="s">
        <v>67</v>
      </c>
      <c r="D159" s="4" t="s">
        <v>68</v>
      </c>
      <c r="E159" s="4" t="s">
        <v>69</v>
      </c>
      <c r="F159" s="4" t="s">
        <v>70</v>
      </c>
      <c r="G159" s="4" t="s">
        <v>71</v>
      </c>
      <c r="H159" s="4" t="s">
        <v>72</v>
      </c>
    </row>
    <row r="160" spans="1:8" x14ac:dyDescent="0.35">
      <c r="A160" s="5" t="s">
        <v>471</v>
      </c>
      <c r="B160" s="5" t="s">
        <v>472</v>
      </c>
      <c r="C160" s="5" t="s">
        <v>22</v>
      </c>
      <c r="D160" s="5" t="s">
        <v>473</v>
      </c>
      <c r="E160" s="5" t="s">
        <v>77</v>
      </c>
      <c r="F160" s="5" t="s">
        <v>474</v>
      </c>
      <c r="G160" s="5" t="s">
        <v>475</v>
      </c>
      <c r="H160" s="5">
        <v>500</v>
      </c>
    </row>
    <row r="161" spans="1:8" x14ac:dyDescent="0.35">
      <c r="A161" s="5" t="s">
        <v>471</v>
      </c>
      <c r="B161" s="5" t="s">
        <v>476</v>
      </c>
      <c r="C161" s="5" t="s">
        <v>23</v>
      </c>
      <c r="D161" s="5" t="s">
        <v>473</v>
      </c>
      <c r="E161" s="5" t="s">
        <v>123</v>
      </c>
      <c r="F161" s="5" t="s">
        <v>474</v>
      </c>
      <c r="G161" s="5" t="s">
        <v>475</v>
      </c>
      <c r="H161" s="5">
        <v>300</v>
      </c>
    </row>
    <row r="162" spans="1:8" x14ac:dyDescent="0.35">
      <c r="A162" s="5" t="s">
        <v>471</v>
      </c>
      <c r="B162" s="5" t="s">
        <v>477</v>
      </c>
      <c r="C162" s="5" t="s">
        <v>24</v>
      </c>
      <c r="D162" s="5" t="s">
        <v>473</v>
      </c>
      <c r="E162" s="5" t="s">
        <v>290</v>
      </c>
      <c r="F162" s="5" t="s">
        <v>474</v>
      </c>
      <c r="G162" s="5" t="s">
        <v>475</v>
      </c>
      <c r="H162" s="5">
        <v>200</v>
      </c>
    </row>
    <row r="163" spans="1:8" x14ac:dyDescent="0.35">
      <c r="A163" s="5" t="s">
        <v>471</v>
      </c>
      <c r="B163" s="5" t="s">
        <v>478</v>
      </c>
      <c r="C163" s="5" t="s">
        <v>479</v>
      </c>
      <c r="D163" s="5" t="s">
        <v>110</v>
      </c>
      <c r="E163" s="5" t="s">
        <v>123</v>
      </c>
      <c r="F163" s="5" t="s">
        <v>474</v>
      </c>
      <c r="G163" s="5" t="s">
        <v>157</v>
      </c>
      <c r="H163" s="5" t="s">
        <v>76</v>
      </c>
    </row>
    <row r="164" spans="1:8" x14ac:dyDescent="0.35">
      <c r="A164" s="5" t="s">
        <v>471</v>
      </c>
      <c r="B164" s="5" t="s">
        <v>193</v>
      </c>
      <c r="C164" s="5" t="s">
        <v>480</v>
      </c>
      <c r="D164" s="5" t="s">
        <v>110</v>
      </c>
      <c r="E164" s="5" t="s">
        <v>123</v>
      </c>
      <c r="F164" s="5" t="s">
        <v>474</v>
      </c>
      <c r="G164" s="5" t="s">
        <v>157</v>
      </c>
      <c r="H164" s="5" t="s">
        <v>76</v>
      </c>
    </row>
    <row r="165" spans="1:8" x14ac:dyDescent="0.35">
      <c r="A165" s="5" t="s">
        <v>471</v>
      </c>
      <c r="B165" s="5" t="s">
        <v>190</v>
      </c>
      <c r="C165" s="5" t="s">
        <v>481</v>
      </c>
      <c r="D165" s="5" t="s">
        <v>110</v>
      </c>
      <c r="E165" s="5" t="s">
        <v>123</v>
      </c>
      <c r="F165" s="5" t="s">
        <v>474</v>
      </c>
      <c r="G165" s="5" t="s">
        <v>157</v>
      </c>
      <c r="H165" s="5" t="s">
        <v>76</v>
      </c>
    </row>
    <row r="166" spans="1:8" x14ac:dyDescent="0.35">
      <c r="A166" s="5" t="s">
        <v>471</v>
      </c>
      <c r="B166" s="5" t="s">
        <v>482</v>
      </c>
      <c r="C166" s="5" t="s">
        <v>483</v>
      </c>
      <c r="D166" s="5" t="s">
        <v>102</v>
      </c>
      <c r="E166" s="5" t="s">
        <v>123</v>
      </c>
      <c r="F166" s="5" t="s">
        <v>474</v>
      </c>
      <c r="G166" s="5" t="s">
        <v>229</v>
      </c>
      <c r="H166" s="5" t="s">
        <v>76</v>
      </c>
    </row>
    <row r="167" spans="1:8" x14ac:dyDescent="0.35">
      <c r="A167" s="5" t="s">
        <v>471</v>
      </c>
      <c r="B167" s="5" t="s">
        <v>254</v>
      </c>
      <c r="C167" s="5" t="s">
        <v>484</v>
      </c>
      <c r="D167" s="5" t="s">
        <v>102</v>
      </c>
      <c r="E167" s="5" t="s">
        <v>123</v>
      </c>
      <c r="F167" s="5" t="s">
        <v>474</v>
      </c>
      <c r="G167" s="5" t="s">
        <v>241</v>
      </c>
      <c r="H167" s="5" t="s">
        <v>76</v>
      </c>
    </row>
    <row r="168" spans="1:8" x14ac:dyDescent="0.35">
      <c r="A168" s="5" t="s">
        <v>471</v>
      </c>
      <c r="B168" s="5" t="s">
        <v>225</v>
      </c>
      <c r="C168" s="5" t="s">
        <v>485</v>
      </c>
      <c r="D168" s="5" t="s">
        <v>102</v>
      </c>
      <c r="E168" s="5" t="s">
        <v>123</v>
      </c>
      <c r="F168" s="5" t="s">
        <v>474</v>
      </c>
      <c r="G168" s="5" t="s">
        <v>203</v>
      </c>
      <c r="H168" s="5" t="s">
        <v>76</v>
      </c>
    </row>
    <row r="169" spans="1:8" x14ac:dyDescent="0.35">
      <c r="A169" s="5" t="s">
        <v>471</v>
      </c>
      <c r="B169" s="5" t="s">
        <v>486</v>
      </c>
      <c r="C169" s="5" t="s">
        <v>487</v>
      </c>
      <c r="D169" s="5" t="s">
        <v>373</v>
      </c>
      <c r="E169" s="5" t="s">
        <v>77</v>
      </c>
      <c r="F169" s="5" t="s">
        <v>474</v>
      </c>
      <c r="G169" s="5" t="s">
        <v>35</v>
      </c>
      <c r="H169" s="5" t="s">
        <v>76</v>
      </c>
    </row>
    <row r="170" spans="1:8" x14ac:dyDescent="0.35">
      <c r="A170" s="5" t="s">
        <v>471</v>
      </c>
      <c r="B170" s="5" t="s">
        <v>400</v>
      </c>
      <c r="C170" s="5" t="s">
        <v>488</v>
      </c>
      <c r="D170" s="5" t="s">
        <v>373</v>
      </c>
      <c r="E170" s="5" t="s">
        <v>77</v>
      </c>
      <c r="F170" s="5" t="s">
        <v>474</v>
      </c>
      <c r="G170" s="5" t="s">
        <v>396</v>
      </c>
      <c r="H170" s="5" t="s">
        <v>76</v>
      </c>
    </row>
    <row r="171" spans="1:8" x14ac:dyDescent="0.35">
      <c r="A171" s="5" t="s">
        <v>471</v>
      </c>
      <c r="B171" s="5" t="s">
        <v>403</v>
      </c>
      <c r="C171" s="5" t="s">
        <v>489</v>
      </c>
      <c r="D171" s="5" t="s">
        <v>102</v>
      </c>
      <c r="E171" s="5" t="s">
        <v>77</v>
      </c>
      <c r="F171" s="5" t="s">
        <v>474</v>
      </c>
      <c r="G171" s="5" t="s">
        <v>396</v>
      </c>
      <c r="H171" s="5" t="s">
        <v>76</v>
      </c>
    </row>
    <row r="172" spans="1:8" x14ac:dyDescent="0.35">
      <c r="A172" s="5" t="s">
        <v>471</v>
      </c>
      <c r="B172" s="5" t="s">
        <v>490</v>
      </c>
      <c r="C172" s="5" t="s">
        <v>491</v>
      </c>
      <c r="D172" s="5" t="s">
        <v>473</v>
      </c>
      <c r="E172" s="5" t="s">
        <v>123</v>
      </c>
      <c r="F172" s="5" t="s">
        <v>474</v>
      </c>
      <c r="G172" s="5" t="s">
        <v>241</v>
      </c>
      <c r="H172" s="5"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8428-0803-484B-9F19-E29500C5CADA}">
  <dimension ref="A1:BE501"/>
  <sheetViews>
    <sheetView topLeftCell="AM1" workbookViewId="0">
      <selection activeCell="AM1" sqref="A1:XFD1"/>
    </sheetView>
  </sheetViews>
  <sheetFormatPr defaultRowHeight="14.5" x14ac:dyDescent="0.35"/>
  <cols>
    <col min="1" max="1" width="15.54296875" customWidth="1"/>
    <col min="2" max="2" width="18.6328125" customWidth="1"/>
    <col min="3" max="3" width="15.81640625" customWidth="1"/>
    <col min="4" max="4" width="10.26953125" customWidth="1"/>
    <col min="5" max="5" width="7.81640625" bestFit="1" customWidth="1"/>
    <col min="6" max="6" width="14.90625" customWidth="1"/>
    <col min="7" max="7" width="10.6328125" customWidth="1"/>
    <col min="8" max="8" width="18" customWidth="1"/>
    <col min="9" max="9" width="22.08984375" customWidth="1"/>
    <col min="10" max="10" width="18" customWidth="1"/>
    <col min="11" max="11" width="18.90625" customWidth="1"/>
    <col min="12" max="12" width="13.54296875" customWidth="1"/>
    <col min="13" max="13" width="18.36328125" customWidth="1"/>
    <col min="14" max="14" width="21.54296875" customWidth="1"/>
    <col min="15" max="15" width="22.7265625" customWidth="1"/>
    <col min="16" max="16" width="17" customWidth="1"/>
    <col min="17" max="17" width="22.08984375" customWidth="1"/>
    <col min="18" max="18" width="19.90625" customWidth="1"/>
    <col min="19" max="19" width="21.90625" customWidth="1"/>
    <col min="20" max="20" width="13.08984375" customWidth="1"/>
    <col min="21" max="21" width="16.36328125" customWidth="1"/>
    <col min="22" max="22" width="18" customWidth="1"/>
    <col min="23" max="23" width="17.7265625" customWidth="1"/>
    <col min="24" max="24" width="21.1796875" customWidth="1"/>
    <col min="25" max="25" width="16.81640625" customWidth="1"/>
    <col min="26" max="26" width="7.26953125" customWidth="1"/>
    <col min="27" max="27" width="20.90625" customWidth="1"/>
    <col min="28" max="28" width="18.6328125" customWidth="1"/>
    <col min="29" max="29" width="20.1796875" customWidth="1"/>
    <col min="30" max="30" width="21.453125" customWidth="1"/>
    <col min="31" max="31" width="23.90625" customWidth="1"/>
    <col min="32" max="32" width="22" customWidth="1"/>
    <col min="33" max="33" width="23.08984375" customWidth="1"/>
    <col min="34" max="34" width="27.54296875" customWidth="1"/>
    <col min="35" max="35" width="26.6328125" customWidth="1"/>
    <col min="36" max="36" width="23.08984375" customWidth="1"/>
    <col min="37" max="37" width="27.26953125" customWidth="1"/>
    <col min="38" max="38" width="22.81640625" customWidth="1"/>
    <col min="39" max="39" width="26.81640625" customWidth="1"/>
    <col min="40" max="40" width="21.54296875" customWidth="1"/>
    <col min="41" max="41" width="21.90625" customWidth="1"/>
    <col min="42" max="42" width="20.453125" customWidth="1"/>
    <col min="43" max="43" width="19.81640625" customWidth="1"/>
    <col min="44" max="44" width="16.81640625" customWidth="1"/>
    <col min="45" max="45" width="25.7265625" customWidth="1"/>
    <col min="46" max="46" width="19.36328125" customWidth="1"/>
    <col min="47" max="47" width="17.7265625" customWidth="1"/>
    <col min="48" max="48" width="21.26953125" customWidth="1"/>
    <col min="49" max="49" width="19.453125" customWidth="1"/>
    <col min="50" max="50" width="34.7265625" customWidth="1"/>
    <col min="51" max="51" width="24.54296875" customWidth="1"/>
    <col min="52" max="52" width="18.81640625" customWidth="1"/>
    <col min="53" max="53" width="22.08984375" customWidth="1"/>
    <col min="54" max="54" width="13.6328125" customWidth="1"/>
    <col min="55" max="55" width="18.453125" customWidth="1"/>
    <col min="56" max="56" width="16.7265625" customWidth="1"/>
    <col min="57" max="57" width="6.81640625" bestFit="1" customWidth="1"/>
  </cols>
  <sheetData>
    <row r="1" spans="1:57" x14ac:dyDescent="0.35">
      <c r="A1" t="s">
        <v>492</v>
      </c>
      <c r="B1" t="s">
        <v>493</v>
      </c>
      <c r="C1" t="s">
        <v>494</v>
      </c>
      <c r="D1" t="s">
        <v>495</v>
      </c>
      <c r="E1" t="s">
        <v>496</v>
      </c>
      <c r="F1" t="s">
        <v>497</v>
      </c>
      <c r="G1" t="s">
        <v>93</v>
      </c>
      <c r="H1" t="s">
        <v>498</v>
      </c>
      <c r="I1" t="s">
        <v>499</v>
      </c>
      <c r="J1" t="s">
        <v>500</v>
      </c>
      <c r="K1" t="s">
        <v>501</v>
      </c>
      <c r="L1" t="s">
        <v>502</v>
      </c>
      <c r="M1" t="s">
        <v>503</v>
      </c>
      <c r="N1" t="s">
        <v>504</v>
      </c>
      <c r="O1" t="s">
        <v>505</v>
      </c>
      <c r="P1" t="s">
        <v>506</v>
      </c>
      <c r="Q1" t="s">
        <v>507</v>
      </c>
      <c r="R1" t="s">
        <v>508</v>
      </c>
      <c r="S1" t="s">
        <v>509</v>
      </c>
      <c r="T1" t="s">
        <v>510</v>
      </c>
      <c r="U1" t="s">
        <v>511</v>
      </c>
      <c r="V1" t="s">
        <v>512</v>
      </c>
      <c r="W1" t="s">
        <v>513</v>
      </c>
      <c r="X1" t="s">
        <v>514</v>
      </c>
      <c r="Y1" t="s">
        <v>515</v>
      </c>
      <c r="Z1" t="s">
        <v>313</v>
      </c>
      <c r="AA1" t="s">
        <v>516</v>
      </c>
      <c r="AB1" t="s">
        <v>517</v>
      </c>
      <c r="AC1" t="s">
        <v>518</v>
      </c>
      <c r="AD1" t="s">
        <v>519</v>
      </c>
      <c r="AE1" t="s">
        <v>520</v>
      </c>
      <c r="AF1" t="s">
        <v>521</v>
      </c>
      <c r="AG1" t="s">
        <v>522</v>
      </c>
      <c r="AH1" t="s">
        <v>523</v>
      </c>
      <c r="AI1" t="s">
        <v>524</v>
      </c>
      <c r="AJ1" t="s">
        <v>525</v>
      </c>
      <c r="AK1" t="s">
        <v>526</v>
      </c>
      <c r="AL1" t="s">
        <v>527</v>
      </c>
      <c r="AM1" t="s">
        <v>528</v>
      </c>
      <c r="AN1" t="s">
        <v>529</v>
      </c>
      <c r="AO1" t="s">
        <v>530</v>
      </c>
      <c r="AP1" t="s">
        <v>531</v>
      </c>
      <c r="AQ1" t="s">
        <v>532</v>
      </c>
      <c r="AR1" t="s">
        <v>533</v>
      </c>
      <c r="AS1" t="s">
        <v>534</v>
      </c>
      <c r="AT1" t="s">
        <v>535</v>
      </c>
      <c r="AU1" t="s">
        <v>536</v>
      </c>
      <c r="AV1" t="s">
        <v>537</v>
      </c>
      <c r="AW1" t="s">
        <v>538</v>
      </c>
      <c r="AX1" t="s">
        <v>539</v>
      </c>
      <c r="AY1" t="s">
        <v>540</v>
      </c>
      <c r="AZ1" t="s">
        <v>541</v>
      </c>
      <c r="BA1" t="s">
        <v>542</v>
      </c>
      <c r="BB1" t="s">
        <v>543</v>
      </c>
      <c r="BC1" t="s">
        <v>544</v>
      </c>
      <c r="BD1" t="s">
        <v>545</v>
      </c>
      <c r="BE1" t="s">
        <v>229</v>
      </c>
    </row>
    <row r="2" spans="1:57" x14ac:dyDescent="0.35">
      <c r="A2" t="s">
        <v>546</v>
      </c>
      <c r="B2" t="s">
        <v>547</v>
      </c>
      <c r="C2" t="s">
        <v>548</v>
      </c>
      <c r="D2" t="s">
        <v>549</v>
      </c>
      <c r="E2" t="s">
        <v>550</v>
      </c>
      <c r="F2" t="s">
        <v>123</v>
      </c>
      <c r="G2" t="s">
        <v>551</v>
      </c>
      <c r="H2">
        <v>557</v>
      </c>
      <c r="I2">
        <v>0.1788034319066201</v>
      </c>
      <c r="J2">
        <v>657</v>
      </c>
      <c r="K2">
        <v>1130</v>
      </c>
      <c r="L2">
        <v>98</v>
      </c>
      <c r="M2" t="s">
        <v>552</v>
      </c>
      <c r="N2">
        <v>6.46</v>
      </c>
      <c r="O2">
        <v>6.99</v>
      </c>
      <c r="P2">
        <v>96.9</v>
      </c>
      <c r="Q2">
        <v>45.7</v>
      </c>
      <c r="R2">
        <v>5</v>
      </c>
      <c r="S2">
        <v>0.15340000000000001</v>
      </c>
      <c r="T2">
        <v>1.5100000000000001E-2</v>
      </c>
      <c r="U2">
        <v>0.9304</v>
      </c>
      <c r="AH2">
        <v>1600.26</v>
      </c>
      <c r="AI2">
        <v>60.86</v>
      </c>
      <c r="AJ2">
        <v>170.95</v>
      </c>
      <c r="AK2">
        <v>154.13999999999999</v>
      </c>
      <c r="AL2">
        <v>1986.21</v>
      </c>
      <c r="AM2">
        <v>0.32613860700686131</v>
      </c>
      <c r="AN2">
        <v>2947.51</v>
      </c>
      <c r="AO2">
        <v>961.3</v>
      </c>
      <c r="AP2">
        <v>0.3261</v>
      </c>
      <c r="AQ2">
        <v>0.67390000000000005</v>
      </c>
      <c r="AR2">
        <v>5924</v>
      </c>
      <c r="AS2">
        <v>494</v>
      </c>
      <c r="AT2">
        <v>0.17249999999999999</v>
      </c>
      <c r="AU2">
        <v>4892</v>
      </c>
      <c r="AV2">
        <v>4892</v>
      </c>
      <c r="AW2">
        <v>4967</v>
      </c>
      <c r="AX2">
        <v>1163</v>
      </c>
      <c r="AY2">
        <v>135.49</v>
      </c>
      <c r="AZ2">
        <v>0.84030000000000005</v>
      </c>
      <c r="BA2">
        <v>178.4</v>
      </c>
      <c r="BB2">
        <v>0.9849</v>
      </c>
      <c r="BC2">
        <v>0.92417739628040052</v>
      </c>
      <c r="BD2">
        <v>0.85919999999999996</v>
      </c>
      <c r="BE2">
        <v>0.78210000000000002</v>
      </c>
    </row>
    <row r="3" spans="1:57" x14ac:dyDescent="0.35">
      <c r="A3" t="s">
        <v>553</v>
      </c>
      <c r="B3" t="s">
        <v>554</v>
      </c>
      <c r="C3" t="s">
        <v>555</v>
      </c>
      <c r="D3" t="s">
        <v>556</v>
      </c>
      <c r="E3" t="s">
        <v>557</v>
      </c>
      <c r="F3" t="s">
        <v>123</v>
      </c>
      <c r="G3" t="s">
        <v>558</v>
      </c>
      <c r="H3">
        <v>688</v>
      </c>
      <c r="I3">
        <v>0.13447422917394211</v>
      </c>
      <c r="J3">
        <v>781</v>
      </c>
      <c r="K3">
        <v>4186</v>
      </c>
      <c r="L3">
        <v>1546</v>
      </c>
      <c r="M3" t="s">
        <v>559</v>
      </c>
      <c r="N3">
        <v>4.93</v>
      </c>
      <c r="O3">
        <v>5.13</v>
      </c>
      <c r="P3">
        <v>43.1</v>
      </c>
      <c r="Q3">
        <v>39</v>
      </c>
      <c r="R3">
        <v>2</v>
      </c>
      <c r="S3">
        <v>7.9899999999999999E-2</v>
      </c>
      <c r="T3">
        <v>5.4000000000000003E-3</v>
      </c>
      <c r="U3">
        <v>0.85609999999999997</v>
      </c>
      <c r="AH3">
        <v>201.93</v>
      </c>
      <c r="AI3">
        <v>36.85</v>
      </c>
      <c r="AJ3">
        <v>58.24</v>
      </c>
      <c r="AK3">
        <v>16.47</v>
      </c>
      <c r="AL3">
        <v>313.49</v>
      </c>
      <c r="AM3">
        <v>0.25568215922348297</v>
      </c>
      <c r="AN3">
        <v>421.18</v>
      </c>
      <c r="AO3">
        <v>107.69</v>
      </c>
      <c r="AP3">
        <v>0.25569999999999998</v>
      </c>
      <c r="AQ3">
        <v>0.74429999999999996</v>
      </c>
      <c r="AR3">
        <v>45830</v>
      </c>
      <c r="AS3">
        <v>3819</v>
      </c>
      <c r="AT3">
        <v>0.24590000000000001</v>
      </c>
      <c r="AU3">
        <v>43190</v>
      </c>
      <c r="AV3">
        <v>43190</v>
      </c>
      <c r="AW3">
        <v>43424</v>
      </c>
      <c r="AX3">
        <v>1831</v>
      </c>
      <c r="AY3">
        <v>156.55000000000001</v>
      </c>
      <c r="AZ3">
        <v>0.84179999999999999</v>
      </c>
      <c r="BA3">
        <v>146.30000000000001</v>
      </c>
      <c r="BB3">
        <v>0.99460000000000004</v>
      </c>
      <c r="BC3">
        <v>0.96101364522417154</v>
      </c>
      <c r="BD3">
        <v>0.8367</v>
      </c>
      <c r="BE3">
        <v>0.79969999999999997</v>
      </c>
    </row>
    <row r="4" spans="1:57" x14ac:dyDescent="0.35">
      <c r="A4" t="s">
        <v>560</v>
      </c>
      <c r="B4" t="s">
        <v>561</v>
      </c>
      <c r="C4" t="s">
        <v>562</v>
      </c>
      <c r="D4" t="s">
        <v>556</v>
      </c>
      <c r="E4" t="s">
        <v>557</v>
      </c>
      <c r="F4" t="s">
        <v>123</v>
      </c>
      <c r="G4" t="s">
        <v>551</v>
      </c>
      <c r="H4">
        <v>284</v>
      </c>
      <c r="I4">
        <v>3.5469916679100391E-2</v>
      </c>
      <c r="J4">
        <v>294</v>
      </c>
      <c r="K4">
        <v>7776</v>
      </c>
      <c r="L4">
        <v>1143</v>
      </c>
      <c r="M4" t="s">
        <v>563</v>
      </c>
      <c r="N4">
        <v>6.08</v>
      </c>
      <c r="O4">
        <v>6.45</v>
      </c>
      <c r="P4">
        <v>23.6</v>
      </c>
      <c r="Q4">
        <v>42.1</v>
      </c>
      <c r="R4">
        <v>1</v>
      </c>
      <c r="S4">
        <v>2.1399999999999999E-2</v>
      </c>
      <c r="T4">
        <v>1.6899999999999998E-2</v>
      </c>
      <c r="U4">
        <v>0.94089999999999996</v>
      </c>
      <c r="AH4">
        <v>641.36</v>
      </c>
      <c r="AI4">
        <v>8.77</v>
      </c>
      <c r="AJ4">
        <v>155.81</v>
      </c>
      <c r="AK4">
        <v>63.29</v>
      </c>
      <c r="AL4">
        <v>869.23</v>
      </c>
      <c r="AM4">
        <v>0.23663104198817961</v>
      </c>
      <c r="AN4">
        <v>1138.68</v>
      </c>
      <c r="AO4">
        <v>269.45</v>
      </c>
      <c r="AP4">
        <v>0.2366</v>
      </c>
      <c r="AQ4">
        <v>0.76339999999999997</v>
      </c>
      <c r="AR4">
        <v>77893</v>
      </c>
      <c r="AS4">
        <v>6491</v>
      </c>
      <c r="AT4">
        <v>0.14280000000000001</v>
      </c>
      <c r="AU4">
        <v>71260</v>
      </c>
      <c r="AV4">
        <v>71260</v>
      </c>
      <c r="AW4">
        <v>72485</v>
      </c>
      <c r="AX4">
        <v>6001</v>
      </c>
      <c r="AY4">
        <v>645.11</v>
      </c>
      <c r="AZ4">
        <v>0.92459999999999998</v>
      </c>
      <c r="BA4">
        <v>128.41999999999999</v>
      </c>
      <c r="BB4">
        <v>0.98309999999999997</v>
      </c>
      <c r="BC4">
        <v>0.94263565891472867</v>
      </c>
      <c r="BD4">
        <v>0.83379999999999999</v>
      </c>
      <c r="BE4">
        <v>0.77270000000000005</v>
      </c>
    </row>
    <row r="5" spans="1:57" x14ac:dyDescent="0.35">
      <c r="A5" t="s">
        <v>564</v>
      </c>
      <c r="B5" t="s">
        <v>565</v>
      </c>
      <c r="C5" t="s">
        <v>548</v>
      </c>
      <c r="D5" t="s">
        <v>556</v>
      </c>
      <c r="E5" t="s">
        <v>550</v>
      </c>
      <c r="F5" t="s">
        <v>123</v>
      </c>
      <c r="G5" t="s">
        <v>566</v>
      </c>
      <c r="H5">
        <v>1473</v>
      </c>
      <c r="I5">
        <v>7.2903968779208086E-2</v>
      </c>
      <c r="J5">
        <v>1580</v>
      </c>
      <c r="K5">
        <v>2893</v>
      </c>
      <c r="L5">
        <v>253</v>
      </c>
      <c r="M5" t="s">
        <v>567</v>
      </c>
      <c r="N5">
        <v>0.79</v>
      </c>
      <c r="O5">
        <v>0.81</v>
      </c>
      <c r="P5">
        <v>86.5</v>
      </c>
      <c r="Q5">
        <v>48</v>
      </c>
      <c r="R5">
        <v>4</v>
      </c>
      <c r="S5">
        <v>0.33400000000000002</v>
      </c>
      <c r="T5">
        <v>6.8999999999999999E-3</v>
      </c>
      <c r="U5">
        <v>0.87970000000000004</v>
      </c>
      <c r="AH5">
        <v>940.04</v>
      </c>
      <c r="AI5">
        <v>103.1</v>
      </c>
      <c r="AJ5">
        <v>16.91</v>
      </c>
      <c r="AK5">
        <v>83.21</v>
      </c>
      <c r="AL5">
        <v>1143.26</v>
      </c>
      <c r="AM5">
        <v>0.24940309463821761</v>
      </c>
      <c r="AN5">
        <v>1523.13</v>
      </c>
      <c r="AO5">
        <v>379.87</v>
      </c>
      <c r="AP5">
        <v>0.24940000000000001</v>
      </c>
      <c r="AQ5">
        <v>0.75060000000000004</v>
      </c>
      <c r="AR5">
        <v>18650</v>
      </c>
      <c r="AS5">
        <v>1554</v>
      </c>
      <c r="AT5">
        <v>0.14069999999999999</v>
      </c>
      <c r="AU5">
        <v>16010</v>
      </c>
      <c r="AV5">
        <v>16010</v>
      </c>
      <c r="AW5">
        <v>16121</v>
      </c>
      <c r="AX5">
        <v>4681</v>
      </c>
      <c r="AY5">
        <v>63.19</v>
      </c>
      <c r="AZ5">
        <v>0.91639999999999999</v>
      </c>
      <c r="BA5">
        <v>1563.45</v>
      </c>
      <c r="BB5">
        <v>0.99309999999999998</v>
      </c>
      <c r="BC5">
        <v>0.97530864197530864</v>
      </c>
      <c r="BD5">
        <v>0.90759999999999996</v>
      </c>
      <c r="BE5">
        <v>0.87909999999999999</v>
      </c>
    </row>
    <row r="6" spans="1:57" x14ac:dyDescent="0.35">
      <c r="A6" t="s">
        <v>568</v>
      </c>
      <c r="B6" t="s">
        <v>569</v>
      </c>
      <c r="C6" t="s">
        <v>548</v>
      </c>
      <c r="D6" t="s">
        <v>556</v>
      </c>
      <c r="E6" t="s">
        <v>551</v>
      </c>
      <c r="F6" t="s">
        <v>123</v>
      </c>
      <c r="G6" t="s">
        <v>551</v>
      </c>
      <c r="H6">
        <v>1301</v>
      </c>
      <c r="I6">
        <v>1.5223405835428489E-2</v>
      </c>
      <c r="J6">
        <v>1321</v>
      </c>
      <c r="K6">
        <v>2586</v>
      </c>
      <c r="L6">
        <v>305</v>
      </c>
      <c r="M6" t="s">
        <v>570</v>
      </c>
      <c r="N6">
        <v>1.02</v>
      </c>
      <c r="O6">
        <v>1.1299999999999999</v>
      </c>
      <c r="P6">
        <v>55.9</v>
      </c>
      <c r="Q6">
        <v>32.5</v>
      </c>
      <c r="R6">
        <v>3</v>
      </c>
      <c r="S6">
        <v>0.18160000000000001</v>
      </c>
      <c r="T6">
        <v>2.76E-2</v>
      </c>
      <c r="U6">
        <v>0.88729999999999998</v>
      </c>
      <c r="AH6">
        <v>960.93</v>
      </c>
      <c r="AI6">
        <v>77.48</v>
      </c>
      <c r="AJ6">
        <v>13.15</v>
      </c>
      <c r="AK6">
        <v>57.44</v>
      </c>
      <c r="AL6">
        <v>1109</v>
      </c>
      <c r="AM6">
        <v>0.21606906578965979</v>
      </c>
      <c r="AN6">
        <v>1414.67</v>
      </c>
      <c r="AO6">
        <v>305.67</v>
      </c>
      <c r="AP6">
        <v>0.21609999999999999</v>
      </c>
      <c r="AQ6">
        <v>0.78390000000000004</v>
      </c>
      <c r="AR6">
        <v>15691</v>
      </c>
      <c r="AS6">
        <v>1308</v>
      </c>
      <c r="AT6">
        <v>0.13850000000000001</v>
      </c>
      <c r="AU6">
        <v>13410</v>
      </c>
      <c r="AV6">
        <v>13410</v>
      </c>
      <c r="AW6">
        <v>13791</v>
      </c>
      <c r="AX6">
        <v>4201</v>
      </c>
      <c r="AY6">
        <v>79.12</v>
      </c>
      <c r="AZ6">
        <v>0.93740000000000001</v>
      </c>
      <c r="BA6">
        <v>762.9</v>
      </c>
      <c r="BB6">
        <v>0.97240000000000004</v>
      </c>
      <c r="BC6">
        <v>0.90265486725663724</v>
      </c>
      <c r="BD6">
        <v>0.87450000000000006</v>
      </c>
      <c r="BE6">
        <v>0.76759999999999995</v>
      </c>
    </row>
    <row r="7" spans="1:57" x14ac:dyDescent="0.35">
      <c r="A7" t="s">
        <v>571</v>
      </c>
      <c r="B7" t="s">
        <v>572</v>
      </c>
      <c r="C7" t="s">
        <v>573</v>
      </c>
      <c r="D7" t="s">
        <v>556</v>
      </c>
      <c r="E7" t="s">
        <v>551</v>
      </c>
      <c r="F7" t="s">
        <v>123</v>
      </c>
      <c r="G7" t="s">
        <v>551</v>
      </c>
      <c r="H7">
        <v>835</v>
      </c>
      <c r="I7">
        <v>0.1106048195515789</v>
      </c>
      <c r="J7">
        <v>927</v>
      </c>
      <c r="K7">
        <v>8535</v>
      </c>
      <c r="L7">
        <v>1008</v>
      </c>
      <c r="M7" t="s">
        <v>563</v>
      </c>
      <c r="N7">
        <v>3.27</v>
      </c>
      <c r="O7">
        <v>3.41</v>
      </c>
      <c r="P7">
        <v>73.5</v>
      </c>
      <c r="Q7">
        <v>51.9</v>
      </c>
      <c r="R7">
        <v>3</v>
      </c>
      <c r="S7">
        <v>0.15</v>
      </c>
      <c r="T7">
        <v>1.61E-2</v>
      </c>
      <c r="U7">
        <v>0.94</v>
      </c>
      <c r="AH7">
        <v>696.17</v>
      </c>
      <c r="AI7">
        <v>73.540000000000006</v>
      </c>
      <c r="AJ7">
        <v>65.36</v>
      </c>
      <c r="AK7">
        <v>62.14</v>
      </c>
      <c r="AL7">
        <v>897.21</v>
      </c>
      <c r="AM7">
        <v>0.20133323467669989</v>
      </c>
      <c r="AN7">
        <v>1123.3800000000001</v>
      </c>
      <c r="AO7">
        <v>226.17</v>
      </c>
      <c r="AP7">
        <v>0.20130000000000001</v>
      </c>
      <c r="AQ7">
        <v>0.79869999999999997</v>
      </c>
      <c r="AR7">
        <v>45062</v>
      </c>
      <c r="AS7">
        <v>3755</v>
      </c>
      <c r="AT7">
        <v>0.16850000000000001</v>
      </c>
      <c r="AU7">
        <v>37535</v>
      </c>
      <c r="AV7">
        <v>37535</v>
      </c>
      <c r="AW7">
        <v>38149</v>
      </c>
      <c r="AX7">
        <v>3158</v>
      </c>
      <c r="AY7">
        <v>179.48</v>
      </c>
      <c r="AZ7">
        <v>0.92459999999999998</v>
      </c>
      <c r="BA7">
        <v>473.7</v>
      </c>
      <c r="BB7">
        <v>0.9839</v>
      </c>
      <c r="BC7">
        <v>0.95894428152492661</v>
      </c>
      <c r="BD7">
        <v>0.83379999999999999</v>
      </c>
      <c r="BE7">
        <v>0.78669999999999995</v>
      </c>
    </row>
    <row r="8" spans="1:57" x14ac:dyDescent="0.35">
      <c r="A8" t="s">
        <v>574</v>
      </c>
      <c r="B8" t="s">
        <v>575</v>
      </c>
      <c r="C8" t="s">
        <v>562</v>
      </c>
      <c r="D8" t="s">
        <v>549</v>
      </c>
      <c r="E8" t="s">
        <v>551</v>
      </c>
      <c r="F8" t="s">
        <v>123</v>
      </c>
      <c r="G8" t="s">
        <v>551</v>
      </c>
      <c r="H8">
        <v>1428</v>
      </c>
      <c r="I8">
        <v>0.15280104418400081</v>
      </c>
      <c r="J8">
        <v>1646</v>
      </c>
      <c r="K8">
        <v>1286</v>
      </c>
      <c r="L8">
        <v>361</v>
      </c>
      <c r="M8" t="s">
        <v>552</v>
      </c>
      <c r="N8">
        <v>2.3199999999999998</v>
      </c>
      <c r="O8">
        <v>2.66</v>
      </c>
      <c r="P8">
        <v>80</v>
      </c>
      <c r="Q8">
        <v>59.4</v>
      </c>
      <c r="R8">
        <v>4</v>
      </c>
      <c r="S8">
        <v>0.18659999999999999</v>
      </c>
      <c r="T8">
        <v>5.5999999999999999E-3</v>
      </c>
      <c r="U8">
        <v>0.86880000000000002</v>
      </c>
      <c r="AH8">
        <v>1046.3</v>
      </c>
      <c r="AI8">
        <v>78.430000000000007</v>
      </c>
      <c r="AJ8">
        <v>52.39</v>
      </c>
      <c r="AK8">
        <v>68</v>
      </c>
      <c r="AL8">
        <v>1245.1199999999999</v>
      </c>
      <c r="AM8">
        <v>0.27075992438972252</v>
      </c>
      <c r="AN8">
        <v>1707.42</v>
      </c>
      <c r="AO8">
        <v>462.3</v>
      </c>
      <c r="AP8">
        <v>0.27079999999999999</v>
      </c>
      <c r="AQ8">
        <v>0.72919999999999996</v>
      </c>
      <c r="AR8">
        <v>15931</v>
      </c>
      <c r="AS8">
        <v>1328</v>
      </c>
      <c r="AT8">
        <v>0.15490000000000001</v>
      </c>
      <c r="AU8">
        <v>15006</v>
      </c>
      <c r="AV8">
        <v>15006</v>
      </c>
      <c r="AW8">
        <v>15091</v>
      </c>
      <c r="AX8">
        <v>3535</v>
      </c>
      <c r="AY8">
        <v>156.72</v>
      </c>
      <c r="AZ8">
        <v>0.84030000000000005</v>
      </c>
      <c r="BA8">
        <v>659.63</v>
      </c>
      <c r="BB8">
        <v>0.99439999999999995</v>
      </c>
      <c r="BC8">
        <v>0.87218045112781939</v>
      </c>
      <c r="BD8">
        <v>0.85919999999999996</v>
      </c>
      <c r="BE8">
        <v>0.74519999999999997</v>
      </c>
    </row>
    <row r="9" spans="1:57" x14ac:dyDescent="0.35">
      <c r="A9" t="s">
        <v>576</v>
      </c>
      <c r="B9" t="s">
        <v>577</v>
      </c>
      <c r="C9" t="s">
        <v>562</v>
      </c>
      <c r="D9" t="s">
        <v>549</v>
      </c>
      <c r="E9" t="s">
        <v>551</v>
      </c>
      <c r="F9" t="s">
        <v>123</v>
      </c>
      <c r="G9" t="s">
        <v>566</v>
      </c>
      <c r="H9">
        <v>511</v>
      </c>
      <c r="I9">
        <v>-2.480549965564334E-2</v>
      </c>
      <c r="J9">
        <v>498</v>
      </c>
      <c r="K9">
        <v>7930</v>
      </c>
      <c r="L9">
        <v>1171</v>
      </c>
      <c r="M9" t="s">
        <v>578</v>
      </c>
      <c r="N9">
        <v>4.22</v>
      </c>
      <c r="O9">
        <v>4.5199999999999996</v>
      </c>
      <c r="P9">
        <v>77.5</v>
      </c>
      <c r="Q9">
        <v>44.1</v>
      </c>
      <c r="R9">
        <v>2</v>
      </c>
      <c r="S9">
        <v>6.9400000000000003E-2</v>
      </c>
      <c r="T9">
        <v>2.41E-2</v>
      </c>
      <c r="U9">
        <v>0.87980000000000003</v>
      </c>
      <c r="AH9">
        <v>1702.51</v>
      </c>
      <c r="AI9">
        <v>32.19</v>
      </c>
      <c r="AJ9">
        <v>60.19</v>
      </c>
      <c r="AK9">
        <v>191.29</v>
      </c>
      <c r="AL9">
        <v>1986.18</v>
      </c>
      <c r="AM9">
        <v>0.2171334390169018</v>
      </c>
      <c r="AN9">
        <v>2537.06</v>
      </c>
      <c r="AO9">
        <v>550.88</v>
      </c>
      <c r="AP9">
        <v>0.21709999999999999</v>
      </c>
      <c r="AQ9">
        <v>0.78290000000000004</v>
      </c>
      <c r="AR9">
        <v>46730</v>
      </c>
      <c r="AS9">
        <v>3894</v>
      </c>
      <c r="AT9">
        <v>0.2296</v>
      </c>
      <c r="AU9">
        <v>39971</v>
      </c>
      <c r="AV9">
        <v>39971</v>
      </c>
      <c r="AW9">
        <v>40958</v>
      </c>
      <c r="AX9">
        <v>9219</v>
      </c>
      <c r="AY9">
        <v>694.5</v>
      </c>
      <c r="AZ9">
        <v>0.96060000000000001</v>
      </c>
      <c r="BA9">
        <v>639.79999999999995</v>
      </c>
      <c r="BB9">
        <v>0.97589999999999999</v>
      </c>
      <c r="BC9">
        <v>0.9336283185840708</v>
      </c>
      <c r="BD9">
        <v>0.86430000000000007</v>
      </c>
      <c r="BE9">
        <v>0.78749999999999998</v>
      </c>
    </row>
    <row r="10" spans="1:57" x14ac:dyDescent="0.35">
      <c r="A10" t="s">
        <v>579</v>
      </c>
      <c r="B10" t="s">
        <v>580</v>
      </c>
      <c r="C10" t="s">
        <v>548</v>
      </c>
      <c r="D10" t="s">
        <v>549</v>
      </c>
      <c r="E10" t="s">
        <v>557</v>
      </c>
      <c r="F10" t="s">
        <v>123</v>
      </c>
      <c r="G10" t="s">
        <v>566</v>
      </c>
      <c r="H10">
        <v>189</v>
      </c>
      <c r="I10">
        <v>3.5156142366060003E-2</v>
      </c>
      <c r="J10">
        <v>196</v>
      </c>
      <c r="K10">
        <v>6543</v>
      </c>
      <c r="L10">
        <v>815</v>
      </c>
      <c r="M10" t="s">
        <v>552</v>
      </c>
      <c r="N10">
        <v>4.7</v>
      </c>
      <c r="O10">
        <v>5.59</v>
      </c>
      <c r="P10">
        <v>30.3</v>
      </c>
      <c r="Q10">
        <v>29.1</v>
      </c>
      <c r="R10">
        <v>2</v>
      </c>
      <c r="S10">
        <v>5.3800000000000001E-2</v>
      </c>
      <c r="T10">
        <v>1.3899999999999999E-2</v>
      </c>
      <c r="U10">
        <v>0.86770000000000003</v>
      </c>
      <c r="AH10">
        <v>1108.54</v>
      </c>
      <c r="AI10">
        <v>25.65</v>
      </c>
      <c r="AJ10">
        <v>161.63</v>
      </c>
      <c r="AK10">
        <v>150.75</v>
      </c>
      <c r="AL10">
        <v>1446.57</v>
      </c>
      <c r="AM10">
        <v>0.22186541622431249</v>
      </c>
      <c r="AN10">
        <v>1859.02</v>
      </c>
      <c r="AO10">
        <v>412.45</v>
      </c>
      <c r="AP10">
        <v>0.22189999999999999</v>
      </c>
      <c r="AQ10">
        <v>0.77810000000000001</v>
      </c>
      <c r="AR10">
        <v>40692</v>
      </c>
      <c r="AS10">
        <v>3391</v>
      </c>
      <c r="AT10">
        <v>0.16589999999999999</v>
      </c>
      <c r="AU10">
        <v>34964</v>
      </c>
      <c r="AV10">
        <v>34964</v>
      </c>
      <c r="AW10">
        <v>35457</v>
      </c>
      <c r="AX10">
        <v>8306</v>
      </c>
      <c r="AY10">
        <v>773.84</v>
      </c>
      <c r="AZ10">
        <v>0.84030000000000005</v>
      </c>
      <c r="BA10">
        <v>446.86</v>
      </c>
      <c r="BB10">
        <v>0.98609999999999998</v>
      </c>
      <c r="BC10">
        <v>0.84078711985688737</v>
      </c>
      <c r="BD10">
        <v>0.85919999999999996</v>
      </c>
      <c r="BE10">
        <v>0.71240000000000003</v>
      </c>
    </row>
    <row r="11" spans="1:57" x14ac:dyDescent="0.35">
      <c r="A11" t="s">
        <v>581</v>
      </c>
      <c r="B11" t="s">
        <v>582</v>
      </c>
      <c r="C11" t="s">
        <v>562</v>
      </c>
      <c r="D11" t="s">
        <v>549</v>
      </c>
      <c r="E11" t="s">
        <v>557</v>
      </c>
      <c r="F11" t="s">
        <v>123</v>
      </c>
      <c r="G11" t="s">
        <v>558</v>
      </c>
      <c r="H11">
        <v>1728</v>
      </c>
      <c r="I11">
        <v>0.1508702325962121</v>
      </c>
      <c r="J11">
        <v>1989</v>
      </c>
      <c r="K11">
        <v>4604</v>
      </c>
      <c r="L11">
        <v>1505</v>
      </c>
      <c r="M11" t="s">
        <v>578</v>
      </c>
      <c r="N11">
        <v>5.5</v>
      </c>
      <c r="O11">
        <v>6.48</v>
      </c>
      <c r="P11">
        <v>16.8</v>
      </c>
      <c r="Q11">
        <v>36.1</v>
      </c>
      <c r="R11">
        <v>1</v>
      </c>
      <c r="S11">
        <v>3.2099999999999997E-2</v>
      </c>
      <c r="T11">
        <v>3.7000000000000002E-3</v>
      </c>
      <c r="U11">
        <v>0.86609999999999998</v>
      </c>
      <c r="AH11">
        <v>1347.52</v>
      </c>
      <c r="AI11">
        <v>11.09</v>
      </c>
      <c r="AJ11">
        <v>174.96</v>
      </c>
      <c r="AK11">
        <v>84.44</v>
      </c>
      <c r="AL11">
        <v>1618.01</v>
      </c>
      <c r="AM11">
        <v>0.31418901586863918</v>
      </c>
      <c r="AN11">
        <v>2359.27</v>
      </c>
      <c r="AO11">
        <v>741.26</v>
      </c>
      <c r="AP11">
        <v>0.31419999999999998</v>
      </c>
      <c r="AQ11">
        <v>0.68579999999999997</v>
      </c>
      <c r="AR11">
        <v>77295</v>
      </c>
      <c r="AS11">
        <v>6441</v>
      </c>
      <c r="AT11">
        <v>0.1663</v>
      </c>
      <c r="AU11">
        <v>74196</v>
      </c>
      <c r="AV11">
        <v>74196</v>
      </c>
      <c r="AW11">
        <v>74472</v>
      </c>
      <c r="AX11">
        <v>16762</v>
      </c>
      <c r="AY11">
        <v>1810.3</v>
      </c>
      <c r="AZ11">
        <v>0.96060000000000001</v>
      </c>
      <c r="BA11">
        <v>538.05999999999995</v>
      </c>
      <c r="BB11">
        <v>0.99629999999999996</v>
      </c>
      <c r="BC11">
        <v>0.84876543209876543</v>
      </c>
      <c r="BD11">
        <v>0.86430000000000007</v>
      </c>
      <c r="BE11">
        <v>0.73089999999999999</v>
      </c>
    </row>
    <row r="12" spans="1:57" x14ac:dyDescent="0.35">
      <c r="A12" t="s">
        <v>583</v>
      </c>
      <c r="B12" t="s">
        <v>584</v>
      </c>
      <c r="C12" t="s">
        <v>548</v>
      </c>
      <c r="D12" t="s">
        <v>549</v>
      </c>
      <c r="E12" t="s">
        <v>550</v>
      </c>
      <c r="F12" t="s">
        <v>123</v>
      </c>
      <c r="G12" t="s">
        <v>558</v>
      </c>
      <c r="H12">
        <v>1477</v>
      </c>
      <c r="I12">
        <v>1.250411230402616E-2</v>
      </c>
      <c r="J12">
        <v>1495</v>
      </c>
      <c r="K12">
        <v>2600</v>
      </c>
      <c r="L12">
        <v>412</v>
      </c>
      <c r="M12" t="s">
        <v>559</v>
      </c>
      <c r="N12">
        <v>16.72</v>
      </c>
      <c r="O12">
        <v>18.04</v>
      </c>
      <c r="P12">
        <v>78.400000000000006</v>
      </c>
      <c r="Q12">
        <v>31.2</v>
      </c>
      <c r="R12">
        <v>3</v>
      </c>
      <c r="S12">
        <v>0.1197</v>
      </c>
      <c r="T12">
        <v>1.89E-2</v>
      </c>
      <c r="U12">
        <v>0.89470000000000005</v>
      </c>
      <c r="AH12">
        <v>1027.54</v>
      </c>
      <c r="AI12">
        <v>40.99</v>
      </c>
      <c r="AJ12">
        <v>421.78</v>
      </c>
      <c r="AK12">
        <v>174.15</v>
      </c>
      <c r="AL12">
        <v>1664.46</v>
      </c>
      <c r="AM12">
        <v>0.39213433292497302</v>
      </c>
      <c r="AN12">
        <v>2738.2</v>
      </c>
      <c r="AO12">
        <v>1073.74</v>
      </c>
      <c r="AP12">
        <v>0.3921</v>
      </c>
      <c r="AQ12">
        <v>0.6079</v>
      </c>
      <c r="AR12">
        <v>24054</v>
      </c>
      <c r="AS12">
        <v>2004</v>
      </c>
      <c r="AT12">
        <v>0.10349999999999999</v>
      </c>
      <c r="AU12">
        <v>21866</v>
      </c>
      <c r="AV12">
        <v>21866</v>
      </c>
      <c r="AW12">
        <v>22287</v>
      </c>
      <c r="AX12">
        <v>939</v>
      </c>
      <c r="AY12">
        <v>282.33</v>
      </c>
      <c r="AZ12">
        <v>0.84179999999999999</v>
      </c>
      <c r="BA12">
        <v>112.4</v>
      </c>
      <c r="BB12">
        <v>0.98109999999999997</v>
      </c>
      <c r="BC12">
        <v>0.92682926829268286</v>
      </c>
      <c r="BD12">
        <v>0.8367</v>
      </c>
      <c r="BE12">
        <v>0.76080000000000003</v>
      </c>
    </row>
    <row r="13" spans="1:57" x14ac:dyDescent="0.35">
      <c r="A13" t="s">
        <v>585</v>
      </c>
      <c r="B13" t="s">
        <v>586</v>
      </c>
      <c r="C13" t="s">
        <v>573</v>
      </c>
      <c r="D13" t="s">
        <v>556</v>
      </c>
      <c r="E13" t="s">
        <v>557</v>
      </c>
      <c r="F13" t="s">
        <v>123</v>
      </c>
      <c r="G13" t="s">
        <v>551</v>
      </c>
      <c r="H13">
        <v>454</v>
      </c>
      <c r="I13">
        <v>-2.4219032791016851E-2</v>
      </c>
      <c r="J13">
        <v>443</v>
      </c>
      <c r="K13">
        <v>5920</v>
      </c>
      <c r="L13">
        <v>1705</v>
      </c>
      <c r="M13" t="s">
        <v>587</v>
      </c>
      <c r="N13">
        <v>2.08</v>
      </c>
      <c r="O13">
        <v>2.42</v>
      </c>
      <c r="P13">
        <v>17.8</v>
      </c>
      <c r="Q13">
        <v>23.6</v>
      </c>
      <c r="R13">
        <v>2</v>
      </c>
      <c r="S13">
        <v>4.1099999999999998E-2</v>
      </c>
      <c r="T13">
        <v>7.7999999999999996E-3</v>
      </c>
      <c r="U13">
        <v>0.9456</v>
      </c>
      <c r="AH13">
        <v>218.04</v>
      </c>
      <c r="AI13">
        <v>17.350000000000001</v>
      </c>
      <c r="AJ13">
        <v>46.58</v>
      </c>
      <c r="AK13">
        <v>24.41</v>
      </c>
      <c r="AL13">
        <v>306.38</v>
      </c>
      <c r="AM13">
        <v>0.30090930013984368</v>
      </c>
      <c r="AN13">
        <v>438.26</v>
      </c>
      <c r="AO13">
        <v>131.88</v>
      </c>
      <c r="AP13">
        <v>0.3009</v>
      </c>
      <c r="AQ13">
        <v>0.69910000000000005</v>
      </c>
      <c r="AR13">
        <v>64057</v>
      </c>
      <c r="AS13">
        <v>5338</v>
      </c>
      <c r="AT13">
        <v>0.24709999999999999</v>
      </c>
      <c r="AU13">
        <v>59842</v>
      </c>
      <c r="AV13">
        <v>59842</v>
      </c>
      <c r="AW13">
        <v>60312</v>
      </c>
      <c r="AX13">
        <v>8734</v>
      </c>
      <c r="AY13">
        <v>352.27</v>
      </c>
      <c r="AZ13">
        <v>0.92379999999999995</v>
      </c>
      <c r="BA13">
        <v>358.97</v>
      </c>
      <c r="BB13">
        <v>0.99219999999999997</v>
      </c>
      <c r="BC13">
        <v>0.85950413223140498</v>
      </c>
      <c r="BD13">
        <v>0.87459999999999993</v>
      </c>
      <c r="BE13">
        <v>0.74590000000000001</v>
      </c>
    </row>
    <row r="14" spans="1:57" x14ac:dyDescent="0.35">
      <c r="A14" t="s">
        <v>588</v>
      </c>
      <c r="B14" t="s">
        <v>589</v>
      </c>
      <c r="C14" t="s">
        <v>562</v>
      </c>
      <c r="D14" t="s">
        <v>549</v>
      </c>
      <c r="E14" t="s">
        <v>557</v>
      </c>
      <c r="F14" t="s">
        <v>123</v>
      </c>
      <c r="G14" t="s">
        <v>558</v>
      </c>
      <c r="H14">
        <v>895</v>
      </c>
      <c r="I14">
        <v>0.1896353742207996</v>
      </c>
      <c r="J14">
        <v>1065</v>
      </c>
      <c r="K14">
        <v>9279</v>
      </c>
      <c r="L14">
        <v>1282</v>
      </c>
      <c r="M14" t="s">
        <v>590</v>
      </c>
      <c r="N14">
        <v>5.8</v>
      </c>
      <c r="O14">
        <v>6.77</v>
      </c>
      <c r="P14">
        <v>41.3</v>
      </c>
      <c r="Q14">
        <v>26.2</v>
      </c>
      <c r="R14">
        <v>1</v>
      </c>
      <c r="S14">
        <v>2.8199999999999999E-2</v>
      </c>
      <c r="T14">
        <v>2.0500000000000001E-2</v>
      </c>
      <c r="U14">
        <v>0.86509999999999998</v>
      </c>
      <c r="AH14">
        <v>632.32000000000005</v>
      </c>
      <c r="AI14">
        <v>10.78</v>
      </c>
      <c r="AJ14">
        <v>123.45</v>
      </c>
      <c r="AK14">
        <v>54.4</v>
      </c>
      <c r="AL14">
        <v>820.95</v>
      </c>
      <c r="AM14">
        <v>0.16924486676624159</v>
      </c>
      <c r="AN14">
        <v>988.2</v>
      </c>
      <c r="AO14">
        <v>167.25</v>
      </c>
      <c r="AP14">
        <v>0.16919999999999999</v>
      </c>
      <c r="AQ14">
        <v>0.83079999999999998</v>
      </c>
      <c r="AR14">
        <v>96983</v>
      </c>
      <c r="AS14">
        <v>8082</v>
      </c>
      <c r="AT14">
        <v>0.1225</v>
      </c>
      <c r="AU14">
        <v>88986</v>
      </c>
      <c r="AV14">
        <v>88986</v>
      </c>
      <c r="AW14">
        <v>90848</v>
      </c>
      <c r="AX14">
        <v>3582</v>
      </c>
      <c r="AY14">
        <v>404.17</v>
      </c>
      <c r="AZ14">
        <v>0.84340000000000004</v>
      </c>
      <c r="BA14">
        <v>101.01</v>
      </c>
      <c r="BB14">
        <v>0.97950000000000004</v>
      </c>
      <c r="BC14">
        <v>0.85672082717872977</v>
      </c>
      <c r="BD14">
        <v>0.8498</v>
      </c>
      <c r="BE14">
        <v>0.71309999999999996</v>
      </c>
    </row>
    <row r="15" spans="1:57" x14ac:dyDescent="0.35">
      <c r="A15" t="s">
        <v>591</v>
      </c>
      <c r="B15" t="s">
        <v>592</v>
      </c>
      <c r="C15" t="s">
        <v>555</v>
      </c>
      <c r="D15" t="s">
        <v>549</v>
      </c>
      <c r="E15" t="s">
        <v>551</v>
      </c>
      <c r="F15" t="s">
        <v>123</v>
      </c>
      <c r="G15" t="s">
        <v>551</v>
      </c>
      <c r="H15">
        <v>643</v>
      </c>
      <c r="I15">
        <v>6.211138049457994E-2</v>
      </c>
      <c r="J15">
        <v>683</v>
      </c>
      <c r="K15">
        <v>11078</v>
      </c>
      <c r="L15">
        <v>586</v>
      </c>
      <c r="M15" t="s">
        <v>593</v>
      </c>
      <c r="N15">
        <v>2.4</v>
      </c>
      <c r="O15">
        <v>2.87</v>
      </c>
      <c r="P15">
        <v>67.2</v>
      </c>
      <c r="Q15">
        <v>39.200000000000003</v>
      </c>
      <c r="R15">
        <v>3</v>
      </c>
      <c r="S15">
        <v>0.108</v>
      </c>
      <c r="T15">
        <v>2.0799999999999999E-2</v>
      </c>
      <c r="U15">
        <v>0.89439999999999997</v>
      </c>
      <c r="AH15">
        <v>967.8</v>
      </c>
      <c r="AI15">
        <v>50.54</v>
      </c>
      <c r="AJ15">
        <v>66.069999999999993</v>
      </c>
      <c r="AK15">
        <v>60.05</v>
      </c>
      <c r="AL15">
        <v>1144.46</v>
      </c>
      <c r="AM15">
        <v>0.16889590346351671</v>
      </c>
      <c r="AN15">
        <v>1377.04</v>
      </c>
      <c r="AO15">
        <v>232.58</v>
      </c>
      <c r="AP15">
        <v>0.16889999999999999</v>
      </c>
      <c r="AQ15">
        <v>0.83109999999999995</v>
      </c>
      <c r="AR15">
        <v>56107</v>
      </c>
      <c r="AS15">
        <v>4676</v>
      </c>
      <c r="AT15">
        <v>9.2499999999999999E-2</v>
      </c>
      <c r="AU15">
        <v>45615</v>
      </c>
      <c r="AV15">
        <v>45615</v>
      </c>
      <c r="AW15">
        <v>46584</v>
      </c>
      <c r="AX15">
        <v>6936</v>
      </c>
      <c r="AY15">
        <v>331.77</v>
      </c>
      <c r="AZ15">
        <v>0.85650000000000004</v>
      </c>
      <c r="BA15">
        <v>749.09</v>
      </c>
      <c r="BB15">
        <v>0.97919999999999996</v>
      </c>
      <c r="BC15">
        <v>0.83623693379790931</v>
      </c>
      <c r="BD15">
        <v>0.87629999999999997</v>
      </c>
      <c r="BE15">
        <v>0.71760000000000002</v>
      </c>
    </row>
    <row r="16" spans="1:57" x14ac:dyDescent="0.35">
      <c r="A16" t="s">
        <v>594</v>
      </c>
      <c r="B16" t="s">
        <v>595</v>
      </c>
      <c r="C16" t="s">
        <v>555</v>
      </c>
      <c r="D16" t="s">
        <v>549</v>
      </c>
      <c r="E16" t="s">
        <v>551</v>
      </c>
      <c r="F16" t="s">
        <v>123</v>
      </c>
      <c r="G16" t="s">
        <v>551</v>
      </c>
      <c r="H16">
        <v>208</v>
      </c>
      <c r="I16">
        <v>0.18273227642182319</v>
      </c>
      <c r="J16">
        <v>246</v>
      </c>
      <c r="K16">
        <v>4787</v>
      </c>
      <c r="L16">
        <v>822</v>
      </c>
      <c r="M16" t="s">
        <v>596</v>
      </c>
      <c r="N16">
        <v>6.76</v>
      </c>
      <c r="O16">
        <v>7.65</v>
      </c>
      <c r="P16">
        <v>69.7</v>
      </c>
      <c r="Q16">
        <v>28.8</v>
      </c>
      <c r="R16">
        <v>3</v>
      </c>
      <c r="S16">
        <v>0.19539999999999999</v>
      </c>
      <c r="T16">
        <v>2.4500000000000001E-2</v>
      </c>
      <c r="U16">
        <v>0.92069999999999996</v>
      </c>
      <c r="AH16">
        <v>1204.01</v>
      </c>
      <c r="AI16">
        <v>93.79</v>
      </c>
      <c r="AJ16">
        <v>159.94999999999999</v>
      </c>
      <c r="AK16">
        <v>123.97</v>
      </c>
      <c r="AL16">
        <v>1581.72</v>
      </c>
      <c r="AM16">
        <v>0.38785580521139151</v>
      </c>
      <c r="AN16">
        <v>2583.9</v>
      </c>
      <c r="AO16">
        <v>1002.18</v>
      </c>
      <c r="AP16">
        <v>0.38790000000000002</v>
      </c>
      <c r="AQ16">
        <v>0.61209999999999998</v>
      </c>
      <c r="AR16">
        <v>32695</v>
      </c>
      <c r="AS16">
        <v>2725</v>
      </c>
      <c r="AT16">
        <v>0.19270000000000001</v>
      </c>
      <c r="AU16">
        <v>28730</v>
      </c>
      <c r="AV16">
        <v>28730</v>
      </c>
      <c r="AW16">
        <v>29452</v>
      </c>
      <c r="AX16">
        <v>1359</v>
      </c>
      <c r="AY16">
        <v>173.27</v>
      </c>
      <c r="AZ16">
        <v>0.94630000000000003</v>
      </c>
      <c r="BA16">
        <v>265.55</v>
      </c>
      <c r="BB16">
        <v>0.97550000000000003</v>
      </c>
      <c r="BC16">
        <v>0.88366013071895422</v>
      </c>
      <c r="BD16">
        <v>0.87060000000000004</v>
      </c>
      <c r="BE16">
        <v>0.75049999999999994</v>
      </c>
    </row>
    <row r="17" spans="1:57" x14ac:dyDescent="0.35">
      <c r="A17" t="s">
        <v>597</v>
      </c>
      <c r="B17" t="s">
        <v>598</v>
      </c>
      <c r="C17" t="s">
        <v>573</v>
      </c>
      <c r="D17" t="s">
        <v>556</v>
      </c>
      <c r="E17" t="s">
        <v>551</v>
      </c>
      <c r="F17" t="s">
        <v>123</v>
      </c>
      <c r="G17" t="s">
        <v>551</v>
      </c>
      <c r="H17">
        <v>338</v>
      </c>
      <c r="I17">
        <v>-1.4252079486791041E-2</v>
      </c>
      <c r="J17">
        <v>333</v>
      </c>
      <c r="K17">
        <v>8883</v>
      </c>
      <c r="L17">
        <v>1066</v>
      </c>
      <c r="M17" t="s">
        <v>559</v>
      </c>
      <c r="N17">
        <v>8.5500000000000007</v>
      </c>
      <c r="O17">
        <v>8.93</v>
      </c>
      <c r="P17">
        <v>36.799999999999997</v>
      </c>
      <c r="Q17">
        <v>43.9</v>
      </c>
      <c r="R17">
        <v>3</v>
      </c>
      <c r="S17">
        <v>0.126</v>
      </c>
      <c r="T17">
        <v>1.35E-2</v>
      </c>
      <c r="U17">
        <v>0.84850000000000003</v>
      </c>
      <c r="AH17">
        <v>889.28</v>
      </c>
      <c r="AI17">
        <v>46.71</v>
      </c>
      <c r="AJ17">
        <v>100.42</v>
      </c>
      <c r="AK17">
        <v>109.46</v>
      </c>
      <c r="AL17">
        <v>1145.8699999999999</v>
      </c>
      <c r="AM17">
        <v>0.2243226975768334</v>
      </c>
      <c r="AN17">
        <v>1477.25</v>
      </c>
      <c r="AO17">
        <v>331.38</v>
      </c>
      <c r="AP17">
        <v>0.2243</v>
      </c>
      <c r="AQ17">
        <v>0.77569999999999995</v>
      </c>
      <c r="AR17">
        <v>56347</v>
      </c>
      <c r="AS17">
        <v>4696</v>
      </c>
      <c r="AT17">
        <v>0.1812</v>
      </c>
      <c r="AU17">
        <v>48530</v>
      </c>
      <c r="AV17">
        <v>48530</v>
      </c>
      <c r="AW17">
        <v>49194</v>
      </c>
      <c r="AX17">
        <v>2074</v>
      </c>
      <c r="AY17">
        <v>308.68</v>
      </c>
      <c r="AZ17">
        <v>0.84179999999999999</v>
      </c>
      <c r="BA17">
        <v>261.32</v>
      </c>
      <c r="BB17">
        <v>0.98650000000000004</v>
      </c>
      <c r="BC17">
        <v>0.95744680851063846</v>
      </c>
      <c r="BD17">
        <v>0.8367</v>
      </c>
      <c r="BE17">
        <v>0.7903</v>
      </c>
    </row>
    <row r="18" spans="1:57" x14ac:dyDescent="0.35">
      <c r="A18" t="s">
        <v>599</v>
      </c>
      <c r="B18" t="s">
        <v>600</v>
      </c>
      <c r="C18" t="s">
        <v>562</v>
      </c>
      <c r="D18" t="s">
        <v>556</v>
      </c>
      <c r="E18" t="s">
        <v>557</v>
      </c>
      <c r="F18" t="s">
        <v>123</v>
      </c>
      <c r="G18" t="s">
        <v>551</v>
      </c>
      <c r="H18">
        <v>1945</v>
      </c>
      <c r="I18">
        <v>0.17297422719419411</v>
      </c>
      <c r="J18">
        <v>2281</v>
      </c>
      <c r="K18">
        <v>10592</v>
      </c>
      <c r="L18">
        <v>1296</v>
      </c>
      <c r="M18" t="s">
        <v>601</v>
      </c>
      <c r="N18">
        <v>2.16</v>
      </c>
      <c r="O18">
        <v>2.46</v>
      </c>
      <c r="P18">
        <v>36.799999999999997</v>
      </c>
      <c r="Q18">
        <v>10.9</v>
      </c>
      <c r="R18">
        <v>1</v>
      </c>
      <c r="S18">
        <v>6.1499999999999999E-2</v>
      </c>
      <c r="T18">
        <v>1.2500000000000001E-2</v>
      </c>
      <c r="U18">
        <v>0.85</v>
      </c>
      <c r="AH18">
        <v>280.20999999999998</v>
      </c>
      <c r="AI18">
        <v>21.36</v>
      </c>
      <c r="AJ18">
        <v>49.82</v>
      </c>
      <c r="AK18">
        <v>34.96</v>
      </c>
      <c r="AL18">
        <v>386.35</v>
      </c>
      <c r="AM18">
        <v>0.17301674652061891</v>
      </c>
      <c r="AN18">
        <v>467.18</v>
      </c>
      <c r="AO18">
        <v>80.83</v>
      </c>
      <c r="AP18">
        <v>0.17299999999999999</v>
      </c>
      <c r="AQ18">
        <v>0.82699999999999996</v>
      </c>
      <c r="AR18">
        <v>53906</v>
      </c>
      <c r="AS18">
        <v>4492</v>
      </c>
      <c r="AT18">
        <v>0.15060000000000001</v>
      </c>
      <c r="AU18">
        <v>44610</v>
      </c>
      <c r="AV18">
        <v>44610</v>
      </c>
      <c r="AW18">
        <v>45175</v>
      </c>
      <c r="AX18">
        <v>1494</v>
      </c>
      <c r="AY18">
        <v>61.25</v>
      </c>
      <c r="AZ18">
        <v>0.85140000000000005</v>
      </c>
      <c r="BA18">
        <v>91.88</v>
      </c>
      <c r="BB18">
        <v>0.98750000000000004</v>
      </c>
      <c r="BC18">
        <v>0.87804878048780499</v>
      </c>
      <c r="BD18">
        <v>0.86569999999999991</v>
      </c>
      <c r="BE18">
        <v>0.75060000000000004</v>
      </c>
    </row>
    <row r="19" spans="1:57" x14ac:dyDescent="0.35">
      <c r="A19" t="s">
        <v>602</v>
      </c>
      <c r="B19" t="s">
        <v>603</v>
      </c>
      <c r="C19" t="s">
        <v>562</v>
      </c>
      <c r="D19" t="s">
        <v>556</v>
      </c>
      <c r="E19" t="s">
        <v>551</v>
      </c>
      <c r="F19" t="s">
        <v>123</v>
      </c>
      <c r="G19" t="s">
        <v>558</v>
      </c>
      <c r="H19">
        <v>244</v>
      </c>
      <c r="I19">
        <v>0.18681214434596469</v>
      </c>
      <c r="J19">
        <v>290</v>
      </c>
      <c r="K19">
        <v>3545</v>
      </c>
      <c r="L19">
        <v>532</v>
      </c>
      <c r="M19" t="s">
        <v>590</v>
      </c>
      <c r="N19">
        <v>4.84</v>
      </c>
      <c r="O19">
        <v>5.5</v>
      </c>
      <c r="P19">
        <v>52.8</v>
      </c>
      <c r="Q19">
        <v>24.2</v>
      </c>
      <c r="R19">
        <v>2</v>
      </c>
      <c r="S19">
        <v>0.1787</v>
      </c>
      <c r="T19">
        <v>1.9300000000000001E-2</v>
      </c>
      <c r="U19">
        <v>0.96799999999999997</v>
      </c>
      <c r="AH19">
        <v>293.19</v>
      </c>
      <c r="AI19">
        <v>81.510000000000005</v>
      </c>
      <c r="AJ19">
        <v>143.69999999999999</v>
      </c>
      <c r="AK19">
        <v>27.74</v>
      </c>
      <c r="AL19">
        <v>546.14</v>
      </c>
      <c r="AM19">
        <v>0.29976114678759541</v>
      </c>
      <c r="AN19">
        <v>779.93</v>
      </c>
      <c r="AO19">
        <v>233.79</v>
      </c>
      <c r="AP19">
        <v>0.29980000000000001</v>
      </c>
      <c r="AQ19">
        <v>0.70020000000000004</v>
      </c>
      <c r="AR19">
        <v>33257</v>
      </c>
      <c r="AS19">
        <v>2771</v>
      </c>
      <c r="AT19">
        <v>0.15179999999999999</v>
      </c>
      <c r="AU19">
        <v>30244</v>
      </c>
      <c r="AV19">
        <v>30244</v>
      </c>
      <c r="AW19">
        <v>30839</v>
      </c>
      <c r="AX19">
        <v>1215</v>
      </c>
      <c r="AY19">
        <v>111.38</v>
      </c>
      <c r="AZ19">
        <v>0.84340000000000004</v>
      </c>
      <c r="BA19">
        <v>217.12</v>
      </c>
      <c r="BB19">
        <v>0.98070000000000002</v>
      </c>
      <c r="BC19">
        <v>0.88</v>
      </c>
      <c r="BD19">
        <v>0.8498</v>
      </c>
      <c r="BE19">
        <v>0.73340000000000005</v>
      </c>
    </row>
    <row r="20" spans="1:57" x14ac:dyDescent="0.35">
      <c r="A20" t="s">
        <v>604</v>
      </c>
      <c r="B20" t="s">
        <v>605</v>
      </c>
      <c r="C20" t="s">
        <v>606</v>
      </c>
      <c r="D20" t="s">
        <v>556</v>
      </c>
      <c r="E20" t="s">
        <v>557</v>
      </c>
      <c r="F20" t="s">
        <v>123</v>
      </c>
      <c r="G20" t="s">
        <v>551</v>
      </c>
      <c r="H20">
        <v>590</v>
      </c>
      <c r="I20">
        <v>1.2181038607571981E-2</v>
      </c>
      <c r="J20">
        <v>597</v>
      </c>
      <c r="K20">
        <v>11618</v>
      </c>
      <c r="L20">
        <v>2301</v>
      </c>
      <c r="M20" t="s">
        <v>559</v>
      </c>
      <c r="N20">
        <v>10.62</v>
      </c>
      <c r="O20">
        <v>12.09</v>
      </c>
      <c r="P20">
        <v>38.9</v>
      </c>
      <c r="Q20">
        <v>23.9</v>
      </c>
      <c r="R20">
        <v>2</v>
      </c>
      <c r="S20">
        <v>3.39E-2</v>
      </c>
      <c r="T20">
        <v>5.0000000000000001E-3</v>
      </c>
      <c r="U20">
        <v>0.93020000000000003</v>
      </c>
      <c r="AH20">
        <v>123.95</v>
      </c>
      <c r="AI20">
        <v>12.03</v>
      </c>
      <c r="AJ20">
        <v>231.94</v>
      </c>
      <c r="AK20">
        <v>20.27</v>
      </c>
      <c r="AL20">
        <v>388.19</v>
      </c>
      <c r="AM20">
        <v>0.30591219457256652</v>
      </c>
      <c r="AN20">
        <v>559.28</v>
      </c>
      <c r="AO20">
        <v>171.09</v>
      </c>
      <c r="AP20">
        <v>0.30590000000000001</v>
      </c>
      <c r="AQ20">
        <v>0.69410000000000005</v>
      </c>
      <c r="AR20">
        <v>68230</v>
      </c>
      <c r="AS20">
        <v>5686</v>
      </c>
      <c r="AT20">
        <v>0.2135</v>
      </c>
      <c r="AU20">
        <v>58913</v>
      </c>
      <c r="AV20">
        <v>58913</v>
      </c>
      <c r="AW20">
        <v>59209</v>
      </c>
      <c r="AX20">
        <v>2496</v>
      </c>
      <c r="AY20">
        <v>502.94</v>
      </c>
      <c r="AZ20">
        <v>0.84179999999999999</v>
      </c>
      <c r="BA20">
        <v>84.61</v>
      </c>
      <c r="BB20">
        <v>0.995</v>
      </c>
      <c r="BC20">
        <v>0.87841191066997515</v>
      </c>
      <c r="BD20">
        <v>0.8367</v>
      </c>
      <c r="BE20">
        <v>0.73129999999999995</v>
      </c>
    </row>
    <row r="21" spans="1:57" x14ac:dyDescent="0.35">
      <c r="A21" t="s">
        <v>607</v>
      </c>
      <c r="B21" t="s">
        <v>608</v>
      </c>
      <c r="C21" t="s">
        <v>555</v>
      </c>
      <c r="D21" t="s">
        <v>556</v>
      </c>
      <c r="E21" t="s">
        <v>551</v>
      </c>
      <c r="F21" t="s">
        <v>123</v>
      </c>
      <c r="G21" t="s">
        <v>551</v>
      </c>
      <c r="H21">
        <v>416</v>
      </c>
      <c r="I21">
        <v>0.1556975879691733</v>
      </c>
      <c r="J21">
        <v>481</v>
      </c>
      <c r="K21">
        <v>4664</v>
      </c>
      <c r="L21">
        <v>422</v>
      </c>
      <c r="M21" t="s">
        <v>609</v>
      </c>
      <c r="N21">
        <v>4.26</v>
      </c>
      <c r="O21">
        <v>4.6100000000000003</v>
      </c>
      <c r="P21">
        <v>66.8</v>
      </c>
      <c r="Q21">
        <v>52.2</v>
      </c>
      <c r="R21">
        <v>3</v>
      </c>
      <c r="S21">
        <v>8.9499999999999996E-2</v>
      </c>
      <c r="T21">
        <v>1.46E-2</v>
      </c>
      <c r="U21">
        <v>0.90390000000000004</v>
      </c>
      <c r="AH21">
        <v>518.12</v>
      </c>
      <c r="AI21">
        <v>41.57</v>
      </c>
      <c r="AJ21">
        <v>50.89</v>
      </c>
      <c r="AK21">
        <v>47.75</v>
      </c>
      <c r="AL21">
        <v>658.33</v>
      </c>
      <c r="AM21">
        <v>0.31212620502967198</v>
      </c>
      <c r="AN21">
        <v>957.05</v>
      </c>
      <c r="AO21">
        <v>298.72000000000003</v>
      </c>
      <c r="AP21">
        <v>0.31209999999999999</v>
      </c>
      <c r="AQ21">
        <v>0.68789999999999996</v>
      </c>
      <c r="AR21">
        <v>40491</v>
      </c>
      <c r="AS21">
        <v>3374</v>
      </c>
      <c r="AT21">
        <v>0.1133</v>
      </c>
      <c r="AU21">
        <v>36249</v>
      </c>
      <c r="AV21">
        <v>36249</v>
      </c>
      <c r="AW21">
        <v>36786</v>
      </c>
      <c r="AX21">
        <v>3647</v>
      </c>
      <c r="AY21">
        <v>280.20999999999998</v>
      </c>
      <c r="AZ21">
        <v>0.83089999999999997</v>
      </c>
      <c r="BA21">
        <v>326.41000000000003</v>
      </c>
      <c r="BB21">
        <v>0.98540000000000005</v>
      </c>
      <c r="BC21">
        <v>0.92407809110629058</v>
      </c>
      <c r="BD21">
        <v>0.91039999999999999</v>
      </c>
      <c r="BE21">
        <v>0.82899999999999996</v>
      </c>
    </row>
    <row r="22" spans="1:57" x14ac:dyDescent="0.35">
      <c r="A22" t="s">
        <v>610</v>
      </c>
      <c r="B22" t="s">
        <v>611</v>
      </c>
      <c r="C22" t="s">
        <v>606</v>
      </c>
      <c r="D22" t="s">
        <v>556</v>
      </c>
      <c r="E22" t="s">
        <v>551</v>
      </c>
      <c r="F22" t="s">
        <v>123</v>
      </c>
      <c r="G22" t="s">
        <v>551</v>
      </c>
      <c r="H22">
        <v>1928</v>
      </c>
      <c r="I22">
        <v>5.8989596298631569E-3</v>
      </c>
      <c r="J22">
        <v>1939</v>
      </c>
      <c r="K22">
        <v>6886</v>
      </c>
      <c r="L22">
        <v>1156</v>
      </c>
      <c r="M22" t="s">
        <v>559</v>
      </c>
      <c r="N22">
        <v>7.79</v>
      </c>
      <c r="O22">
        <v>9.16</v>
      </c>
      <c r="P22">
        <v>48</v>
      </c>
      <c r="Q22">
        <v>58.5</v>
      </c>
      <c r="R22">
        <v>2</v>
      </c>
      <c r="S22">
        <v>0.18959999999999999</v>
      </c>
      <c r="T22">
        <v>1.46E-2</v>
      </c>
      <c r="U22">
        <v>0.91659999999999997</v>
      </c>
      <c r="AH22">
        <v>769.41</v>
      </c>
      <c r="AI22">
        <v>72.95</v>
      </c>
      <c r="AJ22">
        <v>235.65</v>
      </c>
      <c r="AK22">
        <v>76.180000000000007</v>
      </c>
      <c r="AL22">
        <v>1154.19</v>
      </c>
      <c r="AM22">
        <v>0.21685050696438529</v>
      </c>
      <c r="AN22">
        <v>1473.78</v>
      </c>
      <c r="AO22">
        <v>319.58999999999997</v>
      </c>
      <c r="AP22">
        <v>0.21690000000000001</v>
      </c>
      <c r="AQ22">
        <v>0.78310000000000002</v>
      </c>
      <c r="AR22">
        <v>38165</v>
      </c>
      <c r="AS22">
        <v>3180</v>
      </c>
      <c r="AT22">
        <v>0.21940000000000001</v>
      </c>
      <c r="AU22">
        <v>32435</v>
      </c>
      <c r="AV22">
        <v>32435</v>
      </c>
      <c r="AW22">
        <v>32916</v>
      </c>
      <c r="AX22">
        <v>1388</v>
      </c>
      <c r="AY22">
        <v>211.9</v>
      </c>
      <c r="AZ22">
        <v>0.84179999999999999</v>
      </c>
      <c r="BA22">
        <v>263.16000000000003</v>
      </c>
      <c r="BB22">
        <v>0.98540000000000005</v>
      </c>
      <c r="BC22">
        <v>0.85043668122270744</v>
      </c>
      <c r="BD22">
        <v>0.8367</v>
      </c>
      <c r="BE22">
        <v>0.70120000000000005</v>
      </c>
    </row>
    <row r="23" spans="1:57" x14ac:dyDescent="0.35">
      <c r="A23" t="s">
        <v>612</v>
      </c>
      <c r="B23" t="s">
        <v>613</v>
      </c>
      <c r="C23" t="s">
        <v>548</v>
      </c>
      <c r="D23" t="s">
        <v>549</v>
      </c>
      <c r="E23" t="s">
        <v>557</v>
      </c>
      <c r="F23" t="s">
        <v>123</v>
      </c>
      <c r="G23" t="s">
        <v>558</v>
      </c>
      <c r="H23">
        <v>702</v>
      </c>
      <c r="I23">
        <v>0.17977892881966481</v>
      </c>
      <c r="J23">
        <v>828</v>
      </c>
      <c r="K23">
        <v>4284</v>
      </c>
      <c r="L23">
        <v>1680</v>
      </c>
      <c r="M23" t="s">
        <v>614</v>
      </c>
      <c r="N23">
        <v>1.7</v>
      </c>
      <c r="O23">
        <v>2.0299999999999998</v>
      </c>
      <c r="P23">
        <v>39.1</v>
      </c>
      <c r="Q23">
        <v>31.6</v>
      </c>
      <c r="R23">
        <v>1</v>
      </c>
      <c r="S23">
        <v>7.9899999999999999E-2</v>
      </c>
      <c r="T23">
        <v>4.1000000000000003E-3</v>
      </c>
      <c r="U23">
        <v>0.80530000000000002</v>
      </c>
      <c r="AH23">
        <v>436.53</v>
      </c>
      <c r="AI23">
        <v>34.64</v>
      </c>
      <c r="AJ23">
        <v>28.48</v>
      </c>
      <c r="AK23">
        <v>33.11</v>
      </c>
      <c r="AL23">
        <v>532.76</v>
      </c>
      <c r="AM23">
        <v>0.15377767105361881</v>
      </c>
      <c r="AN23">
        <v>629.57000000000005</v>
      </c>
      <c r="AO23">
        <v>96.81</v>
      </c>
      <c r="AP23">
        <v>0.15379999999999999</v>
      </c>
      <c r="AQ23">
        <v>0.84619999999999995</v>
      </c>
      <c r="AR23">
        <v>55566</v>
      </c>
      <c r="AS23">
        <v>4630</v>
      </c>
      <c r="AT23">
        <v>0.1903</v>
      </c>
      <c r="AU23">
        <v>52962</v>
      </c>
      <c r="AV23">
        <v>52962</v>
      </c>
      <c r="AW23">
        <v>53180</v>
      </c>
      <c r="AX23">
        <v>4100</v>
      </c>
      <c r="AY23">
        <v>138.72</v>
      </c>
      <c r="AZ23">
        <v>0.92549999999999999</v>
      </c>
      <c r="BA23">
        <v>327.58999999999997</v>
      </c>
      <c r="BB23">
        <v>0.99590000000000001</v>
      </c>
      <c r="BC23">
        <v>0.83743842364532028</v>
      </c>
      <c r="BD23">
        <v>0.86540000000000006</v>
      </c>
      <c r="BE23">
        <v>0.72170000000000001</v>
      </c>
    </row>
    <row r="24" spans="1:57" x14ac:dyDescent="0.35">
      <c r="A24" t="s">
        <v>615</v>
      </c>
      <c r="B24" t="s">
        <v>616</v>
      </c>
      <c r="C24" t="s">
        <v>606</v>
      </c>
      <c r="D24" t="s">
        <v>556</v>
      </c>
      <c r="E24" t="s">
        <v>557</v>
      </c>
      <c r="F24" t="s">
        <v>123</v>
      </c>
      <c r="G24" t="s">
        <v>566</v>
      </c>
      <c r="H24">
        <v>1012</v>
      </c>
      <c r="I24">
        <v>0.1068895200210159</v>
      </c>
      <c r="J24">
        <v>1120</v>
      </c>
      <c r="K24">
        <v>11555</v>
      </c>
      <c r="L24">
        <v>886</v>
      </c>
      <c r="M24" t="s">
        <v>617</v>
      </c>
      <c r="N24">
        <v>2.0499999999999998</v>
      </c>
      <c r="O24">
        <v>2.19</v>
      </c>
      <c r="P24">
        <v>45.6</v>
      </c>
      <c r="Q24">
        <v>33.299999999999997</v>
      </c>
      <c r="R24">
        <v>1</v>
      </c>
      <c r="S24">
        <v>6.08E-2</v>
      </c>
      <c r="T24">
        <v>1.1599999999999999E-2</v>
      </c>
      <c r="U24">
        <v>0.9113</v>
      </c>
      <c r="AH24">
        <v>457.01</v>
      </c>
      <c r="AI24">
        <v>19.399999999999999</v>
      </c>
      <c r="AJ24">
        <v>33.229999999999997</v>
      </c>
      <c r="AK24">
        <v>35.51</v>
      </c>
      <c r="AL24">
        <v>545.15</v>
      </c>
      <c r="AM24">
        <v>0.39125384236361788</v>
      </c>
      <c r="AN24">
        <v>895.53</v>
      </c>
      <c r="AO24">
        <v>350.38</v>
      </c>
      <c r="AP24">
        <v>0.39129999999999998</v>
      </c>
      <c r="AQ24">
        <v>0.60870000000000002</v>
      </c>
      <c r="AR24">
        <v>60134</v>
      </c>
      <c r="AS24">
        <v>5011</v>
      </c>
      <c r="AT24">
        <v>0.1512</v>
      </c>
      <c r="AU24">
        <v>49465</v>
      </c>
      <c r="AV24">
        <v>49465</v>
      </c>
      <c r="AW24">
        <v>50046</v>
      </c>
      <c r="AX24">
        <v>6960</v>
      </c>
      <c r="AY24">
        <v>254.04</v>
      </c>
      <c r="AZ24">
        <v>0.88039999999999996</v>
      </c>
      <c r="BA24">
        <v>423.17</v>
      </c>
      <c r="BB24">
        <v>0.98839999999999995</v>
      </c>
      <c r="BC24">
        <v>0.93607305936073049</v>
      </c>
      <c r="BD24">
        <v>0.9052</v>
      </c>
      <c r="BE24">
        <v>0.83750000000000002</v>
      </c>
    </row>
    <row r="25" spans="1:57" x14ac:dyDescent="0.35">
      <c r="A25" t="s">
        <v>618</v>
      </c>
      <c r="B25" t="s">
        <v>619</v>
      </c>
      <c r="C25" t="s">
        <v>573</v>
      </c>
      <c r="D25" t="s">
        <v>556</v>
      </c>
      <c r="E25" t="s">
        <v>557</v>
      </c>
      <c r="F25" t="s">
        <v>123</v>
      </c>
      <c r="G25" t="s">
        <v>558</v>
      </c>
      <c r="H25">
        <v>255</v>
      </c>
      <c r="I25">
        <v>3.3915016199240797E-2</v>
      </c>
      <c r="J25">
        <v>264</v>
      </c>
      <c r="K25">
        <v>3341</v>
      </c>
      <c r="L25">
        <v>1045</v>
      </c>
      <c r="M25" t="s">
        <v>563</v>
      </c>
      <c r="N25">
        <v>8</v>
      </c>
      <c r="O25">
        <v>8.36</v>
      </c>
      <c r="P25">
        <v>38</v>
      </c>
      <c r="Q25">
        <v>25</v>
      </c>
      <c r="R25">
        <v>1</v>
      </c>
      <c r="S25">
        <v>3.8600000000000002E-2</v>
      </c>
      <c r="T25">
        <v>2.1600000000000001E-2</v>
      </c>
      <c r="U25">
        <v>0.89170000000000005</v>
      </c>
      <c r="AH25">
        <v>824.52</v>
      </c>
      <c r="AI25">
        <v>16.399999999999999</v>
      </c>
      <c r="AJ25">
        <v>111.14</v>
      </c>
      <c r="AK25">
        <v>101.15</v>
      </c>
      <c r="AL25">
        <v>1053.21</v>
      </c>
      <c r="AM25">
        <v>0.21272326142277559</v>
      </c>
      <c r="AN25">
        <v>1337.79</v>
      </c>
      <c r="AO25">
        <v>284.58</v>
      </c>
      <c r="AP25">
        <v>0.2127</v>
      </c>
      <c r="AQ25">
        <v>0.7873</v>
      </c>
      <c r="AR25">
        <v>40345</v>
      </c>
      <c r="AS25">
        <v>3362</v>
      </c>
      <c r="AT25">
        <v>0.15790000000000001</v>
      </c>
      <c r="AU25">
        <v>38049</v>
      </c>
      <c r="AV25">
        <v>38049</v>
      </c>
      <c r="AW25">
        <v>38889</v>
      </c>
      <c r="AX25">
        <v>3219</v>
      </c>
      <c r="AY25">
        <v>448.51</v>
      </c>
      <c r="AZ25">
        <v>0.92459999999999998</v>
      </c>
      <c r="BA25">
        <v>124.25</v>
      </c>
      <c r="BB25">
        <v>0.97840000000000005</v>
      </c>
      <c r="BC25">
        <v>0.95693779904306231</v>
      </c>
      <c r="BD25">
        <v>0.83379999999999999</v>
      </c>
      <c r="BE25">
        <v>0.78069999999999995</v>
      </c>
    </row>
    <row r="26" spans="1:57" x14ac:dyDescent="0.35">
      <c r="A26" t="s">
        <v>620</v>
      </c>
      <c r="B26" t="s">
        <v>621</v>
      </c>
      <c r="C26" t="s">
        <v>606</v>
      </c>
      <c r="D26" t="s">
        <v>556</v>
      </c>
      <c r="E26" t="s">
        <v>557</v>
      </c>
      <c r="F26" t="s">
        <v>123</v>
      </c>
      <c r="G26" t="s">
        <v>566</v>
      </c>
      <c r="H26">
        <v>1239</v>
      </c>
      <c r="I26">
        <v>0.1965526861199007</v>
      </c>
      <c r="J26">
        <v>1483</v>
      </c>
      <c r="K26">
        <v>7043</v>
      </c>
      <c r="L26">
        <v>1065</v>
      </c>
      <c r="M26" t="s">
        <v>622</v>
      </c>
      <c r="N26">
        <v>3.11</v>
      </c>
      <c r="O26">
        <v>3.31</v>
      </c>
      <c r="P26">
        <v>17.399999999999999</v>
      </c>
      <c r="Q26">
        <v>10.8</v>
      </c>
      <c r="R26">
        <v>2</v>
      </c>
      <c r="S26">
        <v>7.8299999999999995E-2</v>
      </c>
      <c r="T26">
        <v>2.1700000000000001E-2</v>
      </c>
      <c r="U26">
        <v>0.8982</v>
      </c>
      <c r="AH26">
        <v>386.75</v>
      </c>
      <c r="AI26">
        <v>30.56</v>
      </c>
      <c r="AJ26">
        <v>54.96</v>
      </c>
      <c r="AK26">
        <v>54.33</v>
      </c>
      <c r="AL26">
        <v>526.6</v>
      </c>
      <c r="AM26">
        <v>0.31900657201313692</v>
      </c>
      <c r="AN26">
        <v>773.28</v>
      </c>
      <c r="AO26">
        <v>246.68</v>
      </c>
      <c r="AP26">
        <v>0.31900000000000001</v>
      </c>
      <c r="AQ26">
        <v>0.68100000000000005</v>
      </c>
      <c r="AR26">
        <v>71185</v>
      </c>
      <c r="AS26">
        <v>5932</v>
      </c>
      <c r="AT26">
        <v>0.1236</v>
      </c>
      <c r="AU26">
        <v>65207</v>
      </c>
      <c r="AV26">
        <v>65207</v>
      </c>
      <c r="AW26">
        <v>66653</v>
      </c>
      <c r="AX26">
        <v>3518</v>
      </c>
      <c r="AY26">
        <v>194.08</v>
      </c>
      <c r="AZ26">
        <v>0.95799999999999996</v>
      </c>
      <c r="BA26">
        <v>275.45999999999998</v>
      </c>
      <c r="BB26">
        <v>0.97829999999999995</v>
      </c>
      <c r="BC26">
        <v>0.93957703927492442</v>
      </c>
      <c r="BD26">
        <v>0.8538</v>
      </c>
      <c r="BE26">
        <v>0.78480000000000005</v>
      </c>
    </row>
    <row r="27" spans="1:57" x14ac:dyDescent="0.35">
      <c r="A27" t="s">
        <v>623</v>
      </c>
      <c r="B27" t="s">
        <v>624</v>
      </c>
      <c r="C27" t="s">
        <v>562</v>
      </c>
      <c r="D27" t="s">
        <v>556</v>
      </c>
      <c r="E27" t="s">
        <v>550</v>
      </c>
      <c r="F27" t="s">
        <v>123</v>
      </c>
      <c r="G27" t="s">
        <v>551</v>
      </c>
      <c r="H27">
        <v>2581</v>
      </c>
      <c r="I27">
        <v>-3.0949905100209219E-2</v>
      </c>
      <c r="J27">
        <v>2501</v>
      </c>
      <c r="K27">
        <v>2660</v>
      </c>
      <c r="L27">
        <v>549</v>
      </c>
      <c r="M27" t="s">
        <v>625</v>
      </c>
      <c r="N27">
        <v>3.08</v>
      </c>
      <c r="O27">
        <v>3.6</v>
      </c>
      <c r="P27">
        <v>71.8</v>
      </c>
      <c r="Q27">
        <v>50</v>
      </c>
      <c r="R27">
        <v>5</v>
      </c>
      <c r="S27">
        <v>0.13669999999999999</v>
      </c>
      <c r="T27">
        <v>4.8999999999999998E-3</v>
      </c>
      <c r="U27">
        <v>0.86470000000000002</v>
      </c>
      <c r="AH27">
        <v>931.08</v>
      </c>
      <c r="AI27">
        <v>57.05</v>
      </c>
      <c r="AJ27">
        <v>90.49</v>
      </c>
      <c r="AK27">
        <v>84.52</v>
      </c>
      <c r="AL27">
        <v>1163.1400000000001</v>
      </c>
      <c r="AM27">
        <v>0.32665746746967739</v>
      </c>
      <c r="AN27">
        <v>1727.41</v>
      </c>
      <c r="AO27">
        <v>564.27</v>
      </c>
      <c r="AP27">
        <v>0.32669999999999999</v>
      </c>
      <c r="AQ27">
        <v>0.67330000000000001</v>
      </c>
      <c r="AR27">
        <v>16279</v>
      </c>
      <c r="AS27">
        <v>1357</v>
      </c>
      <c r="AT27">
        <v>0.2079</v>
      </c>
      <c r="AU27">
        <v>14168</v>
      </c>
      <c r="AV27">
        <v>14168</v>
      </c>
      <c r="AW27">
        <v>14238</v>
      </c>
      <c r="AX27">
        <v>4042</v>
      </c>
      <c r="AY27">
        <v>242.52</v>
      </c>
      <c r="AZ27">
        <v>0.91749999999999998</v>
      </c>
      <c r="BA27">
        <v>552.54</v>
      </c>
      <c r="BB27">
        <v>0.99509999999999998</v>
      </c>
      <c r="BC27">
        <v>0.85555555555555551</v>
      </c>
      <c r="BD27">
        <v>0.88009999999999988</v>
      </c>
      <c r="BE27">
        <v>0.74929999999999997</v>
      </c>
    </row>
    <row r="28" spans="1:57" x14ac:dyDescent="0.35">
      <c r="A28" t="s">
        <v>626</v>
      </c>
      <c r="B28" t="s">
        <v>627</v>
      </c>
      <c r="C28" t="s">
        <v>555</v>
      </c>
      <c r="D28" t="s">
        <v>556</v>
      </c>
      <c r="E28" t="s">
        <v>550</v>
      </c>
      <c r="F28" t="s">
        <v>123</v>
      </c>
      <c r="G28" t="s">
        <v>628</v>
      </c>
      <c r="H28">
        <v>350</v>
      </c>
      <c r="I28">
        <v>-3.8695332473452651E-2</v>
      </c>
      <c r="J28">
        <v>336</v>
      </c>
      <c r="K28">
        <v>1140</v>
      </c>
      <c r="L28">
        <v>244</v>
      </c>
      <c r="M28" t="s">
        <v>629</v>
      </c>
      <c r="N28">
        <v>0.73</v>
      </c>
      <c r="O28">
        <v>0.84</v>
      </c>
      <c r="P28">
        <v>74.099999999999994</v>
      </c>
      <c r="Q28">
        <v>38.299999999999997</v>
      </c>
      <c r="R28">
        <v>5</v>
      </c>
      <c r="S28">
        <v>0.35849999999999999</v>
      </c>
      <c r="T28">
        <v>4.7000000000000002E-3</v>
      </c>
      <c r="U28">
        <v>0.81469999999999998</v>
      </c>
      <c r="AH28">
        <v>1313.33</v>
      </c>
      <c r="AI28">
        <v>119.6</v>
      </c>
      <c r="AJ28">
        <v>17.13</v>
      </c>
      <c r="AK28">
        <v>164.48</v>
      </c>
      <c r="AL28">
        <v>1614.54</v>
      </c>
      <c r="AM28">
        <v>0.30250185426987142</v>
      </c>
      <c r="AN28">
        <v>2314.7600000000002</v>
      </c>
      <c r="AO28">
        <v>700.22</v>
      </c>
      <c r="AP28">
        <v>0.30249999999999999</v>
      </c>
      <c r="AQ28">
        <v>0.69750000000000001</v>
      </c>
      <c r="AR28">
        <v>10452</v>
      </c>
      <c r="AS28">
        <v>871</v>
      </c>
      <c r="AT28">
        <v>0.16719999999999999</v>
      </c>
      <c r="AU28">
        <v>9556</v>
      </c>
      <c r="AV28">
        <v>9556</v>
      </c>
      <c r="AW28">
        <v>9601</v>
      </c>
      <c r="AX28">
        <v>5877</v>
      </c>
      <c r="AY28">
        <v>82.28</v>
      </c>
      <c r="AZ28">
        <v>0.83360000000000001</v>
      </c>
      <c r="BA28">
        <v>2106.9</v>
      </c>
      <c r="BB28">
        <v>0.99529999999999996</v>
      </c>
      <c r="BC28">
        <v>0.86904761904761907</v>
      </c>
      <c r="BD28">
        <v>0.88049999999999995</v>
      </c>
      <c r="BE28">
        <v>0.76160000000000005</v>
      </c>
    </row>
    <row r="29" spans="1:57" x14ac:dyDescent="0.35">
      <c r="A29" t="s">
        <v>630</v>
      </c>
      <c r="B29" t="s">
        <v>631</v>
      </c>
      <c r="C29" t="s">
        <v>555</v>
      </c>
      <c r="D29" t="s">
        <v>549</v>
      </c>
      <c r="E29" t="s">
        <v>550</v>
      </c>
      <c r="F29" t="s">
        <v>123</v>
      </c>
      <c r="G29" t="s">
        <v>566</v>
      </c>
      <c r="H29">
        <v>562</v>
      </c>
      <c r="I29">
        <v>4.8247362244714778E-2</v>
      </c>
      <c r="J29">
        <v>589</v>
      </c>
      <c r="K29">
        <v>3524</v>
      </c>
      <c r="L29">
        <v>364</v>
      </c>
      <c r="M29" t="s">
        <v>632</v>
      </c>
      <c r="N29">
        <v>13.79</v>
      </c>
      <c r="O29">
        <v>15.69</v>
      </c>
      <c r="P29">
        <v>100.4</v>
      </c>
      <c r="Q29">
        <v>81.400000000000006</v>
      </c>
      <c r="R29">
        <v>3</v>
      </c>
      <c r="S29">
        <v>0.30570000000000003</v>
      </c>
      <c r="T29">
        <v>1.1599999999999999E-2</v>
      </c>
      <c r="U29">
        <v>0.83479999999999999</v>
      </c>
      <c r="AH29">
        <v>360.92</v>
      </c>
      <c r="AI29">
        <v>136.76</v>
      </c>
      <c r="AJ29">
        <v>221.19</v>
      </c>
      <c r="AK29">
        <v>52.12</v>
      </c>
      <c r="AL29">
        <v>770.99</v>
      </c>
      <c r="AM29">
        <v>0.22822684855341199</v>
      </c>
      <c r="AN29">
        <v>998.99</v>
      </c>
      <c r="AO29">
        <v>228</v>
      </c>
      <c r="AP29">
        <v>0.22819999999999999</v>
      </c>
      <c r="AQ29">
        <v>0.77180000000000004</v>
      </c>
      <c r="AR29">
        <v>24951</v>
      </c>
      <c r="AS29">
        <v>2079</v>
      </c>
      <c r="AT29">
        <v>0.13450000000000001</v>
      </c>
      <c r="AU29">
        <v>21791</v>
      </c>
      <c r="AV29">
        <v>21791</v>
      </c>
      <c r="AW29">
        <v>22047</v>
      </c>
      <c r="AX29">
        <v>1598</v>
      </c>
      <c r="AY29">
        <v>417.88</v>
      </c>
      <c r="AZ29">
        <v>0.96220000000000006</v>
      </c>
      <c r="BA29">
        <v>488.51</v>
      </c>
      <c r="BB29">
        <v>0.98839999999999995</v>
      </c>
      <c r="BC29">
        <v>0.8789037603569152</v>
      </c>
      <c r="BD29">
        <v>0.86359999999999992</v>
      </c>
      <c r="BE29">
        <v>0.75019999999999998</v>
      </c>
    </row>
    <row r="30" spans="1:57" x14ac:dyDescent="0.35">
      <c r="A30" t="s">
        <v>633</v>
      </c>
      <c r="B30" t="s">
        <v>634</v>
      </c>
      <c r="C30" t="s">
        <v>562</v>
      </c>
      <c r="D30" t="s">
        <v>556</v>
      </c>
      <c r="E30" t="s">
        <v>557</v>
      </c>
      <c r="F30" t="s">
        <v>123</v>
      </c>
      <c r="G30" t="s">
        <v>566</v>
      </c>
      <c r="H30">
        <v>1822</v>
      </c>
      <c r="I30">
        <v>0.16618059406376329</v>
      </c>
      <c r="J30">
        <v>2125</v>
      </c>
      <c r="K30">
        <v>8867</v>
      </c>
      <c r="L30">
        <v>1364</v>
      </c>
      <c r="M30" t="s">
        <v>609</v>
      </c>
      <c r="N30">
        <v>0.86</v>
      </c>
      <c r="O30">
        <v>0.94</v>
      </c>
      <c r="P30">
        <v>57.2</v>
      </c>
      <c r="Q30">
        <v>27.2</v>
      </c>
      <c r="R30">
        <v>1</v>
      </c>
      <c r="S30">
        <v>5.5500000000000001E-2</v>
      </c>
      <c r="T30">
        <v>2.2100000000000002E-2</v>
      </c>
      <c r="U30">
        <v>0.97109999999999996</v>
      </c>
      <c r="AH30">
        <v>602.39</v>
      </c>
      <c r="AI30">
        <v>26.23</v>
      </c>
      <c r="AJ30">
        <v>25.9</v>
      </c>
      <c r="AK30">
        <v>54.55</v>
      </c>
      <c r="AL30">
        <v>709.07</v>
      </c>
      <c r="AM30">
        <v>0.21777406344101641</v>
      </c>
      <c r="AN30">
        <v>906.48</v>
      </c>
      <c r="AO30">
        <v>197.41</v>
      </c>
      <c r="AP30">
        <v>0.21779999999999999</v>
      </c>
      <c r="AQ30">
        <v>0.78220000000000001</v>
      </c>
      <c r="AR30">
        <v>75991</v>
      </c>
      <c r="AS30">
        <v>6333</v>
      </c>
      <c r="AT30">
        <v>0.18129999999999999</v>
      </c>
      <c r="AU30">
        <v>68488</v>
      </c>
      <c r="AV30">
        <v>68488</v>
      </c>
      <c r="AW30">
        <v>70036</v>
      </c>
      <c r="AX30">
        <v>6944</v>
      </c>
      <c r="AY30">
        <v>108.79</v>
      </c>
      <c r="AZ30">
        <v>0.83089999999999997</v>
      </c>
      <c r="BA30">
        <v>385.39</v>
      </c>
      <c r="BB30">
        <v>0.97789999999999999</v>
      </c>
      <c r="BC30">
        <v>0.91489361702127658</v>
      </c>
      <c r="BD30">
        <v>0.91039999999999999</v>
      </c>
      <c r="BE30">
        <v>0.8145</v>
      </c>
    </row>
    <row r="31" spans="1:57" x14ac:dyDescent="0.35">
      <c r="A31" t="s">
        <v>635</v>
      </c>
      <c r="B31" t="s">
        <v>636</v>
      </c>
      <c r="C31" t="s">
        <v>573</v>
      </c>
      <c r="D31" t="s">
        <v>549</v>
      </c>
      <c r="E31" t="s">
        <v>551</v>
      </c>
      <c r="F31" t="s">
        <v>123</v>
      </c>
      <c r="G31" t="s">
        <v>551</v>
      </c>
      <c r="H31">
        <v>182</v>
      </c>
      <c r="I31">
        <v>1.183702543579941E-2</v>
      </c>
      <c r="J31">
        <v>184</v>
      </c>
      <c r="K31">
        <v>3175</v>
      </c>
      <c r="L31">
        <v>533</v>
      </c>
      <c r="M31" t="s">
        <v>622</v>
      </c>
      <c r="N31">
        <v>12.65</v>
      </c>
      <c r="O31">
        <v>14.27</v>
      </c>
      <c r="P31">
        <v>72.099999999999994</v>
      </c>
      <c r="Q31">
        <v>54.2</v>
      </c>
      <c r="R31">
        <v>4</v>
      </c>
      <c r="S31">
        <v>0.16520000000000001</v>
      </c>
      <c r="T31">
        <v>5.0000000000000001E-3</v>
      </c>
      <c r="U31">
        <v>0.87360000000000004</v>
      </c>
      <c r="AH31">
        <v>1780.36</v>
      </c>
      <c r="AI31">
        <v>56.72</v>
      </c>
      <c r="AJ31">
        <v>393.73</v>
      </c>
      <c r="AK31">
        <v>146.84</v>
      </c>
      <c r="AL31">
        <v>2377.65</v>
      </c>
      <c r="AM31">
        <v>0.2994170706756758</v>
      </c>
      <c r="AN31">
        <v>3393.82</v>
      </c>
      <c r="AO31">
        <v>1016.17</v>
      </c>
      <c r="AP31">
        <v>0.2994</v>
      </c>
      <c r="AQ31">
        <v>0.7006</v>
      </c>
      <c r="AR31">
        <v>19675</v>
      </c>
      <c r="AS31">
        <v>1640</v>
      </c>
      <c r="AT31">
        <v>0.24929999999999999</v>
      </c>
      <c r="AU31">
        <v>17033</v>
      </c>
      <c r="AV31">
        <v>17033</v>
      </c>
      <c r="AW31">
        <v>17119</v>
      </c>
      <c r="AX31">
        <v>903</v>
      </c>
      <c r="AY31">
        <v>214.76</v>
      </c>
      <c r="AZ31">
        <v>0.95799999999999996</v>
      </c>
      <c r="BA31">
        <v>149.18</v>
      </c>
      <c r="BB31">
        <v>0.995</v>
      </c>
      <c r="BC31">
        <v>0.88647512263489847</v>
      </c>
      <c r="BD31">
        <v>0.8538</v>
      </c>
      <c r="BE31">
        <v>0.75309999999999999</v>
      </c>
    </row>
    <row r="32" spans="1:57" x14ac:dyDescent="0.35">
      <c r="A32" t="s">
        <v>637</v>
      </c>
      <c r="B32" t="s">
        <v>638</v>
      </c>
      <c r="C32" t="s">
        <v>548</v>
      </c>
      <c r="D32" t="s">
        <v>549</v>
      </c>
      <c r="E32" t="s">
        <v>551</v>
      </c>
      <c r="F32" t="s">
        <v>123</v>
      </c>
      <c r="G32" t="s">
        <v>566</v>
      </c>
      <c r="H32">
        <v>1299</v>
      </c>
      <c r="I32">
        <v>-3.8275883052195023E-2</v>
      </c>
      <c r="J32">
        <v>1249</v>
      </c>
      <c r="K32">
        <v>1362</v>
      </c>
      <c r="L32">
        <v>227</v>
      </c>
      <c r="M32" t="s">
        <v>559</v>
      </c>
      <c r="N32">
        <v>12.72</v>
      </c>
      <c r="O32">
        <v>13.77</v>
      </c>
      <c r="P32">
        <v>55.1</v>
      </c>
      <c r="Q32">
        <v>32.4</v>
      </c>
      <c r="R32">
        <v>4</v>
      </c>
      <c r="S32">
        <v>0.1159</v>
      </c>
      <c r="T32">
        <v>1.8599999999999998E-2</v>
      </c>
      <c r="U32">
        <v>0.88400000000000001</v>
      </c>
      <c r="AH32">
        <v>884.44</v>
      </c>
      <c r="AI32">
        <v>36.99</v>
      </c>
      <c r="AJ32">
        <v>377.46</v>
      </c>
      <c r="AK32">
        <v>123.18</v>
      </c>
      <c r="AL32">
        <v>1422.07</v>
      </c>
      <c r="AM32">
        <v>0.36652390840292293</v>
      </c>
      <c r="AN32">
        <v>2244.87</v>
      </c>
      <c r="AO32">
        <v>822.8</v>
      </c>
      <c r="AP32">
        <v>0.36649999999999999</v>
      </c>
      <c r="AQ32">
        <v>0.63349999999999995</v>
      </c>
      <c r="AR32">
        <v>16170</v>
      </c>
      <c r="AS32">
        <v>1348</v>
      </c>
      <c r="AT32">
        <v>0.154</v>
      </c>
      <c r="AU32">
        <v>15035</v>
      </c>
      <c r="AV32">
        <v>15035</v>
      </c>
      <c r="AW32">
        <v>15320</v>
      </c>
      <c r="AX32">
        <v>646</v>
      </c>
      <c r="AY32">
        <v>148.26</v>
      </c>
      <c r="AZ32">
        <v>0.84179999999999999</v>
      </c>
      <c r="BA32">
        <v>74.87</v>
      </c>
      <c r="BB32">
        <v>0.98140000000000005</v>
      </c>
      <c r="BC32">
        <v>0.92374727668845324</v>
      </c>
      <c r="BD32">
        <v>0.8367</v>
      </c>
      <c r="BE32">
        <v>0.75849999999999995</v>
      </c>
    </row>
    <row r="33" spans="1:57" x14ac:dyDescent="0.35">
      <c r="A33" t="s">
        <v>639</v>
      </c>
      <c r="B33" t="s">
        <v>640</v>
      </c>
      <c r="C33" t="s">
        <v>548</v>
      </c>
      <c r="D33" t="s">
        <v>556</v>
      </c>
      <c r="E33" t="s">
        <v>551</v>
      </c>
      <c r="F33" t="s">
        <v>123</v>
      </c>
      <c r="G33" t="s">
        <v>558</v>
      </c>
      <c r="H33">
        <v>1460</v>
      </c>
      <c r="I33">
        <v>8.7976709693621383E-2</v>
      </c>
      <c r="J33">
        <v>1588</v>
      </c>
      <c r="K33">
        <v>3317</v>
      </c>
      <c r="L33">
        <v>1273</v>
      </c>
      <c r="M33" t="s">
        <v>609</v>
      </c>
      <c r="N33">
        <v>6.51</v>
      </c>
      <c r="O33">
        <v>7.23</v>
      </c>
      <c r="P33">
        <v>86.2</v>
      </c>
      <c r="Q33">
        <v>40.6</v>
      </c>
      <c r="R33">
        <v>4</v>
      </c>
      <c r="S33">
        <v>8.1900000000000001E-2</v>
      </c>
      <c r="T33">
        <v>4.3E-3</v>
      </c>
      <c r="U33">
        <v>0.8095</v>
      </c>
      <c r="AH33">
        <v>304.43</v>
      </c>
      <c r="AI33">
        <v>24.96</v>
      </c>
      <c r="AJ33">
        <v>106.83</v>
      </c>
      <c r="AK33">
        <v>51.7</v>
      </c>
      <c r="AL33">
        <v>487.92</v>
      </c>
      <c r="AM33">
        <v>0.38668343223084889</v>
      </c>
      <c r="AN33">
        <v>795.54</v>
      </c>
      <c r="AO33">
        <v>307.62</v>
      </c>
      <c r="AP33">
        <v>0.38669999999999999</v>
      </c>
      <c r="AQ33">
        <v>0.61329999999999996</v>
      </c>
      <c r="AR33">
        <v>56449</v>
      </c>
      <c r="AS33">
        <v>4704</v>
      </c>
      <c r="AT33">
        <v>0.23649999999999999</v>
      </c>
      <c r="AU33">
        <v>54405</v>
      </c>
      <c r="AV33">
        <v>54405</v>
      </c>
      <c r="AW33">
        <v>54640</v>
      </c>
      <c r="AX33">
        <v>5417</v>
      </c>
      <c r="AY33">
        <v>652.75</v>
      </c>
      <c r="AZ33">
        <v>0.83089999999999997</v>
      </c>
      <c r="BA33">
        <v>443.65</v>
      </c>
      <c r="BB33">
        <v>0.99570000000000003</v>
      </c>
      <c r="BC33">
        <v>0.90041493775933601</v>
      </c>
      <c r="BD33">
        <v>0.91039999999999999</v>
      </c>
      <c r="BE33">
        <v>0.81620000000000004</v>
      </c>
    </row>
    <row r="34" spans="1:57" x14ac:dyDescent="0.35">
      <c r="A34" t="s">
        <v>641</v>
      </c>
      <c r="B34" t="s">
        <v>642</v>
      </c>
      <c r="C34" t="s">
        <v>573</v>
      </c>
      <c r="D34" t="s">
        <v>556</v>
      </c>
      <c r="E34" t="s">
        <v>557</v>
      </c>
      <c r="F34" t="s">
        <v>123</v>
      </c>
      <c r="G34" t="s">
        <v>628</v>
      </c>
      <c r="H34">
        <v>440</v>
      </c>
      <c r="I34">
        <v>0.1098403392435606</v>
      </c>
      <c r="J34">
        <v>488</v>
      </c>
      <c r="K34">
        <v>7016</v>
      </c>
      <c r="L34">
        <v>943</v>
      </c>
      <c r="M34" t="s">
        <v>559</v>
      </c>
      <c r="N34">
        <v>4.26</v>
      </c>
      <c r="O34">
        <v>4.96</v>
      </c>
      <c r="P34">
        <v>37.4</v>
      </c>
      <c r="Q34">
        <v>16.2</v>
      </c>
      <c r="R34">
        <v>2</v>
      </c>
      <c r="S34">
        <v>6.7799999999999999E-2</v>
      </c>
      <c r="T34">
        <v>1.6299999999999999E-2</v>
      </c>
      <c r="U34">
        <v>0.80679999999999996</v>
      </c>
      <c r="AH34">
        <v>842.19</v>
      </c>
      <c r="AI34">
        <v>29.05</v>
      </c>
      <c r="AJ34">
        <v>94.36</v>
      </c>
      <c r="AK34">
        <v>89.07</v>
      </c>
      <c r="AL34">
        <v>1054.67</v>
      </c>
      <c r="AM34">
        <v>0.1764764511009394</v>
      </c>
      <c r="AN34">
        <v>1280.68</v>
      </c>
      <c r="AO34">
        <v>226.01</v>
      </c>
      <c r="AP34">
        <v>0.17649999999999999</v>
      </c>
      <c r="AQ34">
        <v>0.82350000000000001</v>
      </c>
      <c r="AR34">
        <v>73856</v>
      </c>
      <c r="AS34">
        <v>6155</v>
      </c>
      <c r="AT34">
        <v>0.13869999999999999</v>
      </c>
      <c r="AU34">
        <v>67783</v>
      </c>
      <c r="AV34">
        <v>67783</v>
      </c>
      <c r="AW34">
        <v>68906</v>
      </c>
      <c r="AX34">
        <v>2905</v>
      </c>
      <c r="AY34">
        <v>240.15</v>
      </c>
      <c r="AZ34">
        <v>0.84179999999999999</v>
      </c>
      <c r="BA34">
        <v>196.96</v>
      </c>
      <c r="BB34">
        <v>0.98370000000000002</v>
      </c>
      <c r="BC34">
        <v>0.8588709677419355</v>
      </c>
      <c r="BD34">
        <v>0.8367</v>
      </c>
      <c r="BE34">
        <v>0.70689999999999997</v>
      </c>
    </row>
    <row r="35" spans="1:57" x14ac:dyDescent="0.35">
      <c r="A35" t="s">
        <v>643</v>
      </c>
      <c r="B35" t="s">
        <v>644</v>
      </c>
      <c r="C35" t="s">
        <v>573</v>
      </c>
      <c r="D35" t="s">
        <v>549</v>
      </c>
      <c r="E35" t="s">
        <v>550</v>
      </c>
      <c r="F35" t="s">
        <v>123</v>
      </c>
      <c r="G35" t="s">
        <v>551</v>
      </c>
      <c r="H35">
        <v>834</v>
      </c>
      <c r="I35">
        <v>5.9368730505932263E-2</v>
      </c>
      <c r="J35">
        <v>884</v>
      </c>
      <c r="K35">
        <v>856</v>
      </c>
      <c r="L35">
        <v>75</v>
      </c>
      <c r="M35" t="s">
        <v>552</v>
      </c>
      <c r="N35">
        <v>8.92</v>
      </c>
      <c r="O35">
        <v>10.68</v>
      </c>
      <c r="P35">
        <v>53.1</v>
      </c>
      <c r="Q35">
        <v>80.5</v>
      </c>
      <c r="R35">
        <v>6</v>
      </c>
      <c r="S35">
        <v>0.33710000000000001</v>
      </c>
      <c r="T35">
        <v>1.17E-2</v>
      </c>
      <c r="U35">
        <v>0.92910000000000004</v>
      </c>
      <c r="AH35">
        <v>741.43</v>
      </c>
      <c r="AI35">
        <v>142.06</v>
      </c>
      <c r="AJ35">
        <v>317.19</v>
      </c>
      <c r="AK35">
        <v>90.11</v>
      </c>
      <c r="AL35">
        <v>1290.79</v>
      </c>
      <c r="AM35">
        <v>0.18870715314943001</v>
      </c>
      <c r="AN35">
        <v>1591.03</v>
      </c>
      <c r="AO35">
        <v>300.24</v>
      </c>
      <c r="AP35">
        <v>0.18870000000000001</v>
      </c>
      <c r="AQ35">
        <v>0.81130000000000002</v>
      </c>
      <c r="AR35">
        <v>7062</v>
      </c>
      <c r="AS35">
        <v>588</v>
      </c>
      <c r="AT35">
        <v>8.9300000000000004E-2</v>
      </c>
      <c r="AU35">
        <v>6281</v>
      </c>
      <c r="AV35">
        <v>6281</v>
      </c>
      <c r="AW35">
        <v>6355</v>
      </c>
      <c r="AX35">
        <v>1488</v>
      </c>
      <c r="AY35">
        <v>264.86</v>
      </c>
      <c r="AZ35">
        <v>0.84030000000000005</v>
      </c>
      <c r="BA35">
        <v>501.6</v>
      </c>
      <c r="BB35">
        <v>0.98829999999999996</v>
      </c>
      <c r="BC35">
        <v>0.83520599250936334</v>
      </c>
      <c r="BD35">
        <v>0.85919999999999996</v>
      </c>
      <c r="BE35">
        <v>0.70920000000000005</v>
      </c>
    </row>
    <row r="36" spans="1:57" x14ac:dyDescent="0.35">
      <c r="A36" t="s">
        <v>645</v>
      </c>
      <c r="B36" t="s">
        <v>646</v>
      </c>
      <c r="C36" t="s">
        <v>555</v>
      </c>
      <c r="D36" t="s">
        <v>556</v>
      </c>
      <c r="E36" t="s">
        <v>551</v>
      </c>
      <c r="F36" t="s">
        <v>123</v>
      </c>
      <c r="G36" t="s">
        <v>551</v>
      </c>
      <c r="H36">
        <v>1062</v>
      </c>
      <c r="I36">
        <v>0.12441046787336579</v>
      </c>
      <c r="J36">
        <v>1194</v>
      </c>
      <c r="K36">
        <v>1931</v>
      </c>
      <c r="L36">
        <v>441</v>
      </c>
      <c r="M36" t="s">
        <v>563</v>
      </c>
      <c r="N36">
        <v>7.43</v>
      </c>
      <c r="O36">
        <v>8.83</v>
      </c>
      <c r="P36">
        <v>66.8</v>
      </c>
      <c r="Q36">
        <v>33</v>
      </c>
      <c r="R36">
        <v>3</v>
      </c>
      <c r="S36">
        <v>5.8299999999999998E-2</v>
      </c>
      <c r="T36">
        <v>2.01E-2</v>
      </c>
      <c r="U36">
        <v>0.89690000000000003</v>
      </c>
      <c r="AH36">
        <v>421.16</v>
      </c>
      <c r="AI36">
        <v>23.86</v>
      </c>
      <c r="AJ36">
        <v>224.64</v>
      </c>
      <c r="AK36">
        <v>63.85</v>
      </c>
      <c r="AL36">
        <v>733.51</v>
      </c>
      <c r="AM36">
        <v>0.38618406469576988</v>
      </c>
      <c r="AN36">
        <v>1195</v>
      </c>
      <c r="AO36">
        <v>461.49</v>
      </c>
      <c r="AP36">
        <v>0.38619999999999999</v>
      </c>
      <c r="AQ36">
        <v>0.61380000000000001</v>
      </c>
      <c r="AR36">
        <v>25680</v>
      </c>
      <c r="AS36">
        <v>2140</v>
      </c>
      <c r="AT36">
        <v>0.1147</v>
      </c>
      <c r="AU36">
        <v>24190</v>
      </c>
      <c r="AV36">
        <v>24190</v>
      </c>
      <c r="AW36">
        <v>24686</v>
      </c>
      <c r="AX36">
        <v>2043</v>
      </c>
      <c r="AY36">
        <v>300.66000000000003</v>
      </c>
      <c r="AZ36">
        <v>0.92459999999999998</v>
      </c>
      <c r="BA36">
        <v>119.11</v>
      </c>
      <c r="BB36">
        <v>0.97989999999999999</v>
      </c>
      <c r="BC36">
        <v>0.841449603624009</v>
      </c>
      <c r="BD36">
        <v>0.83379999999999999</v>
      </c>
      <c r="BE36">
        <v>0.6875</v>
      </c>
    </row>
    <row r="37" spans="1:57" x14ac:dyDescent="0.35">
      <c r="A37" t="s">
        <v>647</v>
      </c>
      <c r="B37" t="s">
        <v>648</v>
      </c>
      <c r="C37" t="s">
        <v>562</v>
      </c>
      <c r="D37" t="s">
        <v>549</v>
      </c>
      <c r="E37" t="s">
        <v>551</v>
      </c>
      <c r="F37" t="s">
        <v>123</v>
      </c>
      <c r="G37" t="s">
        <v>628</v>
      </c>
      <c r="H37">
        <v>2797</v>
      </c>
      <c r="I37">
        <v>7.3154523498217397E-2</v>
      </c>
      <c r="J37">
        <v>3002</v>
      </c>
      <c r="K37">
        <v>2588</v>
      </c>
      <c r="L37">
        <v>361</v>
      </c>
      <c r="M37" t="s">
        <v>649</v>
      </c>
      <c r="N37">
        <v>6.86</v>
      </c>
      <c r="O37">
        <v>8.15</v>
      </c>
      <c r="P37">
        <v>41.5</v>
      </c>
      <c r="Q37">
        <v>42.2</v>
      </c>
      <c r="R37">
        <v>3</v>
      </c>
      <c r="S37">
        <v>0.1195</v>
      </c>
      <c r="T37">
        <v>7.4000000000000003E-3</v>
      </c>
      <c r="U37">
        <v>0.89159999999999995</v>
      </c>
      <c r="AH37">
        <v>1458.15</v>
      </c>
      <c r="AI37">
        <v>41.39</v>
      </c>
      <c r="AJ37">
        <v>85.93</v>
      </c>
      <c r="AK37">
        <v>92.92</v>
      </c>
      <c r="AL37">
        <v>1678.39</v>
      </c>
      <c r="AM37">
        <v>0.33413380708369811</v>
      </c>
      <c r="AN37">
        <v>2520.61</v>
      </c>
      <c r="AO37">
        <v>842.22</v>
      </c>
      <c r="AP37">
        <v>0.33410000000000001</v>
      </c>
      <c r="AQ37">
        <v>0.66590000000000005</v>
      </c>
      <c r="AR37">
        <v>25068</v>
      </c>
      <c r="AS37">
        <v>2089</v>
      </c>
      <c r="AT37">
        <v>0.1512</v>
      </c>
      <c r="AU37">
        <v>22841</v>
      </c>
      <c r="AV37">
        <v>22841</v>
      </c>
      <c r="AW37">
        <v>23011</v>
      </c>
      <c r="AX37">
        <v>636</v>
      </c>
      <c r="AY37">
        <v>86.39</v>
      </c>
      <c r="AZ37">
        <v>0.85880000000000001</v>
      </c>
      <c r="BA37">
        <v>76</v>
      </c>
      <c r="BB37">
        <v>0.99260000000000004</v>
      </c>
      <c r="BC37">
        <v>0.84171779141104297</v>
      </c>
      <c r="BD37">
        <v>0.84340000000000004</v>
      </c>
      <c r="BE37">
        <v>0.70469999999999999</v>
      </c>
    </row>
    <row r="38" spans="1:57" x14ac:dyDescent="0.35">
      <c r="A38" t="s">
        <v>650</v>
      </c>
      <c r="B38" t="s">
        <v>651</v>
      </c>
      <c r="C38" t="s">
        <v>562</v>
      </c>
      <c r="D38" t="s">
        <v>556</v>
      </c>
      <c r="E38" t="s">
        <v>557</v>
      </c>
      <c r="F38" t="s">
        <v>123</v>
      </c>
      <c r="G38" t="s">
        <v>566</v>
      </c>
      <c r="H38">
        <v>1094</v>
      </c>
      <c r="I38">
        <v>5.0075122227570337E-2</v>
      </c>
      <c r="J38">
        <v>1149</v>
      </c>
      <c r="K38">
        <v>9279</v>
      </c>
      <c r="L38">
        <v>932</v>
      </c>
      <c r="M38" t="s">
        <v>649</v>
      </c>
      <c r="N38">
        <v>7.6</v>
      </c>
      <c r="O38">
        <v>8.35</v>
      </c>
      <c r="P38">
        <v>41.3</v>
      </c>
      <c r="Q38">
        <v>17.2</v>
      </c>
      <c r="R38">
        <v>2</v>
      </c>
      <c r="S38">
        <v>7.4999999999999997E-2</v>
      </c>
      <c r="T38">
        <v>1.67E-2</v>
      </c>
      <c r="U38">
        <v>0.84379999999999999</v>
      </c>
      <c r="AH38">
        <v>884.28</v>
      </c>
      <c r="AI38">
        <v>28.36</v>
      </c>
      <c r="AJ38">
        <v>94.39</v>
      </c>
      <c r="AK38">
        <v>112.99</v>
      </c>
      <c r="AL38">
        <v>1120.02</v>
      </c>
      <c r="AM38">
        <v>0.37074845620744318</v>
      </c>
      <c r="AN38">
        <v>1779.92</v>
      </c>
      <c r="AO38">
        <v>659.9</v>
      </c>
      <c r="AP38">
        <v>0.37069999999999997</v>
      </c>
      <c r="AQ38">
        <v>0.62929999999999997</v>
      </c>
      <c r="AR38">
        <v>84353</v>
      </c>
      <c r="AS38">
        <v>7029</v>
      </c>
      <c r="AT38">
        <v>0.1173</v>
      </c>
      <c r="AU38">
        <v>76006</v>
      </c>
      <c r="AV38">
        <v>76006</v>
      </c>
      <c r="AW38">
        <v>77297</v>
      </c>
      <c r="AX38">
        <v>2137</v>
      </c>
      <c r="AY38">
        <v>297.39999999999998</v>
      </c>
      <c r="AZ38">
        <v>0.85880000000000001</v>
      </c>
      <c r="BA38">
        <v>160.28</v>
      </c>
      <c r="BB38">
        <v>0.98329999999999995</v>
      </c>
      <c r="BC38">
        <v>0.91017964071856283</v>
      </c>
      <c r="BD38">
        <v>0.84340000000000004</v>
      </c>
      <c r="BE38">
        <v>0.75480000000000003</v>
      </c>
    </row>
    <row r="39" spans="1:57" x14ac:dyDescent="0.35">
      <c r="A39" t="s">
        <v>652</v>
      </c>
      <c r="B39" t="s">
        <v>653</v>
      </c>
      <c r="C39" t="s">
        <v>548</v>
      </c>
      <c r="D39" t="s">
        <v>549</v>
      </c>
      <c r="E39" t="s">
        <v>551</v>
      </c>
      <c r="F39" t="s">
        <v>123</v>
      </c>
      <c r="G39" t="s">
        <v>558</v>
      </c>
      <c r="H39">
        <v>1171</v>
      </c>
      <c r="I39">
        <v>-6.9200321995925426E-3</v>
      </c>
      <c r="J39">
        <v>1163</v>
      </c>
      <c r="K39">
        <v>2415</v>
      </c>
      <c r="L39">
        <v>451</v>
      </c>
      <c r="M39" t="s">
        <v>590</v>
      </c>
      <c r="N39">
        <v>2.16</v>
      </c>
      <c r="O39">
        <v>2.4</v>
      </c>
      <c r="P39">
        <v>81.099999999999994</v>
      </c>
      <c r="Q39">
        <v>23.4</v>
      </c>
      <c r="R39">
        <v>3</v>
      </c>
      <c r="S39">
        <v>9.1300000000000006E-2</v>
      </c>
      <c r="T39">
        <v>7.4000000000000003E-3</v>
      </c>
      <c r="U39">
        <v>0.93410000000000004</v>
      </c>
      <c r="AH39">
        <v>868.13</v>
      </c>
      <c r="AI39">
        <v>38.25</v>
      </c>
      <c r="AJ39">
        <v>46.27</v>
      </c>
      <c r="AK39">
        <v>81.180000000000007</v>
      </c>
      <c r="AL39">
        <v>1033.83</v>
      </c>
      <c r="AM39">
        <v>0.20065815853383581</v>
      </c>
      <c r="AN39">
        <v>1293.3499999999999</v>
      </c>
      <c r="AO39">
        <v>259.52</v>
      </c>
      <c r="AP39">
        <v>0.20069999999999999</v>
      </c>
      <c r="AQ39">
        <v>0.79930000000000001</v>
      </c>
      <c r="AR39">
        <v>41206</v>
      </c>
      <c r="AS39">
        <v>3434</v>
      </c>
      <c r="AT39">
        <v>0.08</v>
      </c>
      <c r="AU39">
        <v>39242</v>
      </c>
      <c r="AV39">
        <v>39242</v>
      </c>
      <c r="AW39">
        <v>39535</v>
      </c>
      <c r="AX39">
        <v>1558</v>
      </c>
      <c r="AY39">
        <v>62.32</v>
      </c>
      <c r="AZ39">
        <v>0.84340000000000004</v>
      </c>
      <c r="BA39">
        <v>142.25</v>
      </c>
      <c r="BB39">
        <v>0.99260000000000004</v>
      </c>
      <c r="BC39">
        <v>0.90000000000000013</v>
      </c>
      <c r="BD39">
        <v>0.8498</v>
      </c>
      <c r="BE39">
        <v>0.75919999999999999</v>
      </c>
    </row>
    <row r="40" spans="1:57" x14ac:dyDescent="0.35">
      <c r="A40" t="s">
        <v>654</v>
      </c>
      <c r="B40" t="s">
        <v>655</v>
      </c>
      <c r="C40" t="s">
        <v>548</v>
      </c>
      <c r="D40" t="s">
        <v>556</v>
      </c>
      <c r="E40" t="s">
        <v>557</v>
      </c>
      <c r="F40" t="s">
        <v>123</v>
      </c>
      <c r="G40" t="s">
        <v>566</v>
      </c>
      <c r="H40">
        <v>2536</v>
      </c>
      <c r="I40">
        <v>8.3605875933130749E-2</v>
      </c>
      <c r="J40">
        <v>2748</v>
      </c>
      <c r="K40">
        <v>6054</v>
      </c>
      <c r="L40">
        <v>1035</v>
      </c>
      <c r="M40" t="s">
        <v>656</v>
      </c>
      <c r="N40">
        <v>2.57</v>
      </c>
      <c r="O40">
        <v>2.96</v>
      </c>
      <c r="P40">
        <v>31</v>
      </c>
      <c r="Q40">
        <v>33.799999999999997</v>
      </c>
      <c r="R40">
        <v>2</v>
      </c>
      <c r="S40">
        <v>4.6800000000000001E-2</v>
      </c>
      <c r="T40">
        <v>1.84E-2</v>
      </c>
      <c r="U40">
        <v>0.83030000000000004</v>
      </c>
      <c r="AH40">
        <v>371.39</v>
      </c>
      <c r="AI40">
        <v>18.690000000000001</v>
      </c>
      <c r="AJ40">
        <v>83.43</v>
      </c>
      <c r="AK40">
        <v>38.57</v>
      </c>
      <c r="AL40">
        <v>512.08000000000004</v>
      </c>
      <c r="AM40">
        <v>0.29689646777735051</v>
      </c>
      <c r="AN40">
        <v>728.31</v>
      </c>
      <c r="AO40">
        <v>216.23</v>
      </c>
      <c r="AP40">
        <v>0.2969</v>
      </c>
      <c r="AQ40">
        <v>0.70309999999999995</v>
      </c>
      <c r="AR40">
        <v>44031</v>
      </c>
      <c r="AS40">
        <v>3669</v>
      </c>
      <c r="AT40">
        <v>0.2356</v>
      </c>
      <c r="AU40">
        <v>39012</v>
      </c>
      <c r="AV40">
        <v>39012</v>
      </c>
      <c r="AW40">
        <v>39743</v>
      </c>
      <c r="AX40">
        <v>2551</v>
      </c>
      <c r="AY40">
        <v>125.85</v>
      </c>
      <c r="AZ40">
        <v>0.87060000000000004</v>
      </c>
      <c r="BA40">
        <v>119.39</v>
      </c>
      <c r="BB40">
        <v>0.98160000000000003</v>
      </c>
      <c r="BC40">
        <v>0.8682432432432432</v>
      </c>
      <c r="BD40">
        <v>0.85910000000000009</v>
      </c>
      <c r="BE40">
        <v>0.73219999999999996</v>
      </c>
    </row>
    <row r="41" spans="1:57" x14ac:dyDescent="0.35">
      <c r="A41" t="s">
        <v>657</v>
      </c>
      <c r="B41" t="s">
        <v>658</v>
      </c>
      <c r="C41" t="s">
        <v>573</v>
      </c>
      <c r="D41" t="s">
        <v>556</v>
      </c>
      <c r="E41" t="s">
        <v>557</v>
      </c>
      <c r="F41" t="s">
        <v>123</v>
      </c>
      <c r="G41" t="s">
        <v>566</v>
      </c>
      <c r="H41">
        <v>1046</v>
      </c>
      <c r="I41">
        <v>0.1069750973727269</v>
      </c>
      <c r="J41">
        <v>1158</v>
      </c>
      <c r="K41">
        <v>17531</v>
      </c>
      <c r="L41">
        <v>1962</v>
      </c>
      <c r="M41" t="s">
        <v>590</v>
      </c>
      <c r="N41">
        <v>8.74</v>
      </c>
      <c r="O41">
        <v>10.37</v>
      </c>
      <c r="P41">
        <v>27.3</v>
      </c>
      <c r="Q41">
        <v>39</v>
      </c>
      <c r="R41">
        <v>1</v>
      </c>
      <c r="S41">
        <v>3.3700000000000001E-2</v>
      </c>
      <c r="T41">
        <v>2.2100000000000002E-2</v>
      </c>
      <c r="U41">
        <v>0.83420000000000005</v>
      </c>
      <c r="AH41">
        <v>611.29999999999995</v>
      </c>
      <c r="AI41">
        <v>16.77</v>
      </c>
      <c r="AJ41">
        <v>215.43</v>
      </c>
      <c r="AK41">
        <v>76.77</v>
      </c>
      <c r="AL41">
        <v>920.27</v>
      </c>
      <c r="AM41">
        <v>0.32528489860436838</v>
      </c>
      <c r="AN41">
        <v>1363.94</v>
      </c>
      <c r="AO41">
        <v>443.67</v>
      </c>
      <c r="AP41">
        <v>0.32529999999999998</v>
      </c>
      <c r="AQ41">
        <v>0.67469999999999997</v>
      </c>
      <c r="AR41">
        <v>95982</v>
      </c>
      <c r="AS41">
        <v>7998</v>
      </c>
      <c r="AT41">
        <v>0.2235</v>
      </c>
      <c r="AU41">
        <v>80413</v>
      </c>
      <c r="AV41">
        <v>80413</v>
      </c>
      <c r="AW41">
        <v>82230</v>
      </c>
      <c r="AX41">
        <v>3242</v>
      </c>
      <c r="AY41">
        <v>560.33000000000004</v>
      </c>
      <c r="AZ41">
        <v>0.84340000000000004</v>
      </c>
      <c r="BA41">
        <v>109.26</v>
      </c>
      <c r="BB41">
        <v>0.97789999999999999</v>
      </c>
      <c r="BC41">
        <v>0.84281581485053048</v>
      </c>
      <c r="BD41">
        <v>0.8498</v>
      </c>
      <c r="BE41">
        <v>0.70040000000000002</v>
      </c>
    </row>
    <row r="42" spans="1:57" x14ac:dyDescent="0.35">
      <c r="A42" t="s">
        <v>659</v>
      </c>
      <c r="B42" t="s">
        <v>660</v>
      </c>
      <c r="C42" t="s">
        <v>573</v>
      </c>
      <c r="D42" t="s">
        <v>549</v>
      </c>
      <c r="E42" t="s">
        <v>557</v>
      </c>
      <c r="F42" t="s">
        <v>123</v>
      </c>
      <c r="G42" t="s">
        <v>566</v>
      </c>
      <c r="H42">
        <v>212</v>
      </c>
      <c r="I42">
        <v>9.9319520563857636E-2</v>
      </c>
      <c r="J42">
        <v>233</v>
      </c>
      <c r="K42">
        <v>4852</v>
      </c>
      <c r="L42">
        <v>1337</v>
      </c>
      <c r="M42" t="s">
        <v>649</v>
      </c>
      <c r="N42">
        <v>3.88</v>
      </c>
      <c r="O42">
        <v>4.09</v>
      </c>
      <c r="P42">
        <v>48.3</v>
      </c>
      <c r="Q42">
        <v>37.6</v>
      </c>
      <c r="R42">
        <v>2</v>
      </c>
      <c r="S42">
        <v>3.5200000000000002E-2</v>
      </c>
      <c r="T42">
        <v>4.8999999999999998E-3</v>
      </c>
      <c r="U42">
        <v>0.88290000000000002</v>
      </c>
      <c r="AH42">
        <v>710.88</v>
      </c>
      <c r="AI42">
        <v>11.52</v>
      </c>
      <c r="AJ42">
        <v>81.62</v>
      </c>
      <c r="AK42">
        <v>75.37</v>
      </c>
      <c r="AL42">
        <v>879.39</v>
      </c>
      <c r="AM42">
        <v>0.32002797136174321</v>
      </c>
      <c r="AN42">
        <v>1293.27</v>
      </c>
      <c r="AO42">
        <v>413.88</v>
      </c>
      <c r="AP42">
        <v>0.32</v>
      </c>
      <c r="AQ42">
        <v>0.68</v>
      </c>
      <c r="AR42">
        <v>66683</v>
      </c>
      <c r="AS42">
        <v>5557</v>
      </c>
      <c r="AT42">
        <v>0.20619999999999999</v>
      </c>
      <c r="AU42">
        <v>63168</v>
      </c>
      <c r="AV42">
        <v>63168</v>
      </c>
      <c r="AW42">
        <v>63479</v>
      </c>
      <c r="AX42">
        <v>1755</v>
      </c>
      <c r="AY42">
        <v>119.63</v>
      </c>
      <c r="AZ42">
        <v>0.85880000000000001</v>
      </c>
      <c r="BA42">
        <v>61.78</v>
      </c>
      <c r="BB42">
        <v>0.99509999999999998</v>
      </c>
      <c r="BC42">
        <v>0.94865525672371642</v>
      </c>
      <c r="BD42">
        <v>0.84340000000000004</v>
      </c>
      <c r="BE42">
        <v>0.79620000000000002</v>
      </c>
    </row>
    <row r="43" spans="1:57" x14ac:dyDescent="0.35">
      <c r="A43" t="s">
        <v>661</v>
      </c>
      <c r="B43" t="s">
        <v>662</v>
      </c>
      <c r="C43" t="s">
        <v>562</v>
      </c>
      <c r="D43" t="s">
        <v>549</v>
      </c>
      <c r="E43" t="s">
        <v>557</v>
      </c>
      <c r="F43" t="s">
        <v>123</v>
      </c>
      <c r="G43" t="s">
        <v>551</v>
      </c>
      <c r="H43">
        <v>885</v>
      </c>
      <c r="I43">
        <v>0.13686773453343909</v>
      </c>
      <c r="J43">
        <v>1006</v>
      </c>
      <c r="K43">
        <v>6651</v>
      </c>
      <c r="L43">
        <v>828</v>
      </c>
      <c r="M43" t="s">
        <v>632</v>
      </c>
      <c r="N43">
        <v>9.57</v>
      </c>
      <c r="O43">
        <v>10.35</v>
      </c>
      <c r="P43">
        <v>20.399999999999999</v>
      </c>
      <c r="Q43">
        <v>14.9</v>
      </c>
      <c r="R43">
        <v>2</v>
      </c>
      <c r="S43">
        <v>5.6300000000000003E-2</v>
      </c>
      <c r="T43">
        <v>2.7400000000000001E-2</v>
      </c>
      <c r="U43">
        <v>0.85150000000000003</v>
      </c>
      <c r="AH43">
        <v>886.09</v>
      </c>
      <c r="AI43">
        <v>24.72</v>
      </c>
      <c r="AJ43">
        <v>125.33</v>
      </c>
      <c r="AK43">
        <v>57.01</v>
      </c>
      <c r="AL43">
        <v>1093.1500000000001</v>
      </c>
      <c r="AM43">
        <v>0.25203792271667452</v>
      </c>
      <c r="AN43">
        <v>1461.5</v>
      </c>
      <c r="AO43">
        <v>368.35</v>
      </c>
      <c r="AP43">
        <v>0.252</v>
      </c>
      <c r="AQ43">
        <v>0.748</v>
      </c>
      <c r="AR43">
        <v>47618</v>
      </c>
      <c r="AS43">
        <v>3968</v>
      </c>
      <c r="AT43">
        <v>0.1085</v>
      </c>
      <c r="AU43">
        <v>41795</v>
      </c>
      <c r="AV43">
        <v>41795</v>
      </c>
      <c r="AW43">
        <v>42972</v>
      </c>
      <c r="AX43">
        <v>3115</v>
      </c>
      <c r="AY43">
        <v>537.34</v>
      </c>
      <c r="AZ43">
        <v>0.96220000000000006</v>
      </c>
      <c r="BA43">
        <v>175.37</v>
      </c>
      <c r="BB43">
        <v>0.97260000000000002</v>
      </c>
      <c r="BC43">
        <v>0.92463768115942035</v>
      </c>
      <c r="BD43">
        <v>0.86359999999999992</v>
      </c>
      <c r="BE43">
        <v>0.77659999999999996</v>
      </c>
    </row>
    <row r="44" spans="1:57" x14ac:dyDescent="0.35">
      <c r="A44" t="s">
        <v>663</v>
      </c>
      <c r="B44" t="s">
        <v>664</v>
      </c>
      <c r="C44" t="s">
        <v>555</v>
      </c>
      <c r="D44" t="s">
        <v>549</v>
      </c>
      <c r="E44" t="s">
        <v>550</v>
      </c>
      <c r="F44" t="s">
        <v>123</v>
      </c>
      <c r="G44" t="s">
        <v>551</v>
      </c>
      <c r="H44">
        <v>773</v>
      </c>
      <c r="I44">
        <v>6.1853091705863658E-2</v>
      </c>
      <c r="J44">
        <v>821</v>
      </c>
      <c r="K44">
        <v>2202</v>
      </c>
      <c r="L44">
        <v>224</v>
      </c>
      <c r="M44" t="s">
        <v>614</v>
      </c>
      <c r="N44">
        <v>11.61</v>
      </c>
      <c r="O44">
        <v>12.23</v>
      </c>
      <c r="P44">
        <v>66.5</v>
      </c>
      <c r="Q44">
        <v>61.1</v>
      </c>
      <c r="R44">
        <v>4</v>
      </c>
      <c r="S44">
        <v>0.373</v>
      </c>
      <c r="T44">
        <v>1.7999999999999999E-2</v>
      </c>
      <c r="U44">
        <v>0.84450000000000003</v>
      </c>
      <c r="AH44">
        <v>630.79</v>
      </c>
      <c r="AI44">
        <v>142.06</v>
      </c>
      <c r="AJ44">
        <v>282.95</v>
      </c>
      <c r="AK44">
        <v>103.24</v>
      </c>
      <c r="AL44">
        <v>1159.04</v>
      </c>
      <c r="AM44">
        <v>0.15384872292282711</v>
      </c>
      <c r="AN44">
        <v>1369.78</v>
      </c>
      <c r="AO44">
        <v>210.74</v>
      </c>
      <c r="AP44">
        <v>0.15379999999999999</v>
      </c>
      <c r="AQ44">
        <v>0.84619999999999995</v>
      </c>
      <c r="AR44">
        <v>14706</v>
      </c>
      <c r="AS44">
        <v>1226</v>
      </c>
      <c r="AT44">
        <v>0.10050000000000001</v>
      </c>
      <c r="AU44">
        <v>12728</v>
      </c>
      <c r="AV44">
        <v>12728</v>
      </c>
      <c r="AW44">
        <v>12961</v>
      </c>
      <c r="AX44">
        <v>999</v>
      </c>
      <c r="AY44">
        <v>203.63</v>
      </c>
      <c r="AZ44">
        <v>0.92549999999999999</v>
      </c>
      <c r="BA44">
        <v>372.63</v>
      </c>
      <c r="BB44">
        <v>0.98199999999999998</v>
      </c>
      <c r="BC44">
        <v>0.94930498773507754</v>
      </c>
      <c r="BD44">
        <v>0.86540000000000006</v>
      </c>
      <c r="BE44">
        <v>0.80669999999999997</v>
      </c>
    </row>
    <row r="45" spans="1:57" x14ac:dyDescent="0.35">
      <c r="A45" t="s">
        <v>665</v>
      </c>
      <c r="B45" t="s">
        <v>666</v>
      </c>
      <c r="C45" t="s">
        <v>555</v>
      </c>
      <c r="D45" t="s">
        <v>556</v>
      </c>
      <c r="E45" t="s">
        <v>551</v>
      </c>
      <c r="F45" t="s">
        <v>123</v>
      </c>
      <c r="G45" t="s">
        <v>628</v>
      </c>
      <c r="H45">
        <v>730</v>
      </c>
      <c r="I45">
        <v>-2.7698917821985952E-2</v>
      </c>
      <c r="J45">
        <v>710</v>
      </c>
      <c r="K45">
        <v>4464</v>
      </c>
      <c r="L45">
        <v>408</v>
      </c>
      <c r="M45" t="s">
        <v>590</v>
      </c>
      <c r="N45">
        <v>13.11</v>
      </c>
      <c r="O45">
        <v>14.87</v>
      </c>
      <c r="P45">
        <v>74.900000000000006</v>
      </c>
      <c r="Q45">
        <v>53.5</v>
      </c>
      <c r="R45">
        <v>2</v>
      </c>
      <c r="S45">
        <v>0.15490000000000001</v>
      </c>
      <c r="T45">
        <v>4.8999999999999998E-3</v>
      </c>
      <c r="U45">
        <v>0.91610000000000003</v>
      </c>
      <c r="AH45">
        <v>284.45</v>
      </c>
      <c r="AI45">
        <v>59.74</v>
      </c>
      <c r="AJ45">
        <v>393.19</v>
      </c>
      <c r="AK45">
        <v>49.36</v>
      </c>
      <c r="AL45">
        <v>786.74</v>
      </c>
      <c r="AM45">
        <v>0.2957315142010658</v>
      </c>
      <c r="AN45">
        <v>1117.0999999999999</v>
      </c>
      <c r="AO45">
        <v>330.36</v>
      </c>
      <c r="AP45">
        <v>0.29570000000000002</v>
      </c>
      <c r="AQ45">
        <v>0.70430000000000004</v>
      </c>
      <c r="AR45">
        <v>39535</v>
      </c>
      <c r="AS45">
        <v>3295</v>
      </c>
      <c r="AT45">
        <v>9.1499999999999998E-2</v>
      </c>
      <c r="AU45">
        <v>35479</v>
      </c>
      <c r="AV45">
        <v>35479</v>
      </c>
      <c r="AW45">
        <v>35654</v>
      </c>
      <c r="AX45">
        <v>1405</v>
      </c>
      <c r="AY45">
        <v>348.21</v>
      </c>
      <c r="AZ45">
        <v>0.84340000000000004</v>
      </c>
      <c r="BA45">
        <v>217.63</v>
      </c>
      <c r="BB45">
        <v>0.99509999999999998</v>
      </c>
      <c r="BC45">
        <v>0.88164088769334226</v>
      </c>
      <c r="BD45">
        <v>0.8498</v>
      </c>
      <c r="BE45">
        <v>0.74550000000000005</v>
      </c>
    </row>
    <row r="46" spans="1:57" x14ac:dyDescent="0.35">
      <c r="A46" t="s">
        <v>667</v>
      </c>
      <c r="B46" t="s">
        <v>668</v>
      </c>
      <c r="C46" t="s">
        <v>555</v>
      </c>
      <c r="D46" t="s">
        <v>556</v>
      </c>
      <c r="E46" t="s">
        <v>551</v>
      </c>
      <c r="F46" t="s">
        <v>123</v>
      </c>
      <c r="G46" t="s">
        <v>551</v>
      </c>
      <c r="H46">
        <v>645</v>
      </c>
      <c r="I46">
        <v>-2.826992797814408E-2</v>
      </c>
      <c r="J46">
        <v>627</v>
      </c>
      <c r="K46">
        <v>7375</v>
      </c>
      <c r="L46">
        <v>1332</v>
      </c>
      <c r="M46" t="s">
        <v>601</v>
      </c>
      <c r="N46">
        <v>14.38</v>
      </c>
      <c r="O46">
        <v>15.56</v>
      </c>
      <c r="P46">
        <v>72.3</v>
      </c>
      <c r="Q46">
        <v>57.1</v>
      </c>
      <c r="R46">
        <v>4</v>
      </c>
      <c r="S46">
        <v>9.0200000000000002E-2</v>
      </c>
      <c r="T46">
        <v>1.18E-2</v>
      </c>
      <c r="U46">
        <v>0.91720000000000002</v>
      </c>
      <c r="AH46">
        <v>309.5</v>
      </c>
      <c r="AI46">
        <v>40.01</v>
      </c>
      <c r="AJ46">
        <v>273.99</v>
      </c>
      <c r="AK46">
        <v>62.33</v>
      </c>
      <c r="AL46">
        <v>685.83</v>
      </c>
      <c r="AM46">
        <v>0.21327538479490221</v>
      </c>
      <c r="AN46">
        <v>871.75</v>
      </c>
      <c r="AO46">
        <v>185.92</v>
      </c>
      <c r="AP46">
        <v>0.21329999999999999</v>
      </c>
      <c r="AQ46">
        <v>0.78669999999999995</v>
      </c>
      <c r="AR46">
        <v>47528</v>
      </c>
      <c r="AS46">
        <v>3961</v>
      </c>
      <c r="AT46">
        <v>0.2031</v>
      </c>
      <c r="AU46">
        <v>41485</v>
      </c>
      <c r="AV46">
        <v>41485</v>
      </c>
      <c r="AW46">
        <v>41980</v>
      </c>
      <c r="AX46">
        <v>1388</v>
      </c>
      <c r="AY46">
        <v>359.95</v>
      </c>
      <c r="AZ46">
        <v>0.85140000000000005</v>
      </c>
      <c r="BA46">
        <v>125.2</v>
      </c>
      <c r="BB46">
        <v>0.98819999999999997</v>
      </c>
      <c r="BC46">
        <v>0.9241645244215938</v>
      </c>
      <c r="BD46">
        <v>0.86569999999999991</v>
      </c>
      <c r="BE46">
        <v>0.79059999999999997</v>
      </c>
    </row>
    <row r="47" spans="1:57" x14ac:dyDescent="0.35">
      <c r="A47" t="s">
        <v>669</v>
      </c>
      <c r="B47" t="s">
        <v>670</v>
      </c>
      <c r="C47" t="s">
        <v>562</v>
      </c>
      <c r="D47" t="s">
        <v>549</v>
      </c>
      <c r="E47" t="s">
        <v>551</v>
      </c>
      <c r="F47" t="s">
        <v>123</v>
      </c>
      <c r="G47" t="s">
        <v>566</v>
      </c>
      <c r="H47">
        <v>1017</v>
      </c>
      <c r="I47">
        <v>0.17491184928625311</v>
      </c>
      <c r="J47">
        <v>1195</v>
      </c>
      <c r="K47">
        <v>5999</v>
      </c>
      <c r="L47">
        <v>1638</v>
      </c>
      <c r="M47" t="s">
        <v>614</v>
      </c>
      <c r="N47">
        <v>17.899999999999999</v>
      </c>
      <c r="O47">
        <v>19.43</v>
      </c>
      <c r="P47">
        <v>74.3</v>
      </c>
      <c r="Q47">
        <v>32.299999999999997</v>
      </c>
      <c r="R47">
        <v>2</v>
      </c>
      <c r="S47">
        <v>6.88E-2</v>
      </c>
      <c r="T47">
        <v>5.7000000000000002E-3</v>
      </c>
      <c r="U47">
        <v>0.94840000000000002</v>
      </c>
      <c r="AH47">
        <v>1708.37</v>
      </c>
      <c r="AI47">
        <v>30.17</v>
      </c>
      <c r="AJ47">
        <v>495.7</v>
      </c>
      <c r="AK47">
        <v>240.35</v>
      </c>
      <c r="AL47">
        <v>2474.59</v>
      </c>
      <c r="AM47">
        <v>0.26256356153572258</v>
      </c>
      <c r="AN47">
        <v>3355.67</v>
      </c>
      <c r="AO47">
        <v>881.08</v>
      </c>
      <c r="AP47">
        <v>0.2626</v>
      </c>
      <c r="AQ47">
        <v>0.73740000000000006</v>
      </c>
      <c r="AR47">
        <v>53751</v>
      </c>
      <c r="AS47">
        <v>4479</v>
      </c>
      <c r="AT47">
        <v>0.2379</v>
      </c>
      <c r="AU47">
        <v>49390</v>
      </c>
      <c r="AV47">
        <v>49390</v>
      </c>
      <c r="AW47">
        <v>49673</v>
      </c>
      <c r="AX47">
        <v>3829</v>
      </c>
      <c r="AY47">
        <v>1239.96</v>
      </c>
      <c r="AZ47">
        <v>0.92549999999999999</v>
      </c>
      <c r="BA47">
        <v>263.44</v>
      </c>
      <c r="BB47">
        <v>0.99429999999999996</v>
      </c>
      <c r="BC47">
        <v>0.92125579001544</v>
      </c>
      <c r="BD47">
        <v>0.86540000000000006</v>
      </c>
      <c r="BE47">
        <v>0.79269999999999996</v>
      </c>
    </row>
    <row r="48" spans="1:57" x14ac:dyDescent="0.35">
      <c r="A48" t="s">
        <v>671</v>
      </c>
      <c r="B48" t="s">
        <v>672</v>
      </c>
      <c r="C48" t="s">
        <v>555</v>
      </c>
      <c r="D48" t="s">
        <v>556</v>
      </c>
      <c r="E48" t="s">
        <v>557</v>
      </c>
      <c r="F48" t="s">
        <v>123</v>
      </c>
      <c r="G48" t="s">
        <v>558</v>
      </c>
      <c r="H48">
        <v>1276</v>
      </c>
      <c r="I48">
        <v>-1.1785215203917E-2</v>
      </c>
      <c r="J48">
        <v>1261</v>
      </c>
      <c r="K48">
        <v>6733</v>
      </c>
      <c r="L48">
        <v>1147</v>
      </c>
      <c r="M48" t="s">
        <v>590</v>
      </c>
      <c r="N48">
        <v>4.1399999999999997</v>
      </c>
      <c r="O48">
        <v>4.3099999999999996</v>
      </c>
      <c r="P48">
        <v>26.9</v>
      </c>
      <c r="Q48">
        <v>34.4</v>
      </c>
      <c r="R48">
        <v>1</v>
      </c>
      <c r="S48">
        <v>1.72E-2</v>
      </c>
      <c r="T48">
        <v>1.8100000000000002E-2</v>
      </c>
      <c r="U48">
        <v>0.87519999999999998</v>
      </c>
      <c r="AH48">
        <v>617.19000000000005</v>
      </c>
      <c r="AI48">
        <v>8.57</v>
      </c>
      <c r="AJ48">
        <v>126.24</v>
      </c>
      <c r="AK48">
        <v>79.92</v>
      </c>
      <c r="AL48">
        <v>831.92</v>
      </c>
      <c r="AM48">
        <v>0.3893952537709543</v>
      </c>
      <c r="AN48">
        <v>1362.45</v>
      </c>
      <c r="AO48">
        <v>530.53</v>
      </c>
      <c r="AP48">
        <v>0.38940000000000002</v>
      </c>
      <c r="AQ48">
        <v>0.61060000000000003</v>
      </c>
      <c r="AR48">
        <v>53569</v>
      </c>
      <c r="AS48">
        <v>4464</v>
      </c>
      <c r="AT48">
        <v>0.1532</v>
      </c>
      <c r="AU48">
        <v>47983</v>
      </c>
      <c r="AV48">
        <v>47983</v>
      </c>
      <c r="AW48">
        <v>48868</v>
      </c>
      <c r="AX48">
        <v>1926</v>
      </c>
      <c r="AY48">
        <v>138.35</v>
      </c>
      <c r="AZ48">
        <v>0.84340000000000004</v>
      </c>
      <c r="BA48">
        <v>33.130000000000003</v>
      </c>
      <c r="BB48">
        <v>0.9819</v>
      </c>
      <c r="BC48">
        <v>0.96055684454756385</v>
      </c>
      <c r="BD48">
        <v>0.8498</v>
      </c>
      <c r="BE48">
        <v>0.80149999999999999</v>
      </c>
    </row>
    <row r="49" spans="1:57" x14ac:dyDescent="0.35">
      <c r="A49" t="s">
        <v>673</v>
      </c>
      <c r="B49" t="s">
        <v>674</v>
      </c>
      <c r="C49" t="s">
        <v>548</v>
      </c>
      <c r="D49" t="s">
        <v>556</v>
      </c>
      <c r="E49" t="s">
        <v>557</v>
      </c>
      <c r="F49" t="s">
        <v>123</v>
      </c>
      <c r="G49" t="s">
        <v>566</v>
      </c>
      <c r="H49">
        <v>346</v>
      </c>
      <c r="I49">
        <v>-3.7091130531371787E-2</v>
      </c>
      <c r="J49">
        <v>333</v>
      </c>
      <c r="K49">
        <v>2103</v>
      </c>
      <c r="L49">
        <v>579</v>
      </c>
      <c r="M49" t="s">
        <v>649</v>
      </c>
      <c r="N49">
        <v>3.39</v>
      </c>
      <c r="O49">
        <v>3.69</v>
      </c>
      <c r="P49">
        <v>23.7</v>
      </c>
      <c r="Q49">
        <v>13.2</v>
      </c>
      <c r="R49">
        <v>2</v>
      </c>
      <c r="S49">
        <v>5.1799999999999999E-2</v>
      </c>
      <c r="T49">
        <v>1.95E-2</v>
      </c>
      <c r="U49">
        <v>0.81320000000000003</v>
      </c>
      <c r="AH49">
        <v>255.73</v>
      </c>
      <c r="AI49">
        <v>16.87</v>
      </c>
      <c r="AJ49">
        <v>51.94</v>
      </c>
      <c r="AK49">
        <v>28.78</v>
      </c>
      <c r="AL49">
        <v>353.32</v>
      </c>
      <c r="AM49">
        <v>0.2497588294106087</v>
      </c>
      <c r="AN49">
        <v>470.94</v>
      </c>
      <c r="AO49">
        <v>117.62</v>
      </c>
      <c r="AP49">
        <v>0.24979999999999999</v>
      </c>
      <c r="AQ49">
        <v>0.75019999999999998</v>
      </c>
      <c r="AR49">
        <v>41151</v>
      </c>
      <c r="AS49">
        <v>3429</v>
      </c>
      <c r="AT49">
        <v>0.1003</v>
      </c>
      <c r="AU49">
        <v>39627</v>
      </c>
      <c r="AV49">
        <v>39627</v>
      </c>
      <c r="AW49">
        <v>40415</v>
      </c>
      <c r="AX49">
        <v>1117</v>
      </c>
      <c r="AY49">
        <v>68.7</v>
      </c>
      <c r="AZ49">
        <v>0.85880000000000001</v>
      </c>
      <c r="BA49">
        <v>57.86</v>
      </c>
      <c r="BB49">
        <v>0.98050000000000004</v>
      </c>
      <c r="BC49">
        <v>0.91869918699186992</v>
      </c>
      <c r="BD49">
        <v>0.84340000000000004</v>
      </c>
      <c r="BE49">
        <v>0.75970000000000004</v>
      </c>
    </row>
    <row r="50" spans="1:57" x14ac:dyDescent="0.35">
      <c r="A50" t="s">
        <v>675</v>
      </c>
      <c r="B50" t="s">
        <v>676</v>
      </c>
      <c r="C50" t="s">
        <v>606</v>
      </c>
      <c r="D50" t="s">
        <v>549</v>
      </c>
      <c r="E50" t="s">
        <v>550</v>
      </c>
      <c r="F50" t="s">
        <v>123</v>
      </c>
      <c r="G50" t="s">
        <v>551</v>
      </c>
      <c r="H50">
        <v>434</v>
      </c>
      <c r="I50">
        <v>0.15426801773731999</v>
      </c>
      <c r="J50">
        <v>501</v>
      </c>
      <c r="K50">
        <v>1392</v>
      </c>
      <c r="L50">
        <v>205</v>
      </c>
      <c r="M50" t="s">
        <v>677</v>
      </c>
      <c r="N50">
        <v>10.62</v>
      </c>
      <c r="O50">
        <v>12.5</v>
      </c>
      <c r="P50">
        <v>84.9</v>
      </c>
      <c r="Q50">
        <v>79.3</v>
      </c>
      <c r="R50">
        <v>6</v>
      </c>
      <c r="S50">
        <v>0.38629999999999998</v>
      </c>
      <c r="T50">
        <v>5.1000000000000004E-3</v>
      </c>
      <c r="U50">
        <v>0.84930000000000005</v>
      </c>
      <c r="AH50">
        <v>1377.41</v>
      </c>
      <c r="AI50">
        <v>123.93</v>
      </c>
      <c r="AJ50">
        <v>255.83</v>
      </c>
      <c r="AK50">
        <v>151.84</v>
      </c>
      <c r="AL50">
        <v>1909.01</v>
      </c>
      <c r="AM50">
        <v>0.3599504016661067</v>
      </c>
      <c r="AN50">
        <v>2982.6</v>
      </c>
      <c r="AO50">
        <v>1073.5899999999999</v>
      </c>
      <c r="AP50">
        <v>0.36</v>
      </c>
      <c r="AQ50">
        <v>0.64</v>
      </c>
      <c r="AR50">
        <v>9056</v>
      </c>
      <c r="AS50">
        <v>755</v>
      </c>
      <c r="AT50">
        <v>0.1671</v>
      </c>
      <c r="AU50">
        <v>7869</v>
      </c>
      <c r="AV50">
        <v>7869</v>
      </c>
      <c r="AW50">
        <v>7909</v>
      </c>
      <c r="AX50">
        <v>428</v>
      </c>
      <c r="AY50">
        <v>89.17</v>
      </c>
      <c r="AZ50">
        <v>0.88029999999999997</v>
      </c>
      <c r="BA50">
        <v>165.34</v>
      </c>
      <c r="BB50">
        <v>0.99490000000000001</v>
      </c>
      <c r="BC50">
        <v>0.84959999999999991</v>
      </c>
      <c r="BD50">
        <v>0.86950000000000005</v>
      </c>
      <c r="BE50">
        <v>0.73499999999999999</v>
      </c>
    </row>
    <row r="51" spans="1:57" x14ac:dyDescent="0.35">
      <c r="A51" t="s">
        <v>678</v>
      </c>
      <c r="B51" t="s">
        <v>679</v>
      </c>
      <c r="C51" t="s">
        <v>548</v>
      </c>
      <c r="D51" t="s">
        <v>549</v>
      </c>
      <c r="E51" t="s">
        <v>550</v>
      </c>
      <c r="F51" t="s">
        <v>123</v>
      </c>
      <c r="G51" t="s">
        <v>551</v>
      </c>
      <c r="H51">
        <v>934</v>
      </c>
      <c r="I51">
        <v>0.1596456396756562</v>
      </c>
      <c r="J51">
        <v>1083</v>
      </c>
      <c r="K51">
        <v>792</v>
      </c>
      <c r="L51">
        <v>78</v>
      </c>
      <c r="M51" t="s">
        <v>593</v>
      </c>
      <c r="N51">
        <v>1.37</v>
      </c>
      <c r="O51">
        <v>1.47</v>
      </c>
      <c r="P51">
        <v>52.6</v>
      </c>
      <c r="Q51">
        <v>77.5</v>
      </c>
      <c r="R51">
        <v>3</v>
      </c>
      <c r="S51">
        <v>0.27960000000000002</v>
      </c>
      <c r="T51">
        <v>1.5699999999999999E-2</v>
      </c>
      <c r="U51">
        <v>0.97640000000000005</v>
      </c>
      <c r="AH51">
        <v>768.25</v>
      </c>
      <c r="AI51">
        <v>124.39</v>
      </c>
      <c r="AJ51">
        <v>23.14</v>
      </c>
      <c r="AK51">
        <v>54.95</v>
      </c>
      <c r="AL51">
        <v>970.73</v>
      </c>
      <c r="AM51">
        <v>0.19713515143731281</v>
      </c>
      <c r="AN51">
        <v>1209.08</v>
      </c>
      <c r="AO51">
        <v>238.35</v>
      </c>
      <c r="AP51">
        <v>0.1971</v>
      </c>
      <c r="AQ51">
        <v>0.80289999999999995</v>
      </c>
      <c r="AR51">
        <v>5305</v>
      </c>
      <c r="AS51">
        <v>442</v>
      </c>
      <c r="AT51">
        <v>0.13930000000000001</v>
      </c>
      <c r="AU51">
        <v>4591</v>
      </c>
      <c r="AV51">
        <v>4591</v>
      </c>
      <c r="AW51">
        <v>4664</v>
      </c>
      <c r="AX51">
        <v>694</v>
      </c>
      <c r="AY51">
        <v>17</v>
      </c>
      <c r="AZ51">
        <v>0.85650000000000004</v>
      </c>
      <c r="BA51">
        <v>194.04</v>
      </c>
      <c r="BB51">
        <v>0.98429999999999995</v>
      </c>
      <c r="BC51">
        <v>0.93197278911564629</v>
      </c>
      <c r="BD51">
        <v>0.87629999999999997</v>
      </c>
      <c r="BE51">
        <v>0.80389999999999995</v>
      </c>
    </row>
    <row r="52" spans="1:57" x14ac:dyDescent="0.35">
      <c r="A52" t="s">
        <v>680</v>
      </c>
      <c r="B52" t="s">
        <v>681</v>
      </c>
      <c r="C52" t="s">
        <v>573</v>
      </c>
      <c r="D52" t="s">
        <v>549</v>
      </c>
      <c r="E52" t="s">
        <v>557</v>
      </c>
      <c r="F52" t="s">
        <v>123</v>
      </c>
      <c r="G52" t="s">
        <v>551</v>
      </c>
      <c r="H52">
        <v>500</v>
      </c>
      <c r="I52">
        <v>0.1026550106104081</v>
      </c>
      <c r="J52">
        <v>551</v>
      </c>
      <c r="K52">
        <v>3510</v>
      </c>
      <c r="L52">
        <v>783</v>
      </c>
      <c r="M52" t="s">
        <v>614</v>
      </c>
      <c r="N52">
        <v>1.85</v>
      </c>
      <c r="O52">
        <v>2.12</v>
      </c>
      <c r="P52">
        <v>51.5</v>
      </c>
      <c r="Q52">
        <v>26.9</v>
      </c>
      <c r="R52">
        <v>1</v>
      </c>
      <c r="S52">
        <v>4.4600000000000001E-2</v>
      </c>
      <c r="T52">
        <v>2.07E-2</v>
      </c>
      <c r="U52">
        <v>0.9073</v>
      </c>
      <c r="AH52">
        <v>361.83</v>
      </c>
      <c r="AI52">
        <v>18.54</v>
      </c>
      <c r="AJ52">
        <v>54.82</v>
      </c>
      <c r="AK52">
        <v>45.38</v>
      </c>
      <c r="AL52">
        <v>480.57</v>
      </c>
      <c r="AM52">
        <v>0.31811512450625717</v>
      </c>
      <c r="AN52">
        <v>704.77</v>
      </c>
      <c r="AO52">
        <v>224.2</v>
      </c>
      <c r="AP52">
        <v>0.31809999999999999</v>
      </c>
      <c r="AQ52">
        <v>0.68189999999999995</v>
      </c>
      <c r="AR52">
        <v>62954</v>
      </c>
      <c r="AS52">
        <v>5246</v>
      </c>
      <c r="AT52">
        <v>0.14369999999999999</v>
      </c>
      <c r="AU52">
        <v>60227</v>
      </c>
      <c r="AV52">
        <v>60227</v>
      </c>
      <c r="AW52">
        <v>61500</v>
      </c>
      <c r="AX52">
        <v>4741</v>
      </c>
      <c r="AY52">
        <v>167.52</v>
      </c>
      <c r="AZ52">
        <v>0.92549999999999999</v>
      </c>
      <c r="BA52">
        <v>211.45</v>
      </c>
      <c r="BB52">
        <v>0.97929999999999995</v>
      </c>
      <c r="BC52">
        <v>0.87264150943396224</v>
      </c>
      <c r="BD52">
        <v>0.86540000000000006</v>
      </c>
      <c r="BE52">
        <v>0.73960000000000004</v>
      </c>
    </row>
    <row r="53" spans="1:57" x14ac:dyDescent="0.35">
      <c r="A53" t="s">
        <v>682</v>
      </c>
      <c r="B53" t="s">
        <v>683</v>
      </c>
      <c r="C53" t="s">
        <v>562</v>
      </c>
      <c r="D53" t="s">
        <v>556</v>
      </c>
      <c r="E53" t="s">
        <v>551</v>
      </c>
      <c r="F53" t="s">
        <v>123</v>
      </c>
      <c r="G53" t="s">
        <v>551</v>
      </c>
      <c r="H53">
        <v>1689</v>
      </c>
      <c r="I53">
        <v>6.3566993054774909E-2</v>
      </c>
      <c r="J53">
        <v>1796</v>
      </c>
      <c r="K53">
        <v>1913</v>
      </c>
      <c r="L53">
        <v>409</v>
      </c>
      <c r="M53" t="s">
        <v>587</v>
      </c>
      <c r="N53">
        <v>5.98</v>
      </c>
      <c r="O53">
        <v>6.8</v>
      </c>
      <c r="P53">
        <v>33.4</v>
      </c>
      <c r="Q53">
        <v>27</v>
      </c>
      <c r="R53">
        <v>3</v>
      </c>
      <c r="S53">
        <v>0.15060000000000001</v>
      </c>
      <c r="T53">
        <v>2.35E-2</v>
      </c>
      <c r="U53">
        <v>0.92779999999999996</v>
      </c>
      <c r="AH53">
        <v>850.94</v>
      </c>
      <c r="AI53">
        <v>53.44</v>
      </c>
      <c r="AJ53">
        <v>146.55000000000001</v>
      </c>
      <c r="AK53">
        <v>72.510000000000005</v>
      </c>
      <c r="AL53">
        <v>1123.44</v>
      </c>
      <c r="AM53">
        <v>0.39425173860973578</v>
      </c>
      <c r="AN53">
        <v>1854.63</v>
      </c>
      <c r="AO53">
        <v>731.19</v>
      </c>
      <c r="AP53">
        <v>0.39429999999999998</v>
      </c>
      <c r="AQ53">
        <v>0.60570000000000002</v>
      </c>
      <c r="AR53">
        <v>18178</v>
      </c>
      <c r="AS53">
        <v>1515</v>
      </c>
      <c r="AT53">
        <v>0.18559999999999999</v>
      </c>
      <c r="AU53">
        <v>16674</v>
      </c>
      <c r="AV53">
        <v>16674</v>
      </c>
      <c r="AW53">
        <v>17075</v>
      </c>
      <c r="AX53">
        <v>2472</v>
      </c>
      <c r="AY53">
        <v>280.16000000000003</v>
      </c>
      <c r="AZ53">
        <v>0.92379999999999995</v>
      </c>
      <c r="BA53">
        <v>372.28</v>
      </c>
      <c r="BB53">
        <v>0.97650000000000003</v>
      </c>
      <c r="BC53">
        <v>0.87941176470588245</v>
      </c>
      <c r="BD53">
        <v>0.87459999999999993</v>
      </c>
      <c r="BE53">
        <v>0.75109999999999999</v>
      </c>
    </row>
    <row r="54" spans="1:57" x14ac:dyDescent="0.35">
      <c r="A54" t="s">
        <v>684</v>
      </c>
      <c r="B54" t="s">
        <v>685</v>
      </c>
      <c r="C54" t="s">
        <v>562</v>
      </c>
      <c r="D54" t="s">
        <v>556</v>
      </c>
      <c r="E54" t="s">
        <v>551</v>
      </c>
      <c r="F54" t="s">
        <v>123</v>
      </c>
      <c r="G54" t="s">
        <v>628</v>
      </c>
      <c r="H54">
        <v>1328</v>
      </c>
      <c r="I54">
        <v>0.14005696497242159</v>
      </c>
      <c r="J54">
        <v>1514</v>
      </c>
      <c r="K54">
        <v>9219</v>
      </c>
      <c r="L54">
        <v>1492</v>
      </c>
      <c r="M54" t="s">
        <v>622</v>
      </c>
      <c r="N54">
        <v>8.77</v>
      </c>
      <c r="O54">
        <v>10.32</v>
      </c>
      <c r="P54">
        <v>72.400000000000006</v>
      </c>
      <c r="Q54">
        <v>48.5</v>
      </c>
      <c r="R54">
        <v>3</v>
      </c>
      <c r="S54">
        <v>0.12520000000000001</v>
      </c>
      <c r="T54">
        <v>1.38E-2</v>
      </c>
      <c r="U54">
        <v>0.80130000000000001</v>
      </c>
      <c r="AH54">
        <v>330.94</v>
      </c>
      <c r="AI54">
        <v>39.549999999999997</v>
      </c>
      <c r="AJ54">
        <v>234.18</v>
      </c>
      <c r="AK54">
        <v>51.26</v>
      </c>
      <c r="AL54">
        <v>655.93</v>
      </c>
      <c r="AM54">
        <v>0.17547327521823419</v>
      </c>
      <c r="AN54">
        <v>795.52</v>
      </c>
      <c r="AO54">
        <v>139.59</v>
      </c>
      <c r="AP54">
        <v>0.17549999999999999</v>
      </c>
      <c r="AQ54">
        <v>0.82450000000000001</v>
      </c>
      <c r="AR54">
        <v>46831</v>
      </c>
      <c r="AS54">
        <v>3903</v>
      </c>
      <c r="AT54">
        <v>0.20219999999999999</v>
      </c>
      <c r="AU54">
        <v>39104</v>
      </c>
      <c r="AV54">
        <v>39104</v>
      </c>
      <c r="AW54">
        <v>39651</v>
      </c>
      <c r="AX54">
        <v>2093</v>
      </c>
      <c r="AY54">
        <v>360</v>
      </c>
      <c r="AZ54">
        <v>0.95799999999999996</v>
      </c>
      <c r="BA54">
        <v>262.04000000000002</v>
      </c>
      <c r="BB54">
        <v>0.98619999999999997</v>
      </c>
      <c r="BC54">
        <v>0.84980620155038755</v>
      </c>
      <c r="BD54">
        <v>0.8538</v>
      </c>
      <c r="BE54">
        <v>0.71560000000000001</v>
      </c>
    </row>
    <row r="55" spans="1:57" x14ac:dyDescent="0.35">
      <c r="A55" t="s">
        <v>686</v>
      </c>
      <c r="B55" t="s">
        <v>687</v>
      </c>
      <c r="C55" t="s">
        <v>562</v>
      </c>
      <c r="D55" t="s">
        <v>556</v>
      </c>
      <c r="E55" t="s">
        <v>557</v>
      </c>
      <c r="F55" t="s">
        <v>123</v>
      </c>
      <c r="G55" t="s">
        <v>558</v>
      </c>
      <c r="H55">
        <v>335</v>
      </c>
      <c r="I55">
        <v>5.2129573233979223E-2</v>
      </c>
      <c r="J55">
        <v>352</v>
      </c>
      <c r="K55">
        <v>11036</v>
      </c>
      <c r="L55">
        <v>1261</v>
      </c>
      <c r="M55" t="s">
        <v>590</v>
      </c>
      <c r="N55">
        <v>11.2</v>
      </c>
      <c r="O55">
        <v>11.79</v>
      </c>
      <c r="P55">
        <v>55.4</v>
      </c>
      <c r="Q55">
        <v>30.4</v>
      </c>
      <c r="R55">
        <v>2</v>
      </c>
      <c r="S55">
        <v>3.95E-2</v>
      </c>
      <c r="T55">
        <v>2.3900000000000001E-2</v>
      </c>
      <c r="U55">
        <v>0.89329999999999998</v>
      </c>
      <c r="AH55">
        <v>263.93</v>
      </c>
      <c r="AI55">
        <v>12.53</v>
      </c>
      <c r="AJ55">
        <v>306.05</v>
      </c>
      <c r="AK55">
        <v>40.72</v>
      </c>
      <c r="AL55">
        <v>623.23</v>
      </c>
      <c r="AM55">
        <v>0.152079985556798</v>
      </c>
      <c r="AN55">
        <v>735.01</v>
      </c>
      <c r="AO55">
        <v>111.78</v>
      </c>
      <c r="AP55">
        <v>0.15210000000000001</v>
      </c>
      <c r="AQ55">
        <v>0.84789999999999999</v>
      </c>
      <c r="AR55">
        <v>97568</v>
      </c>
      <c r="AS55">
        <v>8131</v>
      </c>
      <c r="AT55">
        <v>9.8799999999999999E-2</v>
      </c>
      <c r="AU55">
        <v>87793</v>
      </c>
      <c r="AV55">
        <v>87793</v>
      </c>
      <c r="AW55">
        <v>89943</v>
      </c>
      <c r="AX55">
        <v>3546</v>
      </c>
      <c r="AY55">
        <v>696.79</v>
      </c>
      <c r="AZ55">
        <v>0.84340000000000004</v>
      </c>
      <c r="BA55">
        <v>140.07</v>
      </c>
      <c r="BB55">
        <v>0.97609999999999997</v>
      </c>
      <c r="BC55">
        <v>0.94995759117896528</v>
      </c>
      <c r="BD55">
        <v>0.8498</v>
      </c>
      <c r="BE55">
        <v>0.78800000000000003</v>
      </c>
    </row>
    <row r="56" spans="1:57" x14ac:dyDescent="0.35">
      <c r="A56" t="s">
        <v>688</v>
      </c>
      <c r="B56" t="s">
        <v>689</v>
      </c>
      <c r="C56" t="s">
        <v>573</v>
      </c>
      <c r="D56" t="s">
        <v>556</v>
      </c>
      <c r="E56" t="s">
        <v>551</v>
      </c>
      <c r="F56" t="s">
        <v>123</v>
      </c>
      <c r="G56" t="s">
        <v>558</v>
      </c>
      <c r="H56">
        <v>159</v>
      </c>
      <c r="I56">
        <v>0.160457194189568</v>
      </c>
      <c r="J56">
        <v>185</v>
      </c>
      <c r="K56">
        <v>6612</v>
      </c>
      <c r="L56">
        <v>694</v>
      </c>
      <c r="M56" t="s">
        <v>567</v>
      </c>
      <c r="N56">
        <v>1.41</v>
      </c>
      <c r="O56">
        <v>1.69</v>
      </c>
      <c r="P56">
        <v>37.4</v>
      </c>
      <c r="Q56">
        <v>24.9</v>
      </c>
      <c r="R56">
        <v>3</v>
      </c>
      <c r="S56">
        <v>0.19059999999999999</v>
      </c>
      <c r="T56">
        <v>1.43E-2</v>
      </c>
      <c r="U56">
        <v>0.80679999999999996</v>
      </c>
      <c r="AH56">
        <v>192.91</v>
      </c>
      <c r="AI56">
        <v>91.27</v>
      </c>
      <c r="AJ56">
        <v>30.28</v>
      </c>
      <c r="AK56">
        <v>18.670000000000002</v>
      </c>
      <c r="AL56">
        <v>333.13</v>
      </c>
      <c r="AM56">
        <v>0.25839569815815361</v>
      </c>
      <c r="AN56">
        <v>449.2</v>
      </c>
      <c r="AO56">
        <v>116.07</v>
      </c>
      <c r="AP56">
        <v>0.25840000000000002</v>
      </c>
      <c r="AQ56">
        <v>0.74160000000000004</v>
      </c>
      <c r="AR56">
        <v>52770</v>
      </c>
      <c r="AS56">
        <v>4398</v>
      </c>
      <c r="AT56">
        <v>8.6099999999999996E-2</v>
      </c>
      <c r="AU56">
        <v>46852</v>
      </c>
      <c r="AV56">
        <v>46852</v>
      </c>
      <c r="AW56">
        <v>47532</v>
      </c>
      <c r="AX56">
        <v>13803</v>
      </c>
      <c r="AY56">
        <v>388.78</v>
      </c>
      <c r="AZ56">
        <v>0.91639999999999999</v>
      </c>
      <c r="BA56">
        <v>2630.85</v>
      </c>
      <c r="BB56">
        <v>0.98570000000000002</v>
      </c>
      <c r="BC56">
        <v>0.83431952662721887</v>
      </c>
      <c r="BD56">
        <v>0.90759999999999996</v>
      </c>
      <c r="BE56">
        <v>0.74639999999999995</v>
      </c>
    </row>
    <row r="57" spans="1:57" x14ac:dyDescent="0.35">
      <c r="A57" t="s">
        <v>690</v>
      </c>
      <c r="B57" t="s">
        <v>691</v>
      </c>
      <c r="C57" t="s">
        <v>606</v>
      </c>
      <c r="D57" t="s">
        <v>556</v>
      </c>
      <c r="E57" t="s">
        <v>557</v>
      </c>
      <c r="F57" t="s">
        <v>123</v>
      </c>
      <c r="G57" t="s">
        <v>566</v>
      </c>
      <c r="H57">
        <v>478</v>
      </c>
      <c r="I57">
        <v>0.1084396409300443</v>
      </c>
      <c r="J57">
        <v>530</v>
      </c>
      <c r="K57">
        <v>12652</v>
      </c>
      <c r="L57">
        <v>2804</v>
      </c>
      <c r="M57" t="s">
        <v>609</v>
      </c>
      <c r="N57">
        <v>2.11</v>
      </c>
      <c r="O57">
        <v>2.38</v>
      </c>
      <c r="P57">
        <v>47.5</v>
      </c>
      <c r="Q57">
        <v>16.399999999999999</v>
      </c>
      <c r="R57">
        <v>2</v>
      </c>
      <c r="S57">
        <v>2.7E-2</v>
      </c>
      <c r="T57">
        <v>1.11E-2</v>
      </c>
      <c r="U57">
        <v>0.90249999999999997</v>
      </c>
      <c r="AH57">
        <v>245.54</v>
      </c>
      <c r="AI57">
        <v>9.14</v>
      </c>
      <c r="AJ57">
        <v>67.36</v>
      </c>
      <c r="AK57">
        <v>30.29</v>
      </c>
      <c r="AL57">
        <v>352.33</v>
      </c>
      <c r="AM57">
        <v>0.17315637076284179</v>
      </c>
      <c r="AN57">
        <v>426.11</v>
      </c>
      <c r="AO57">
        <v>73.78</v>
      </c>
      <c r="AP57">
        <v>0.1731</v>
      </c>
      <c r="AQ57">
        <v>0.82689999999999997</v>
      </c>
      <c r="AR57">
        <v>67842</v>
      </c>
      <c r="AS57">
        <v>5654</v>
      </c>
      <c r="AT57">
        <v>0.249</v>
      </c>
      <c r="AU57">
        <v>57994</v>
      </c>
      <c r="AV57">
        <v>57994</v>
      </c>
      <c r="AW57">
        <v>58645</v>
      </c>
      <c r="AX57">
        <v>5814</v>
      </c>
      <c r="AY57">
        <v>230.62</v>
      </c>
      <c r="AZ57">
        <v>0.83089999999999997</v>
      </c>
      <c r="BA57">
        <v>156.97999999999999</v>
      </c>
      <c r="BB57">
        <v>0.9889</v>
      </c>
      <c r="BC57">
        <v>0.88655462184873945</v>
      </c>
      <c r="BD57">
        <v>0.91039999999999999</v>
      </c>
      <c r="BE57">
        <v>0.79820000000000002</v>
      </c>
    </row>
    <row r="58" spans="1:57" x14ac:dyDescent="0.35">
      <c r="A58" t="s">
        <v>692</v>
      </c>
      <c r="B58" t="s">
        <v>693</v>
      </c>
      <c r="C58" t="s">
        <v>555</v>
      </c>
      <c r="D58" t="s">
        <v>556</v>
      </c>
      <c r="E58" t="s">
        <v>551</v>
      </c>
      <c r="F58" t="s">
        <v>123</v>
      </c>
      <c r="G58" t="s">
        <v>551</v>
      </c>
      <c r="H58">
        <v>387</v>
      </c>
      <c r="I58">
        <v>6.5669946417401606E-2</v>
      </c>
      <c r="J58">
        <v>412</v>
      </c>
      <c r="K58">
        <v>6560</v>
      </c>
      <c r="L58">
        <v>483</v>
      </c>
      <c r="M58" t="s">
        <v>625</v>
      </c>
      <c r="N58">
        <v>1.01</v>
      </c>
      <c r="O58">
        <v>1.21</v>
      </c>
      <c r="P58">
        <v>49.7</v>
      </c>
      <c r="Q58">
        <v>39.5</v>
      </c>
      <c r="R58">
        <v>2</v>
      </c>
      <c r="S58">
        <v>0.1507</v>
      </c>
      <c r="T58">
        <v>2.1499999999999998E-2</v>
      </c>
      <c r="U58">
        <v>0.9657</v>
      </c>
      <c r="AH58">
        <v>442.52</v>
      </c>
      <c r="AI58">
        <v>54.96</v>
      </c>
      <c r="AJ58">
        <v>25</v>
      </c>
      <c r="AK58">
        <v>28.11</v>
      </c>
      <c r="AL58">
        <v>550.59</v>
      </c>
      <c r="AM58">
        <v>0.33709608741905778</v>
      </c>
      <c r="AN58">
        <v>830.57</v>
      </c>
      <c r="AO58">
        <v>279.98</v>
      </c>
      <c r="AP58">
        <v>0.33710000000000001</v>
      </c>
      <c r="AQ58">
        <v>0.66290000000000004</v>
      </c>
      <c r="AR58">
        <v>41627</v>
      </c>
      <c r="AS58">
        <v>3469</v>
      </c>
      <c r="AT58">
        <v>0.1196</v>
      </c>
      <c r="AU58">
        <v>35550</v>
      </c>
      <c r="AV58">
        <v>35550</v>
      </c>
      <c r="AW58">
        <v>36331</v>
      </c>
      <c r="AX58">
        <v>10314</v>
      </c>
      <c r="AY58">
        <v>208</v>
      </c>
      <c r="AZ58">
        <v>0.91749999999999998</v>
      </c>
      <c r="BA58">
        <v>1554.32</v>
      </c>
      <c r="BB58">
        <v>0.97850000000000004</v>
      </c>
      <c r="BC58">
        <v>0.83471074380165289</v>
      </c>
      <c r="BD58">
        <v>0.88009999999999988</v>
      </c>
      <c r="BE58">
        <v>0.71879999999999999</v>
      </c>
    </row>
    <row r="59" spans="1:57" x14ac:dyDescent="0.35">
      <c r="A59" t="s">
        <v>694</v>
      </c>
      <c r="B59" t="s">
        <v>695</v>
      </c>
      <c r="C59" t="s">
        <v>606</v>
      </c>
      <c r="D59" t="s">
        <v>556</v>
      </c>
      <c r="E59" t="s">
        <v>557</v>
      </c>
      <c r="F59" t="s">
        <v>123</v>
      </c>
      <c r="G59" t="s">
        <v>558</v>
      </c>
      <c r="H59">
        <v>1473</v>
      </c>
      <c r="I59">
        <v>-3.334522190229576E-2</v>
      </c>
      <c r="J59">
        <v>1424</v>
      </c>
      <c r="K59">
        <v>4378</v>
      </c>
      <c r="L59">
        <v>401</v>
      </c>
      <c r="M59" t="s">
        <v>609</v>
      </c>
      <c r="N59">
        <v>5.57</v>
      </c>
      <c r="O59">
        <v>6.6</v>
      </c>
      <c r="P59">
        <v>16.100000000000001</v>
      </c>
      <c r="Q59">
        <v>18.7</v>
      </c>
      <c r="R59">
        <v>2</v>
      </c>
      <c r="S59">
        <v>1.7100000000000001E-2</v>
      </c>
      <c r="T59">
        <v>1.3299999999999999E-2</v>
      </c>
      <c r="U59">
        <v>0.97430000000000005</v>
      </c>
      <c r="AH59">
        <v>251.9</v>
      </c>
      <c r="AI59">
        <v>5.91</v>
      </c>
      <c r="AJ59">
        <v>86.85</v>
      </c>
      <c r="AK59">
        <v>35.29</v>
      </c>
      <c r="AL59">
        <v>379.95</v>
      </c>
      <c r="AM59">
        <v>0.3786371659621397</v>
      </c>
      <c r="AN59">
        <v>611.48</v>
      </c>
      <c r="AO59">
        <v>231.53</v>
      </c>
      <c r="AP59">
        <v>0.37859999999999999</v>
      </c>
      <c r="AQ59">
        <v>0.62139999999999995</v>
      </c>
      <c r="AR59">
        <v>31881</v>
      </c>
      <c r="AS59">
        <v>2657</v>
      </c>
      <c r="AT59">
        <v>8.9200000000000002E-2</v>
      </c>
      <c r="AU59">
        <v>27904</v>
      </c>
      <c r="AV59">
        <v>27904</v>
      </c>
      <c r="AW59">
        <v>28280</v>
      </c>
      <c r="AX59">
        <v>2804</v>
      </c>
      <c r="AY59">
        <v>308.44</v>
      </c>
      <c r="AZ59">
        <v>0.83089999999999997</v>
      </c>
      <c r="BA59">
        <v>47.95</v>
      </c>
      <c r="BB59">
        <v>0.98670000000000002</v>
      </c>
      <c r="BC59">
        <v>0.84393939393939399</v>
      </c>
      <c r="BD59">
        <v>0.91039999999999999</v>
      </c>
      <c r="BE59">
        <v>0.7581</v>
      </c>
    </row>
    <row r="60" spans="1:57" x14ac:dyDescent="0.35">
      <c r="A60" t="s">
        <v>696</v>
      </c>
      <c r="B60" t="s">
        <v>697</v>
      </c>
      <c r="C60" t="s">
        <v>562</v>
      </c>
      <c r="D60" t="s">
        <v>556</v>
      </c>
      <c r="E60" t="s">
        <v>557</v>
      </c>
      <c r="F60" t="s">
        <v>123</v>
      </c>
      <c r="G60" t="s">
        <v>551</v>
      </c>
      <c r="H60">
        <v>999</v>
      </c>
      <c r="I60">
        <v>0.148506297317574</v>
      </c>
      <c r="J60">
        <v>1147</v>
      </c>
      <c r="K60">
        <v>10696</v>
      </c>
      <c r="L60">
        <v>988</v>
      </c>
      <c r="M60" t="s">
        <v>649</v>
      </c>
      <c r="N60">
        <v>9.08</v>
      </c>
      <c r="O60">
        <v>9.69</v>
      </c>
      <c r="P60">
        <v>33.4</v>
      </c>
      <c r="Q60">
        <v>19.8</v>
      </c>
      <c r="R60">
        <v>1</v>
      </c>
      <c r="S60">
        <v>5.4199999999999998E-2</v>
      </c>
      <c r="T60">
        <v>1.29E-2</v>
      </c>
      <c r="U60">
        <v>0.89729999999999999</v>
      </c>
      <c r="AH60">
        <v>182.35</v>
      </c>
      <c r="AI60">
        <v>20.11</v>
      </c>
      <c r="AJ60">
        <v>231.77</v>
      </c>
      <c r="AK60">
        <v>31.36</v>
      </c>
      <c r="AL60">
        <v>465.59</v>
      </c>
      <c r="AM60">
        <v>0.2585052431771897</v>
      </c>
      <c r="AN60">
        <v>627.91</v>
      </c>
      <c r="AO60">
        <v>162.32</v>
      </c>
      <c r="AP60">
        <v>0.25850000000000001</v>
      </c>
      <c r="AQ60">
        <v>0.74150000000000005</v>
      </c>
      <c r="AR60">
        <v>63037</v>
      </c>
      <c r="AS60">
        <v>5253</v>
      </c>
      <c r="AT60">
        <v>0.1123</v>
      </c>
      <c r="AU60">
        <v>53329</v>
      </c>
      <c r="AV60">
        <v>53329</v>
      </c>
      <c r="AW60">
        <v>54026</v>
      </c>
      <c r="AX60">
        <v>1493</v>
      </c>
      <c r="AY60">
        <v>241.12</v>
      </c>
      <c r="AZ60">
        <v>0.85880000000000001</v>
      </c>
      <c r="BA60">
        <v>80.92</v>
      </c>
      <c r="BB60">
        <v>0.98709999999999998</v>
      </c>
      <c r="BC60">
        <v>0.93704850361197112</v>
      </c>
      <c r="BD60">
        <v>0.84340000000000004</v>
      </c>
      <c r="BE60">
        <v>0.78010000000000002</v>
      </c>
    </row>
    <row r="61" spans="1:57" x14ac:dyDescent="0.35">
      <c r="A61" t="s">
        <v>698</v>
      </c>
      <c r="B61" t="s">
        <v>699</v>
      </c>
      <c r="C61" t="s">
        <v>562</v>
      </c>
      <c r="D61" t="s">
        <v>549</v>
      </c>
      <c r="E61" t="s">
        <v>551</v>
      </c>
      <c r="F61" t="s">
        <v>123</v>
      </c>
      <c r="G61" t="s">
        <v>566</v>
      </c>
      <c r="H61">
        <v>1496</v>
      </c>
      <c r="I61">
        <v>0.1446429847626878</v>
      </c>
      <c r="J61">
        <v>1712</v>
      </c>
      <c r="K61">
        <v>9059</v>
      </c>
      <c r="L61">
        <v>720</v>
      </c>
      <c r="M61" t="s">
        <v>596</v>
      </c>
      <c r="N61">
        <v>16.8</v>
      </c>
      <c r="O61">
        <v>17.46</v>
      </c>
      <c r="P61">
        <v>38.200000000000003</v>
      </c>
      <c r="Q61">
        <v>49.1</v>
      </c>
      <c r="R61">
        <v>2</v>
      </c>
      <c r="S61">
        <v>0.16400000000000001</v>
      </c>
      <c r="T61">
        <v>1.3299999999999999E-2</v>
      </c>
      <c r="U61">
        <v>0.88249999999999995</v>
      </c>
      <c r="AH61">
        <v>1791.85</v>
      </c>
      <c r="AI61">
        <v>51.48</v>
      </c>
      <c r="AJ61">
        <v>451.61</v>
      </c>
      <c r="AK61">
        <v>114.77</v>
      </c>
      <c r="AL61">
        <v>2409.71</v>
      </c>
      <c r="AM61">
        <v>0.21467791053886021</v>
      </c>
      <c r="AN61">
        <v>3068.44</v>
      </c>
      <c r="AO61">
        <v>658.73</v>
      </c>
      <c r="AP61">
        <v>0.2147</v>
      </c>
      <c r="AQ61">
        <v>0.7853</v>
      </c>
      <c r="AR61">
        <v>50422</v>
      </c>
      <c r="AS61">
        <v>4202</v>
      </c>
      <c r="AT61">
        <v>8.6599999999999996E-2</v>
      </c>
      <c r="AU61">
        <v>42083</v>
      </c>
      <c r="AV61">
        <v>42083</v>
      </c>
      <c r="AW61">
        <v>42650</v>
      </c>
      <c r="AX61">
        <v>1968</v>
      </c>
      <c r="AY61">
        <v>572.69000000000005</v>
      </c>
      <c r="AZ61">
        <v>0.94630000000000003</v>
      </c>
      <c r="BA61">
        <v>322.75</v>
      </c>
      <c r="BB61">
        <v>0.98670000000000002</v>
      </c>
      <c r="BC61">
        <v>0.96219931271477666</v>
      </c>
      <c r="BD61">
        <v>0.87060000000000004</v>
      </c>
      <c r="BE61">
        <v>0.82650000000000001</v>
      </c>
    </row>
    <row r="62" spans="1:57" x14ac:dyDescent="0.35">
      <c r="A62" t="s">
        <v>700</v>
      </c>
      <c r="B62" t="s">
        <v>701</v>
      </c>
      <c r="C62" t="s">
        <v>548</v>
      </c>
      <c r="D62" t="s">
        <v>549</v>
      </c>
      <c r="E62" t="s">
        <v>551</v>
      </c>
      <c r="F62" t="s">
        <v>123</v>
      </c>
      <c r="G62" t="s">
        <v>551</v>
      </c>
      <c r="H62">
        <v>2932</v>
      </c>
      <c r="I62">
        <v>-2.2342065761198199E-2</v>
      </c>
      <c r="J62">
        <v>2866</v>
      </c>
      <c r="K62">
        <v>3199</v>
      </c>
      <c r="L62">
        <v>655</v>
      </c>
      <c r="M62" t="s">
        <v>601</v>
      </c>
      <c r="N62">
        <v>13.74</v>
      </c>
      <c r="O62">
        <v>14.75</v>
      </c>
      <c r="P62">
        <v>78.8</v>
      </c>
      <c r="Q62">
        <v>30.3</v>
      </c>
      <c r="R62">
        <v>3</v>
      </c>
      <c r="S62">
        <v>0.1409</v>
      </c>
      <c r="T62">
        <v>2.1499999999999998E-2</v>
      </c>
      <c r="U62">
        <v>0.97009999999999996</v>
      </c>
      <c r="AH62">
        <v>478.23</v>
      </c>
      <c r="AI62">
        <v>56.9</v>
      </c>
      <c r="AJ62">
        <v>240.94</v>
      </c>
      <c r="AK62">
        <v>66.569999999999993</v>
      </c>
      <c r="AL62">
        <v>842.64</v>
      </c>
      <c r="AM62">
        <v>0.25860082975165238</v>
      </c>
      <c r="AN62">
        <v>1136.55</v>
      </c>
      <c r="AO62">
        <v>293.91000000000003</v>
      </c>
      <c r="AP62">
        <v>0.2586</v>
      </c>
      <c r="AQ62">
        <v>0.74139999999999995</v>
      </c>
      <c r="AR62">
        <v>26984</v>
      </c>
      <c r="AS62">
        <v>2249</v>
      </c>
      <c r="AT62">
        <v>0.14660000000000001</v>
      </c>
      <c r="AU62">
        <v>24440</v>
      </c>
      <c r="AV62">
        <v>24440</v>
      </c>
      <c r="AW62">
        <v>24977</v>
      </c>
      <c r="AX62">
        <v>826</v>
      </c>
      <c r="AY62">
        <v>203.06</v>
      </c>
      <c r="AZ62">
        <v>0.85140000000000005</v>
      </c>
      <c r="BA62">
        <v>116.38</v>
      </c>
      <c r="BB62">
        <v>0.97850000000000004</v>
      </c>
      <c r="BC62">
        <v>0.93152542372881353</v>
      </c>
      <c r="BD62">
        <v>0.86569999999999991</v>
      </c>
      <c r="BE62">
        <v>0.78910000000000002</v>
      </c>
    </row>
    <row r="63" spans="1:57" x14ac:dyDescent="0.35">
      <c r="A63" t="s">
        <v>702</v>
      </c>
      <c r="B63" t="s">
        <v>703</v>
      </c>
      <c r="C63" t="s">
        <v>548</v>
      </c>
      <c r="D63" t="s">
        <v>556</v>
      </c>
      <c r="E63" t="s">
        <v>551</v>
      </c>
      <c r="F63" t="s">
        <v>123</v>
      </c>
      <c r="G63" t="s">
        <v>566</v>
      </c>
      <c r="H63">
        <v>1343</v>
      </c>
      <c r="I63">
        <v>0.14297049514956131</v>
      </c>
      <c r="J63">
        <v>1535</v>
      </c>
      <c r="K63">
        <v>4702</v>
      </c>
      <c r="L63">
        <v>1179</v>
      </c>
      <c r="M63" t="s">
        <v>656</v>
      </c>
      <c r="N63">
        <v>7.25</v>
      </c>
      <c r="O63">
        <v>8.1199999999999992</v>
      </c>
      <c r="P63">
        <v>76.5</v>
      </c>
      <c r="Q63">
        <v>35.4</v>
      </c>
      <c r="R63">
        <v>3</v>
      </c>
      <c r="S63">
        <v>0.1014</v>
      </c>
      <c r="T63">
        <v>2.1100000000000001E-2</v>
      </c>
      <c r="U63">
        <v>0.92120000000000002</v>
      </c>
      <c r="AH63">
        <v>366.65</v>
      </c>
      <c r="AI63">
        <v>31.79</v>
      </c>
      <c r="AJ63">
        <v>220.41</v>
      </c>
      <c r="AK63">
        <v>32.97</v>
      </c>
      <c r="AL63">
        <v>651.82000000000005</v>
      </c>
      <c r="AM63">
        <v>0.33086195446250022</v>
      </c>
      <c r="AN63">
        <v>974.12</v>
      </c>
      <c r="AO63">
        <v>322.3</v>
      </c>
      <c r="AP63">
        <v>0.33090000000000003</v>
      </c>
      <c r="AQ63">
        <v>0.66910000000000003</v>
      </c>
      <c r="AR63">
        <v>38776</v>
      </c>
      <c r="AS63">
        <v>3231</v>
      </c>
      <c r="AT63">
        <v>0.21640000000000001</v>
      </c>
      <c r="AU63">
        <v>35253</v>
      </c>
      <c r="AV63">
        <v>35253</v>
      </c>
      <c r="AW63">
        <v>36013</v>
      </c>
      <c r="AX63">
        <v>2311</v>
      </c>
      <c r="AY63">
        <v>312.76</v>
      </c>
      <c r="AZ63">
        <v>0.87060000000000004</v>
      </c>
      <c r="BA63">
        <v>234.34</v>
      </c>
      <c r="BB63">
        <v>0.97889999999999999</v>
      </c>
      <c r="BC63">
        <v>0.8928571428571429</v>
      </c>
      <c r="BD63">
        <v>0.85910000000000009</v>
      </c>
      <c r="BE63">
        <v>0.75090000000000001</v>
      </c>
    </row>
    <row r="64" spans="1:57" x14ac:dyDescent="0.35">
      <c r="A64" t="s">
        <v>704</v>
      </c>
      <c r="B64" t="s">
        <v>705</v>
      </c>
      <c r="C64" t="s">
        <v>562</v>
      </c>
      <c r="D64" t="s">
        <v>556</v>
      </c>
      <c r="E64" t="s">
        <v>551</v>
      </c>
      <c r="F64" t="s">
        <v>123</v>
      </c>
      <c r="G64" t="s">
        <v>551</v>
      </c>
      <c r="H64">
        <v>353</v>
      </c>
      <c r="I64">
        <v>0.1771126403334071</v>
      </c>
      <c r="J64">
        <v>416</v>
      </c>
      <c r="K64">
        <v>3535</v>
      </c>
      <c r="L64">
        <v>469</v>
      </c>
      <c r="M64" t="s">
        <v>609</v>
      </c>
      <c r="N64">
        <v>4.16</v>
      </c>
      <c r="O64">
        <v>4.41</v>
      </c>
      <c r="P64">
        <v>60.4</v>
      </c>
      <c r="Q64">
        <v>54.2</v>
      </c>
      <c r="R64">
        <v>2</v>
      </c>
      <c r="S64">
        <v>6.3700000000000007E-2</v>
      </c>
      <c r="T64">
        <v>1.1299999999999999E-2</v>
      </c>
      <c r="U64">
        <v>0.81169999999999998</v>
      </c>
      <c r="AH64">
        <v>532.48</v>
      </c>
      <c r="AI64">
        <v>29.31</v>
      </c>
      <c r="AJ64">
        <v>124.02</v>
      </c>
      <c r="AK64">
        <v>47.55</v>
      </c>
      <c r="AL64">
        <v>733.36</v>
      </c>
      <c r="AM64">
        <v>0.15226354039509271</v>
      </c>
      <c r="AN64">
        <v>865.08</v>
      </c>
      <c r="AO64">
        <v>131.72</v>
      </c>
      <c r="AP64">
        <v>0.15229999999999999</v>
      </c>
      <c r="AQ64">
        <v>0.84770000000000001</v>
      </c>
      <c r="AR64">
        <v>32755</v>
      </c>
      <c r="AS64">
        <v>2730</v>
      </c>
      <c r="AT64">
        <v>0.13800000000000001</v>
      </c>
      <c r="AU64">
        <v>29689</v>
      </c>
      <c r="AV64">
        <v>29689</v>
      </c>
      <c r="AW64">
        <v>30028</v>
      </c>
      <c r="AX64">
        <v>2977</v>
      </c>
      <c r="AY64">
        <v>218.81</v>
      </c>
      <c r="AZ64">
        <v>0.83089999999999997</v>
      </c>
      <c r="BA64">
        <v>189.63</v>
      </c>
      <c r="BB64">
        <v>0.98870000000000002</v>
      </c>
      <c r="BC64">
        <v>0.94331065759637189</v>
      </c>
      <c r="BD64">
        <v>0.91039999999999999</v>
      </c>
      <c r="BE64">
        <v>0.84909999999999997</v>
      </c>
    </row>
    <row r="65" spans="1:57" x14ac:dyDescent="0.35">
      <c r="A65" t="s">
        <v>706</v>
      </c>
      <c r="B65" t="s">
        <v>707</v>
      </c>
      <c r="C65" t="s">
        <v>555</v>
      </c>
      <c r="D65" t="s">
        <v>556</v>
      </c>
      <c r="E65" t="s">
        <v>550</v>
      </c>
      <c r="F65" t="s">
        <v>123</v>
      </c>
      <c r="G65" t="s">
        <v>566</v>
      </c>
      <c r="H65">
        <v>1457</v>
      </c>
      <c r="I65">
        <v>-2.4801349246028379E-2</v>
      </c>
      <c r="J65">
        <v>1421</v>
      </c>
      <c r="K65">
        <v>4032</v>
      </c>
      <c r="L65">
        <v>482</v>
      </c>
      <c r="M65" t="s">
        <v>625</v>
      </c>
      <c r="N65">
        <v>2.58</v>
      </c>
      <c r="O65">
        <v>2.73</v>
      </c>
      <c r="P65">
        <v>101.2</v>
      </c>
      <c r="Q65">
        <v>78.3</v>
      </c>
      <c r="R65">
        <v>4</v>
      </c>
      <c r="S65">
        <v>0.4012</v>
      </c>
      <c r="T65">
        <v>1.11E-2</v>
      </c>
      <c r="U65">
        <v>0.88380000000000003</v>
      </c>
      <c r="AH65">
        <v>916.09</v>
      </c>
      <c r="AI65">
        <v>139.11000000000001</v>
      </c>
      <c r="AJ65">
        <v>42.42</v>
      </c>
      <c r="AK65">
        <v>109.2</v>
      </c>
      <c r="AL65">
        <v>1206.82</v>
      </c>
      <c r="AM65">
        <v>0.29736349737117429</v>
      </c>
      <c r="AN65">
        <v>1717.56</v>
      </c>
      <c r="AO65">
        <v>510.74</v>
      </c>
      <c r="AP65">
        <v>0.2974</v>
      </c>
      <c r="AQ65">
        <v>0.7026</v>
      </c>
      <c r="AR65">
        <v>20674</v>
      </c>
      <c r="AS65">
        <v>1723</v>
      </c>
      <c r="AT65">
        <v>0.1555</v>
      </c>
      <c r="AU65">
        <v>17124</v>
      </c>
      <c r="AV65">
        <v>17124</v>
      </c>
      <c r="AW65">
        <v>17316</v>
      </c>
      <c r="AX65">
        <v>4916</v>
      </c>
      <c r="AY65">
        <v>223.68</v>
      </c>
      <c r="AZ65">
        <v>0.91749999999999998</v>
      </c>
      <c r="BA65">
        <v>1972.3</v>
      </c>
      <c r="BB65">
        <v>0.9889</v>
      </c>
      <c r="BC65">
        <v>0.94505494505494514</v>
      </c>
      <c r="BD65">
        <v>0.88009999999999988</v>
      </c>
      <c r="BE65">
        <v>0.82250000000000001</v>
      </c>
    </row>
    <row r="66" spans="1:57" x14ac:dyDescent="0.35">
      <c r="A66" t="s">
        <v>708</v>
      </c>
      <c r="B66" t="s">
        <v>709</v>
      </c>
      <c r="C66" t="s">
        <v>606</v>
      </c>
      <c r="D66" t="s">
        <v>556</v>
      </c>
      <c r="E66" t="s">
        <v>557</v>
      </c>
      <c r="F66" t="s">
        <v>123</v>
      </c>
      <c r="G66" t="s">
        <v>558</v>
      </c>
      <c r="H66">
        <v>392</v>
      </c>
      <c r="I66">
        <v>0.12680965857834961</v>
      </c>
      <c r="J66">
        <v>442</v>
      </c>
      <c r="K66">
        <v>5141</v>
      </c>
      <c r="L66">
        <v>598</v>
      </c>
      <c r="M66" t="s">
        <v>609</v>
      </c>
      <c r="N66">
        <v>3.84</v>
      </c>
      <c r="O66">
        <v>4.26</v>
      </c>
      <c r="P66">
        <v>21.2</v>
      </c>
      <c r="Q66">
        <v>12.4</v>
      </c>
      <c r="R66">
        <v>2</v>
      </c>
      <c r="S66">
        <v>2.3099999999999999E-2</v>
      </c>
      <c r="T66">
        <v>1.3299999999999999E-2</v>
      </c>
      <c r="U66">
        <v>0.84319999999999995</v>
      </c>
      <c r="AH66">
        <v>656.19</v>
      </c>
      <c r="AI66">
        <v>9.42</v>
      </c>
      <c r="AJ66">
        <v>126.4</v>
      </c>
      <c r="AK66">
        <v>43.08</v>
      </c>
      <c r="AL66">
        <v>835.09</v>
      </c>
      <c r="AM66">
        <v>0.30332292122184479</v>
      </c>
      <c r="AN66">
        <v>1198.68</v>
      </c>
      <c r="AO66">
        <v>363.59</v>
      </c>
      <c r="AP66">
        <v>0.30330000000000001</v>
      </c>
      <c r="AQ66">
        <v>0.69669999999999999</v>
      </c>
      <c r="AR66">
        <v>33262</v>
      </c>
      <c r="AS66">
        <v>2772</v>
      </c>
      <c r="AT66">
        <v>0.1948</v>
      </c>
      <c r="AU66">
        <v>28719</v>
      </c>
      <c r="AV66">
        <v>28719</v>
      </c>
      <c r="AW66">
        <v>29106</v>
      </c>
      <c r="AX66">
        <v>2885</v>
      </c>
      <c r="AY66">
        <v>204.83</v>
      </c>
      <c r="AZ66">
        <v>0.83089999999999997</v>
      </c>
      <c r="BA66">
        <v>66.64</v>
      </c>
      <c r="BB66">
        <v>0.98670000000000002</v>
      </c>
      <c r="BC66">
        <v>0.90140845070422537</v>
      </c>
      <c r="BD66">
        <v>0.91039999999999999</v>
      </c>
      <c r="BE66">
        <v>0.80969999999999998</v>
      </c>
    </row>
    <row r="67" spans="1:57" x14ac:dyDescent="0.35">
      <c r="A67" t="s">
        <v>710</v>
      </c>
      <c r="B67" t="s">
        <v>711</v>
      </c>
      <c r="C67" t="s">
        <v>562</v>
      </c>
      <c r="D67" t="s">
        <v>549</v>
      </c>
      <c r="E67" t="s">
        <v>551</v>
      </c>
      <c r="F67" t="s">
        <v>123</v>
      </c>
      <c r="G67" t="s">
        <v>551</v>
      </c>
      <c r="H67">
        <v>313</v>
      </c>
      <c r="I67">
        <v>0.1776715495639283</v>
      </c>
      <c r="J67">
        <v>369</v>
      </c>
      <c r="K67">
        <v>3276</v>
      </c>
      <c r="L67">
        <v>1295</v>
      </c>
      <c r="M67" t="s">
        <v>596</v>
      </c>
      <c r="N67">
        <v>10.18</v>
      </c>
      <c r="O67">
        <v>10.54</v>
      </c>
      <c r="P67">
        <v>83.6</v>
      </c>
      <c r="Q67">
        <v>35.5</v>
      </c>
      <c r="R67">
        <v>2</v>
      </c>
      <c r="S67">
        <v>7.7600000000000002E-2</v>
      </c>
      <c r="T67">
        <v>1.52E-2</v>
      </c>
      <c r="U67">
        <v>0.88460000000000005</v>
      </c>
      <c r="AH67">
        <v>1505.33</v>
      </c>
      <c r="AI67">
        <v>36.94</v>
      </c>
      <c r="AJ67">
        <v>135.06</v>
      </c>
      <c r="AK67">
        <v>182.42</v>
      </c>
      <c r="AL67">
        <v>1859.75</v>
      </c>
      <c r="AM67">
        <v>0.3094220617239839</v>
      </c>
      <c r="AN67">
        <v>2693.03</v>
      </c>
      <c r="AO67">
        <v>833.28</v>
      </c>
      <c r="AP67">
        <v>0.30940000000000001</v>
      </c>
      <c r="AQ67">
        <v>0.69059999999999999</v>
      </c>
      <c r="AR67">
        <v>52422</v>
      </c>
      <c r="AS67">
        <v>4368</v>
      </c>
      <c r="AT67">
        <v>0.16650000000000001</v>
      </c>
      <c r="AU67">
        <v>50441</v>
      </c>
      <c r="AV67">
        <v>50441</v>
      </c>
      <c r="AW67">
        <v>51220</v>
      </c>
      <c r="AX67">
        <v>2363</v>
      </c>
      <c r="AY67">
        <v>415.1</v>
      </c>
      <c r="AZ67">
        <v>0.94630000000000003</v>
      </c>
      <c r="BA67">
        <v>183.37</v>
      </c>
      <c r="BB67">
        <v>0.98480000000000001</v>
      </c>
      <c r="BC67">
        <v>0.96584440227703994</v>
      </c>
      <c r="BD67">
        <v>0.87060000000000004</v>
      </c>
      <c r="BE67">
        <v>0.82809999999999995</v>
      </c>
    </row>
    <row r="68" spans="1:57" x14ac:dyDescent="0.35">
      <c r="A68" t="s">
        <v>712</v>
      </c>
      <c r="B68" t="s">
        <v>713</v>
      </c>
      <c r="C68" t="s">
        <v>555</v>
      </c>
      <c r="D68" t="s">
        <v>556</v>
      </c>
      <c r="E68" t="s">
        <v>557</v>
      </c>
      <c r="F68" t="s">
        <v>123</v>
      </c>
      <c r="G68" t="s">
        <v>558</v>
      </c>
      <c r="H68">
        <v>1449</v>
      </c>
      <c r="I68">
        <v>7.9709514281518026E-2</v>
      </c>
      <c r="J68">
        <v>1564</v>
      </c>
      <c r="K68">
        <v>15203</v>
      </c>
      <c r="L68">
        <v>3053</v>
      </c>
      <c r="M68" t="s">
        <v>714</v>
      </c>
      <c r="N68">
        <v>3.8</v>
      </c>
      <c r="O68">
        <v>3.99</v>
      </c>
      <c r="P68">
        <v>28</v>
      </c>
      <c r="Q68">
        <v>35.4</v>
      </c>
      <c r="R68">
        <v>2</v>
      </c>
      <c r="S68">
        <v>7.6300000000000007E-2</v>
      </c>
      <c r="T68">
        <v>7.4999999999999997E-3</v>
      </c>
      <c r="U68">
        <v>0.88200000000000001</v>
      </c>
      <c r="AH68">
        <v>742.04</v>
      </c>
      <c r="AI68">
        <v>32.82</v>
      </c>
      <c r="AJ68">
        <v>56.02</v>
      </c>
      <c r="AK68">
        <v>41.77</v>
      </c>
      <c r="AL68">
        <v>872.65</v>
      </c>
      <c r="AM68">
        <v>0.2105055199952193</v>
      </c>
      <c r="AN68">
        <v>1105.33</v>
      </c>
      <c r="AO68">
        <v>232.68</v>
      </c>
      <c r="AP68">
        <v>0.21049999999999999</v>
      </c>
      <c r="AQ68">
        <v>0.78949999999999998</v>
      </c>
      <c r="AR68">
        <v>84722</v>
      </c>
      <c r="AS68">
        <v>7060</v>
      </c>
      <c r="AT68">
        <v>0.22639999999999999</v>
      </c>
      <c r="AU68">
        <v>72572</v>
      </c>
      <c r="AV68">
        <v>72572</v>
      </c>
      <c r="AW68">
        <v>73120</v>
      </c>
      <c r="AX68">
        <v>15324</v>
      </c>
      <c r="AY68">
        <v>1019.05</v>
      </c>
      <c r="AZ68">
        <v>0.82769999999999999</v>
      </c>
      <c r="BA68">
        <v>1169.22</v>
      </c>
      <c r="BB68">
        <v>0.99250000000000005</v>
      </c>
      <c r="BC68">
        <v>0.95238095238095233</v>
      </c>
      <c r="BD68">
        <v>0.89029999999999987</v>
      </c>
      <c r="BE68">
        <v>0.84150000000000003</v>
      </c>
    </row>
    <row r="69" spans="1:57" x14ac:dyDescent="0.35">
      <c r="A69" t="s">
        <v>715</v>
      </c>
      <c r="B69" t="s">
        <v>716</v>
      </c>
      <c r="C69" t="s">
        <v>555</v>
      </c>
      <c r="D69" t="s">
        <v>556</v>
      </c>
      <c r="E69" t="s">
        <v>557</v>
      </c>
      <c r="F69" t="s">
        <v>123</v>
      </c>
      <c r="G69" t="s">
        <v>558</v>
      </c>
      <c r="H69">
        <v>1936</v>
      </c>
      <c r="I69">
        <v>-2.1433174986078069E-2</v>
      </c>
      <c r="J69">
        <v>1895</v>
      </c>
      <c r="K69">
        <v>9867</v>
      </c>
      <c r="L69">
        <v>2116</v>
      </c>
      <c r="M69" t="s">
        <v>570</v>
      </c>
      <c r="N69">
        <v>3.54</v>
      </c>
      <c r="O69">
        <v>3.9</v>
      </c>
      <c r="P69">
        <v>52.6</v>
      </c>
      <c r="Q69">
        <v>40.200000000000003</v>
      </c>
      <c r="R69">
        <v>1</v>
      </c>
      <c r="S69">
        <v>6.88E-2</v>
      </c>
      <c r="T69">
        <v>2.53E-2</v>
      </c>
      <c r="U69">
        <v>0.90480000000000005</v>
      </c>
      <c r="AH69">
        <v>606.97</v>
      </c>
      <c r="AI69">
        <v>27.97</v>
      </c>
      <c r="AJ69">
        <v>53.37</v>
      </c>
      <c r="AK69">
        <v>46.31</v>
      </c>
      <c r="AL69">
        <v>734.62</v>
      </c>
      <c r="AM69">
        <v>0.32851318084453168</v>
      </c>
      <c r="AN69">
        <v>1094.02</v>
      </c>
      <c r="AO69">
        <v>359.4</v>
      </c>
      <c r="AP69">
        <v>0.32850000000000001</v>
      </c>
      <c r="AQ69">
        <v>0.67149999999999999</v>
      </c>
      <c r="AR69">
        <v>80818</v>
      </c>
      <c r="AS69">
        <v>6735</v>
      </c>
      <c r="AT69">
        <v>0.22720000000000001</v>
      </c>
      <c r="AU69">
        <v>73067</v>
      </c>
      <c r="AV69">
        <v>73067</v>
      </c>
      <c r="AW69">
        <v>74964</v>
      </c>
      <c r="AX69">
        <v>22836</v>
      </c>
      <c r="AY69">
        <v>1484.34</v>
      </c>
      <c r="AZ69">
        <v>0.93740000000000001</v>
      </c>
      <c r="BA69">
        <v>1571.12</v>
      </c>
      <c r="BB69">
        <v>0.97470000000000001</v>
      </c>
      <c r="BC69">
        <v>0.90769230769230769</v>
      </c>
      <c r="BD69">
        <v>0.87450000000000006</v>
      </c>
      <c r="BE69">
        <v>0.77370000000000005</v>
      </c>
    </row>
    <row r="70" spans="1:57" x14ac:dyDescent="0.35">
      <c r="A70" t="s">
        <v>717</v>
      </c>
      <c r="B70" t="s">
        <v>718</v>
      </c>
      <c r="C70" t="s">
        <v>573</v>
      </c>
      <c r="D70" t="s">
        <v>549</v>
      </c>
      <c r="E70" t="s">
        <v>551</v>
      </c>
      <c r="F70" t="s">
        <v>123</v>
      </c>
      <c r="G70" t="s">
        <v>551</v>
      </c>
      <c r="H70">
        <v>227</v>
      </c>
      <c r="I70">
        <v>6.151205734995488E-3</v>
      </c>
      <c r="J70">
        <v>228</v>
      </c>
      <c r="K70">
        <v>2306</v>
      </c>
      <c r="L70">
        <v>424</v>
      </c>
      <c r="M70" t="s">
        <v>649</v>
      </c>
      <c r="N70">
        <v>14.79</v>
      </c>
      <c r="O70">
        <v>15.39</v>
      </c>
      <c r="P70">
        <v>49</v>
      </c>
      <c r="Q70">
        <v>54.1</v>
      </c>
      <c r="R70">
        <v>3</v>
      </c>
      <c r="S70">
        <v>5.74E-2</v>
      </c>
      <c r="T70">
        <v>1.32E-2</v>
      </c>
      <c r="U70">
        <v>0.86419999999999997</v>
      </c>
      <c r="AH70">
        <v>1059.1600000000001</v>
      </c>
      <c r="AI70">
        <v>20.94</v>
      </c>
      <c r="AJ70">
        <v>429.07</v>
      </c>
      <c r="AK70">
        <v>153.72999999999999</v>
      </c>
      <c r="AL70">
        <v>1662.9</v>
      </c>
      <c r="AM70">
        <v>0.1728478715829441</v>
      </c>
      <c r="AN70">
        <v>2010.39</v>
      </c>
      <c r="AO70">
        <v>347.49</v>
      </c>
      <c r="AP70">
        <v>0.17280000000000001</v>
      </c>
      <c r="AQ70">
        <v>0.82720000000000005</v>
      </c>
      <c r="AR70">
        <v>38238</v>
      </c>
      <c r="AS70">
        <v>3186</v>
      </c>
      <c r="AT70">
        <v>8.1699999999999995E-2</v>
      </c>
      <c r="AU70">
        <v>36356</v>
      </c>
      <c r="AV70">
        <v>36356</v>
      </c>
      <c r="AW70">
        <v>36842</v>
      </c>
      <c r="AX70">
        <v>1018</v>
      </c>
      <c r="AY70">
        <v>261.12</v>
      </c>
      <c r="AZ70">
        <v>0.85880000000000001</v>
      </c>
      <c r="BA70">
        <v>58.43</v>
      </c>
      <c r="BB70">
        <v>0.98680000000000001</v>
      </c>
      <c r="BC70">
        <v>0.96101364522417143</v>
      </c>
      <c r="BD70">
        <v>0.84340000000000004</v>
      </c>
      <c r="BE70">
        <v>0.79979999999999996</v>
      </c>
    </row>
    <row r="71" spans="1:57" x14ac:dyDescent="0.35">
      <c r="A71" t="s">
        <v>719</v>
      </c>
      <c r="B71" t="s">
        <v>720</v>
      </c>
      <c r="C71" t="s">
        <v>548</v>
      </c>
      <c r="D71" t="s">
        <v>556</v>
      </c>
      <c r="E71" t="s">
        <v>551</v>
      </c>
      <c r="F71" t="s">
        <v>123</v>
      </c>
      <c r="G71" t="s">
        <v>551</v>
      </c>
      <c r="H71">
        <v>276</v>
      </c>
      <c r="I71">
        <v>0.1451239268865219</v>
      </c>
      <c r="J71">
        <v>316</v>
      </c>
      <c r="K71">
        <v>4886</v>
      </c>
      <c r="L71">
        <v>933</v>
      </c>
      <c r="M71" t="s">
        <v>617</v>
      </c>
      <c r="N71">
        <v>6.58</v>
      </c>
      <c r="O71">
        <v>7.22</v>
      </c>
      <c r="P71">
        <v>32.5</v>
      </c>
      <c r="Q71">
        <v>22</v>
      </c>
      <c r="R71">
        <v>3</v>
      </c>
      <c r="S71">
        <v>8.0399999999999999E-2</v>
      </c>
      <c r="T71">
        <v>9.7000000000000003E-3</v>
      </c>
      <c r="U71">
        <v>0.8296</v>
      </c>
      <c r="AH71">
        <v>1067.26</v>
      </c>
      <c r="AI71">
        <v>29.47</v>
      </c>
      <c r="AJ71">
        <v>166.68</v>
      </c>
      <c r="AK71">
        <v>91.14</v>
      </c>
      <c r="AL71">
        <v>1354.55</v>
      </c>
      <c r="AM71">
        <v>0.1998175841167002</v>
      </c>
      <c r="AN71">
        <v>1692.8</v>
      </c>
      <c r="AO71">
        <v>338.25</v>
      </c>
      <c r="AP71">
        <v>0.19980000000000001</v>
      </c>
      <c r="AQ71">
        <v>0.80020000000000002</v>
      </c>
      <c r="AR71">
        <v>36889</v>
      </c>
      <c r="AS71">
        <v>3074</v>
      </c>
      <c r="AT71">
        <v>0.21229999999999999</v>
      </c>
      <c r="AU71">
        <v>32936</v>
      </c>
      <c r="AV71">
        <v>32936</v>
      </c>
      <c r="AW71">
        <v>33259</v>
      </c>
      <c r="AX71">
        <v>4625</v>
      </c>
      <c r="AY71">
        <v>556.54</v>
      </c>
      <c r="AZ71">
        <v>0.88039999999999996</v>
      </c>
      <c r="BA71">
        <v>371.85</v>
      </c>
      <c r="BB71">
        <v>0.99029999999999996</v>
      </c>
      <c r="BC71">
        <v>0.91135734072022168</v>
      </c>
      <c r="BD71">
        <v>0.9052</v>
      </c>
      <c r="BE71">
        <v>0.81699999999999995</v>
      </c>
    </row>
    <row r="72" spans="1:57" x14ac:dyDescent="0.35">
      <c r="A72" t="s">
        <v>721</v>
      </c>
      <c r="B72" t="s">
        <v>722</v>
      </c>
      <c r="C72" t="s">
        <v>555</v>
      </c>
      <c r="D72" t="s">
        <v>556</v>
      </c>
      <c r="E72" t="s">
        <v>551</v>
      </c>
      <c r="F72" t="s">
        <v>123</v>
      </c>
      <c r="G72" t="s">
        <v>558</v>
      </c>
      <c r="H72">
        <v>647</v>
      </c>
      <c r="I72">
        <v>5.365603093175593E-2</v>
      </c>
      <c r="J72">
        <v>682</v>
      </c>
      <c r="K72">
        <v>5101</v>
      </c>
      <c r="L72">
        <v>859</v>
      </c>
      <c r="M72" t="s">
        <v>563</v>
      </c>
      <c r="N72">
        <v>9.57</v>
      </c>
      <c r="O72">
        <v>10.63</v>
      </c>
      <c r="P72">
        <v>67.400000000000006</v>
      </c>
      <c r="Q72">
        <v>22.5</v>
      </c>
      <c r="R72">
        <v>2</v>
      </c>
      <c r="S72">
        <v>9.9000000000000005E-2</v>
      </c>
      <c r="T72">
        <v>4.4999999999999997E-3</v>
      </c>
      <c r="U72">
        <v>0.89070000000000005</v>
      </c>
      <c r="AH72">
        <v>1116.92</v>
      </c>
      <c r="AI72">
        <v>42.96</v>
      </c>
      <c r="AJ72">
        <v>138.63999999999999</v>
      </c>
      <c r="AK72">
        <v>74.19</v>
      </c>
      <c r="AL72">
        <v>1372.71</v>
      </c>
      <c r="AM72">
        <v>0.36936751166362047</v>
      </c>
      <c r="AN72">
        <v>2176.7199999999998</v>
      </c>
      <c r="AO72">
        <v>804.01</v>
      </c>
      <c r="AP72">
        <v>0.36940000000000001</v>
      </c>
      <c r="AQ72">
        <v>0.63060000000000005</v>
      </c>
      <c r="AR72">
        <v>45313</v>
      </c>
      <c r="AS72">
        <v>3776</v>
      </c>
      <c r="AT72">
        <v>0.1583</v>
      </c>
      <c r="AU72">
        <v>41071</v>
      </c>
      <c r="AV72">
        <v>41071</v>
      </c>
      <c r="AW72">
        <v>41257</v>
      </c>
      <c r="AX72">
        <v>3415</v>
      </c>
      <c r="AY72">
        <v>605.02</v>
      </c>
      <c r="AZ72">
        <v>0.92459999999999998</v>
      </c>
      <c r="BA72">
        <v>338.08</v>
      </c>
      <c r="BB72">
        <v>0.99550000000000005</v>
      </c>
      <c r="BC72">
        <v>0.90028222013170267</v>
      </c>
      <c r="BD72">
        <v>0.83379999999999999</v>
      </c>
      <c r="BE72">
        <v>0.74729999999999996</v>
      </c>
    </row>
    <row r="73" spans="1:57" x14ac:dyDescent="0.35">
      <c r="A73" t="s">
        <v>723</v>
      </c>
      <c r="B73" t="s">
        <v>724</v>
      </c>
      <c r="C73" t="s">
        <v>573</v>
      </c>
      <c r="D73" t="s">
        <v>556</v>
      </c>
      <c r="E73" t="s">
        <v>551</v>
      </c>
      <c r="F73" t="s">
        <v>123</v>
      </c>
      <c r="G73" t="s">
        <v>628</v>
      </c>
      <c r="H73">
        <v>478</v>
      </c>
      <c r="I73">
        <v>0.14994550551856731</v>
      </c>
      <c r="J73">
        <v>550</v>
      </c>
      <c r="K73">
        <v>8635</v>
      </c>
      <c r="L73">
        <v>1288</v>
      </c>
      <c r="M73" t="s">
        <v>559</v>
      </c>
      <c r="N73">
        <v>10.85</v>
      </c>
      <c r="O73">
        <v>12.01</v>
      </c>
      <c r="P73">
        <v>49.5</v>
      </c>
      <c r="Q73">
        <v>46.9</v>
      </c>
      <c r="R73">
        <v>2</v>
      </c>
      <c r="S73">
        <v>9.2600000000000002E-2</v>
      </c>
      <c r="T73">
        <v>7.4999999999999997E-3</v>
      </c>
      <c r="U73">
        <v>0.94940000000000002</v>
      </c>
      <c r="AH73">
        <v>214.13</v>
      </c>
      <c r="AI73">
        <v>46.19</v>
      </c>
      <c r="AJ73">
        <v>225.87</v>
      </c>
      <c r="AK73">
        <v>36.57</v>
      </c>
      <c r="AL73">
        <v>522.76</v>
      </c>
      <c r="AM73">
        <v>0.33468078768164161</v>
      </c>
      <c r="AN73">
        <v>785.73</v>
      </c>
      <c r="AO73">
        <v>262.97000000000003</v>
      </c>
      <c r="AP73">
        <v>0.3347</v>
      </c>
      <c r="AQ73">
        <v>0.6653</v>
      </c>
      <c r="AR73">
        <v>47535</v>
      </c>
      <c r="AS73">
        <v>3961</v>
      </c>
      <c r="AT73">
        <v>0.24809999999999999</v>
      </c>
      <c r="AU73">
        <v>40188</v>
      </c>
      <c r="AV73">
        <v>40188</v>
      </c>
      <c r="AW73">
        <v>40492</v>
      </c>
      <c r="AX73">
        <v>1707</v>
      </c>
      <c r="AY73">
        <v>341.68</v>
      </c>
      <c r="AZ73">
        <v>0.84179999999999999</v>
      </c>
      <c r="BA73">
        <v>158.07</v>
      </c>
      <c r="BB73">
        <v>0.99250000000000005</v>
      </c>
      <c r="BC73">
        <v>0.90341382181515406</v>
      </c>
      <c r="BD73">
        <v>0.8367</v>
      </c>
      <c r="BE73">
        <v>0.75019999999999998</v>
      </c>
    </row>
    <row r="74" spans="1:57" x14ac:dyDescent="0.35">
      <c r="A74" t="s">
        <v>725</v>
      </c>
      <c r="B74" t="s">
        <v>726</v>
      </c>
      <c r="C74" t="s">
        <v>562</v>
      </c>
      <c r="D74" t="s">
        <v>549</v>
      </c>
      <c r="E74" t="s">
        <v>551</v>
      </c>
      <c r="F74" t="s">
        <v>123</v>
      </c>
      <c r="G74" t="s">
        <v>558</v>
      </c>
      <c r="H74">
        <v>1268</v>
      </c>
      <c r="I74">
        <v>0.1438819041737526</v>
      </c>
      <c r="J74">
        <v>1450</v>
      </c>
      <c r="K74">
        <v>2077</v>
      </c>
      <c r="L74">
        <v>614</v>
      </c>
      <c r="M74" t="s">
        <v>622</v>
      </c>
      <c r="N74">
        <v>4.16</v>
      </c>
      <c r="O74">
        <v>4.9000000000000004</v>
      </c>
      <c r="P74">
        <v>50.2</v>
      </c>
      <c r="Q74">
        <v>27.2</v>
      </c>
      <c r="R74">
        <v>4</v>
      </c>
      <c r="S74">
        <v>9.11E-2</v>
      </c>
      <c r="T74">
        <v>2.3800000000000002E-2</v>
      </c>
      <c r="U74">
        <v>0.91949999999999998</v>
      </c>
      <c r="AH74">
        <v>1603.94</v>
      </c>
      <c r="AI74">
        <v>39.39</v>
      </c>
      <c r="AJ74">
        <v>109.3</v>
      </c>
      <c r="AK74">
        <v>120.8</v>
      </c>
      <c r="AL74">
        <v>1873.43</v>
      </c>
      <c r="AM74">
        <v>0.15343638850283631</v>
      </c>
      <c r="AN74">
        <v>2212.98</v>
      </c>
      <c r="AO74">
        <v>339.55</v>
      </c>
      <c r="AP74">
        <v>0.15340000000000001</v>
      </c>
      <c r="AQ74">
        <v>0.84660000000000002</v>
      </c>
      <c r="AR74">
        <v>25770</v>
      </c>
      <c r="AS74">
        <v>2148</v>
      </c>
      <c r="AT74">
        <v>0.16209999999999999</v>
      </c>
      <c r="AU74">
        <v>24307</v>
      </c>
      <c r="AV74">
        <v>24307</v>
      </c>
      <c r="AW74">
        <v>24900</v>
      </c>
      <c r="AX74">
        <v>1314</v>
      </c>
      <c r="AY74">
        <v>107.31</v>
      </c>
      <c r="AZ74">
        <v>0.95799999999999996</v>
      </c>
      <c r="BA74">
        <v>119.71</v>
      </c>
      <c r="BB74">
        <v>0.97619999999999996</v>
      </c>
      <c r="BC74">
        <v>0.84897959183673466</v>
      </c>
      <c r="BD74">
        <v>0.8538</v>
      </c>
      <c r="BE74">
        <v>0.70760000000000001</v>
      </c>
    </row>
    <row r="75" spans="1:57" x14ac:dyDescent="0.35">
      <c r="A75" t="s">
        <v>727</v>
      </c>
      <c r="B75" t="s">
        <v>728</v>
      </c>
      <c r="C75" t="s">
        <v>562</v>
      </c>
      <c r="D75" t="s">
        <v>556</v>
      </c>
      <c r="E75" t="s">
        <v>551</v>
      </c>
      <c r="F75" t="s">
        <v>123</v>
      </c>
      <c r="G75" t="s">
        <v>551</v>
      </c>
      <c r="H75">
        <v>2920</v>
      </c>
      <c r="I75">
        <v>3.3590702827620542E-2</v>
      </c>
      <c r="J75">
        <v>3018</v>
      </c>
      <c r="K75">
        <v>9450</v>
      </c>
      <c r="L75">
        <v>2172</v>
      </c>
      <c r="M75" t="s">
        <v>656</v>
      </c>
      <c r="N75">
        <v>2.59</v>
      </c>
      <c r="O75">
        <v>2.9</v>
      </c>
      <c r="P75">
        <v>46.9</v>
      </c>
      <c r="Q75">
        <v>38.299999999999997</v>
      </c>
      <c r="R75">
        <v>3</v>
      </c>
      <c r="S75">
        <v>0.11609999999999999</v>
      </c>
      <c r="T75">
        <v>8.9999999999999993E-3</v>
      </c>
      <c r="U75">
        <v>0.8609</v>
      </c>
      <c r="AH75">
        <v>996.51</v>
      </c>
      <c r="AI75">
        <v>47.78</v>
      </c>
      <c r="AJ75">
        <v>33.840000000000003</v>
      </c>
      <c r="AK75">
        <v>117.51</v>
      </c>
      <c r="AL75">
        <v>1195.6400000000001</v>
      </c>
      <c r="AM75">
        <v>0.21209406509244999</v>
      </c>
      <c r="AN75">
        <v>1517.49</v>
      </c>
      <c r="AO75">
        <v>321.85000000000002</v>
      </c>
      <c r="AP75">
        <v>0.21210000000000001</v>
      </c>
      <c r="AQ75">
        <v>0.78790000000000004</v>
      </c>
      <c r="AR75">
        <v>54321</v>
      </c>
      <c r="AS75">
        <v>4527</v>
      </c>
      <c r="AT75">
        <v>0.24779999999999999</v>
      </c>
      <c r="AU75">
        <v>47043</v>
      </c>
      <c r="AV75">
        <v>47043</v>
      </c>
      <c r="AW75">
        <v>47470</v>
      </c>
      <c r="AX75">
        <v>3047</v>
      </c>
      <c r="AY75">
        <v>147.27000000000001</v>
      </c>
      <c r="AZ75">
        <v>0.87060000000000004</v>
      </c>
      <c r="BA75">
        <v>353.76</v>
      </c>
      <c r="BB75">
        <v>0.99099999999999999</v>
      </c>
      <c r="BC75">
        <v>0.89310344827586208</v>
      </c>
      <c r="BD75">
        <v>0.85910000000000009</v>
      </c>
      <c r="BE75">
        <v>0.76039999999999996</v>
      </c>
    </row>
    <row r="76" spans="1:57" x14ac:dyDescent="0.35">
      <c r="A76" t="s">
        <v>729</v>
      </c>
      <c r="B76" t="s">
        <v>730</v>
      </c>
      <c r="C76" t="s">
        <v>606</v>
      </c>
      <c r="D76" t="s">
        <v>556</v>
      </c>
      <c r="E76" t="s">
        <v>550</v>
      </c>
      <c r="F76" t="s">
        <v>123</v>
      </c>
      <c r="G76" t="s">
        <v>551</v>
      </c>
      <c r="H76">
        <v>154</v>
      </c>
      <c r="I76">
        <v>-1.0961850658452409E-2</v>
      </c>
      <c r="J76">
        <v>152</v>
      </c>
      <c r="K76">
        <v>1635</v>
      </c>
      <c r="L76">
        <v>412</v>
      </c>
      <c r="M76" t="s">
        <v>567</v>
      </c>
      <c r="N76">
        <v>4.6900000000000004</v>
      </c>
      <c r="O76">
        <v>5.2</v>
      </c>
      <c r="P76">
        <v>80.7</v>
      </c>
      <c r="Q76">
        <v>77</v>
      </c>
      <c r="R76">
        <v>3</v>
      </c>
      <c r="S76">
        <v>0.3503</v>
      </c>
      <c r="T76">
        <v>6.7999999999999996E-3</v>
      </c>
      <c r="U76">
        <v>0.96840000000000004</v>
      </c>
      <c r="AH76">
        <v>1263.1600000000001</v>
      </c>
      <c r="AI76">
        <v>156.28</v>
      </c>
      <c r="AJ76">
        <v>143.77000000000001</v>
      </c>
      <c r="AK76">
        <v>112.45</v>
      </c>
      <c r="AL76">
        <v>1675.66</v>
      </c>
      <c r="AM76">
        <v>0.20360162074829111</v>
      </c>
      <c r="AN76">
        <v>2104.0500000000002</v>
      </c>
      <c r="AO76">
        <v>428.39</v>
      </c>
      <c r="AP76">
        <v>0.2036</v>
      </c>
      <c r="AQ76">
        <v>0.7964</v>
      </c>
      <c r="AR76">
        <v>12235</v>
      </c>
      <c r="AS76">
        <v>1020</v>
      </c>
      <c r="AT76">
        <v>0.20830000000000001</v>
      </c>
      <c r="AU76">
        <v>11012</v>
      </c>
      <c r="AV76">
        <v>11012</v>
      </c>
      <c r="AW76">
        <v>11087</v>
      </c>
      <c r="AX76">
        <v>3219</v>
      </c>
      <c r="AY76">
        <v>278.98</v>
      </c>
      <c r="AZ76">
        <v>0.91639999999999999</v>
      </c>
      <c r="BA76">
        <v>1127.6199999999999</v>
      </c>
      <c r="BB76">
        <v>0.99319999999999997</v>
      </c>
      <c r="BC76">
        <v>0.90192307692307694</v>
      </c>
      <c r="BD76">
        <v>0.90759999999999996</v>
      </c>
      <c r="BE76">
        <v>0.81299999999999994</v>
      </c>
    </row>
    <row r="77" spans="1:57" x14ac:dyDescent="0.35">
      <c r="A77" t="s">
        <v>731</v>
      </c>
      <c r="B77" t="s">
        <v>732</v>
      </c>
      <c r="C77" t="s">
        <v>606</v>
      </c>
      <c r="D77" t="s">
        <v>556</v>
      </c>
      <c r="E77" t="s">
        <v>557</v>
      </c>
      <c r="F77" t="s">
        <v>123</v>
      </c>
      <c r="G77" t="s">
        <v>566</v>
      </c>
      <c r="H77">
        <v>827</v>
      </c>
      <c r="I77">
        <v>-2.3972854503856542E-2</v>
      </c>
      <c r="J77">
        <v>807</v>
      </c>
      <c r="K77">
        <v>2437</v>
      </c>
      <c r="L77">
        <v>501</v>
      </c>
      <c r="M77" t="s">
        <v>609</v>
      </c>
      <c r="N77">
        <v>4.58</v>
      </c>
      <c r="O77">
        <v>5.04</v>
      </c>
      <c r="P77">
        <v>48.8</v>
      </c>
      <c r="Q77">
        <v>26</v>
      </c>
      <c r="R77">
        <v>2</v>
      </c>
      <c r="S77">
        <v>6.0100000000000001E-2</v>
      </c>
      <c r="T77">
        <v>1.26E-2</v>
      </c>
      <c r="U77">
        <v>0.96419999999999995</v>
      </c>
      <c r="AH77">
        <v>257.81</v>
      </c>
      <c r="AI77">
        <v>23.62</v>
      </c>
      <c r="AJ77">
        <v>131.4</v>
      </c>
      <c r="AK77">
        <v>43.44</v>
      </c>
      <c r="AL77">
        <v>456.27</v>
      </c>
      <c r="AM77">
        <v>0.21770158200924311</v>
      </c>
      <c r="AN77">
        <v>583.24</v>
      </c>
      <c r="AO77">
        <v>126.97</v>
      </c>
      <c r="AP77">
        <v>0.2177</v>
      </c>
      <c r="AQ77">
        <v>0.7823</v>
      </c>
      <c r="AR77">
        <v>41874</v>
      </c>
      <c r="AS77">
        <v>3490</v>
      </c>
      <c r="AT77">
        <v>0.12230000000000001</v>
      </c>
      <c r="AU77">
        <v>39938</v>
      </c>
      <c r="AV77">
        <v>39938</v>
      </c>
      <c r="AW77">
        <v>40448</v>
      </c>
      <c r="AX77">
        <v>4010</v>
      </c>
      <c r="AY77">
        <v>336.84</v>
      </c>
      <c r="AZ77">
        <v>0.83089999999999997</v>
      </c>
      <c r="BA77">
        <v>241</v>
      </c>
      <c r="BB77">
        <v>0.98740000000000006</v>
      </c>
      <c r="BC77">
        <v>0.90873015873015872</v>
      </c>
      <c r="BD77">
        <v>0.91039999999999999</v>
      </c>
      <c r="BE77">
        <v>0.81689999999999996</v>
      </c>
    </row>
    <row r="78" spans="1:57" x14ac:dyDescent="0.35">
      <c r="A78" t="s">
        <v>733</v>
      </c>
      <c r="B78" t="s">
        <v>734</v>
      </c>
      <c r="C78" t="s">
        <v>548</v>
      </c>
      <c r="D78" t="s">
        <v>549</v>
      </c>
      <c r="E78" t="s">
        <v>557</v>
      </c>
      <c r="F78" t="s">
        <v>123</v>
      </c>
      <c r="G78" t="s">
        <v>628</v>
      </c>
      <c r="H78">
        <v>577</v>
      </c>
      <c r="I78">
        <v>0.1007993505442449</v>
      </c>
      <c r="J78">
        <v>635</v>
      </c>
      <c r="K78">
        <v>8630</v>
      </c>
      <c r="L78">
        <v>1181</v>
      </c>
      <c r="M78" t="s">
        <v>735</v>
      </c>
      <c r="N78">
        <v>2.13</v>
      </c>
      <c r="O78">
        <v>2.4900000000000002</v>
      </c>
      <c r="P78">
        <v>53.1</v>
      </c>
      <c r="Q78">
        <v>14</v>
      </c>
      <c r="R78">
        <v>1</v>
      </c>
      <c r="S78">
        <v>5.7299999999999997E-2</v>
      </c>
      <c r="T78">
        <v>1.1299999999999999E-2</v>
      </c>
      <c r="U78">
        <v>0.8377</v>
      </c>
      <c r="AH78">
        <v>1296.78</v>
      </c>
      <c r="AI78">
        <v>17.88</v>
      </c>
      <c r="AJ78">
        <v>50.06</v>
      </c>
      <c r="AK78">
        <v>153.44</v>
      </c>
      <c r="AL78">
        <v>1518.16</v>
      </c>
      <c r="AM78">
        <v>0.2118899425699716</v>
      </c>
      <c r="AN78">
        <v>1926.33</v>
      </c>
      <c r="AO78">
        <v>408.17</v>
      </c>
      <c r="AP78">
        <v>0.21190000000000001</v>
      </c>
      <c r="AQ78">
        <v>0.78810000000000002</v>
      </c>
      <c r="AR78">
        <v>44079</v>
      </c>
      <c r="AS78">
        <v>3673</v>
      </c>
      <c r="AT78">
        <v>0.17150000000000001</v>
      </c>
      <c r="AU78">
        <v>36630</v>
      </c>
      <c r="AV78">
        <v>36630</v>
      </c>
      <c r="AW78">
        <v>37049</v>
      </c>
      <c r="AX78">
        <v>2724</v>
      </c>
      <c r="AY78">
        <v>113.05</v>
      </c>
      <c r="AZ78">
        <v>0.89449999999999996</v>
      </c>
      <c r="BA78">
        <v>156.09</v>
      </c>
      <c r="BB78">
        <v>0.98870000000000002</v>
      </c>
      <c r="BC78">
        <v>0.85542168674698782</v>
      </c>
      <c r="BD78">
        <v>0.87180000000000002</v>
      </c>
      <c r="BE78">
        <v>0.73729999999999996</v>
      </c>
    </row>
    <row r="79" spans="1:57" x14ac:dyDescent="0.35">
      <c r="A79" t="s">
        <v>736</v>
      </c>
      <c r="B79" t="s">
        <v>737</v>
      </c>
      <c r="C79" t="s">
        <v>573</v>
      </c>
      <c r="D79" t="s">
        <v>549</v>
      </c>
      <c r="E79" t="s">
        <v>557</v>
      </c>
      <c r="F79" t="s">
        <v>123</v>
      </c>
      <c r="G79" t="s">
        <v>551</v>
      </c>
      <c r="H79">
        <v>1477</v>
      </c>
      <c r="I79">
        <v>-4.6749519122315987E-2</v>
      </c>
      <c r="J79">
        <v>1408</v>
      </c>
      <c r="K79">
        <v>10132</v>
      </c>
      <c r="L79">
        <v>2875</v>
      </c>
      <c r="M79" t="s">
        <v>601</v>
      </c>
      <c r="N79">
        <v>10.55</v>
      </c>
      <c r="O79">
        <v>12.47</v>
      </c>
      <c r="P79">
        <v>26.5</v>
      </c>
      <c r="Q79">
        <v>39</v>
      </c>
      <c r="R79">
        <v>1</v>
      </c>
      <c r="S79">
        <v>5.8299999999999998E-2</v>
      </c>
      <c r="T79">
        <v>2.8E-3</v>
      </c>
      <c r="U79">
        <v>0.80710000000000004</v>
      </c>
      <c r="AH79">
        <v>1184.55</v>
      </c>
      <c r="AI79">
        <v>24.05</v>
      </c>
      <c r="AJ79">
        <v>365.9</v>
      </c>
      <c r="AK79">
        <v>126.54</v>
      </c>
      <c r="AL79">
        <v>1701.04</v>
      </c>
      <c r="AM79">
        <v>0.1656315739357114</v>
      </c>
      <c r="AN79">
        <v>2038.72</v>
      </c>
      <c r="AO79">
        <v>337.68</v>
      </c>
      <c r="AP79">
        <v>0.1656</v>
      </c>
      <c r="AQ79">
        <v>0.83440000000000003</v>
      </c>
      <c r="AR79">
        <v>79850</v>
      </c>
      <c r="AS79">
        <v>6654</v>
      </c>
      <c r="AT79">
        <v>0.2487</v>
      </c>
      <c r="AU79">
        <v>72593</v>
      </c>
      <c r="AV79">
        <v>72593</v>
      </c>
      <c r="AW79">
        <v>72797</v>
      </c>
      <c r="AX79">
        <v>2408</v>
      </c>
      <c r="AY79">
        <v>500.46</v>
      </c>
      <c r="AZ79">
        <v>0.85140000000000005</v>
      </c>
      <c r="BA79">
        <v>140.38999999999999</v>
      </c>
      <c r="BB79">
        <v>0.99719999999999998</v>
      </c>
      <c r="BC79">
        <v>0.84603047313552526</v>
      </c>
      <c r="BD79">
        <v>0.86569999999999991</v>
      </c>
      <c r="BE79">
        <v>0.73040000000000005</v>
      </c>
    </row>
    <row r="80" spans="1:57" x14ac:dyDescent="0.35">
      <c r="A80" t="s">
        <v>738</v>
      </c>
      <c r="B80" t="s">
        <v>739</v>
      </c>
      <c r="C80" t="s">
        <v>548</v>
      </c>
      <c r="D80" t="s">
        <v>556</v>
      </c>
      <c r="E80" t="s">
        <v>557</v>
      </c>
      <c r="F80" t="s">
        <v>123</v>
      </c>
      <c r="G80" t="s">
        <v>551</v>
      </c>
      <c r="H80">
        <v>1013</v>
      </c>
      <c r="I80">
        <v>0.17765600088507599</v>
      </c>
      <c r="J80">
        <v>1193</v>
      </c>
      <c r="K80">
        <v>3653</v>
      </c>
      <c r="L80">
        <v>920</v>
      </c>
      <c r="M80" t="s">
        <v>677</v>
      </c>
      <c r="N80">
        <v>2.39</v>
      </c>
      <c r="O80">
        <v>2.81</v>
      </c>
      <c r="P80">
        <v>32</v>
      </c>
      <c r="Q80">
        <v>44.3</v>
      </c>
      <c r="R80">
        <v>1</v>
      </c>
      <c r="S80">
        <v>1.8800000000000001E-2</v>
      </c>
      <c r="T80">
        <v>9.4000000000000004E-3</v>
      </c>
      <c r="U80">
        <v>0.93340000000000001</v>
      </c>
      <c r="AH80">
        <v>494.06</v>
      </c>
      <c r="AI80">
        <v>9.24</v>
      </c>
      <c r="AJ80">
        <v>51.58</v>
      </c>
      <c r="AK80">
        <v>63.09</v>
      </c>
      <c r="AL80">
        <v>617.97</v>
      </c>
      <c r="AM80">
        <v>0.26473512914920511</v>
      </c>
      <c r="AN80">
        <v>840.47</v>
      </c>
      <c r="AO80">
        <v>222.5</v>
      </c>
      <c r="AP80">
        <v>0.26469999999999999</v>
      </c>
      <c r="AQ80">
        <v>0.73529999999999995</v>
      </c>
      <c r="AR80">
        <v>39018</v>
      </c>
      <c r="AS80">
        <v>3252</v>
      </c>
      <c r="AT80">
        <v>0.2258</v>
      </c>
      <c r="AU80">
        <v>36285</v>
      </c>
      <c r="AV80">
        <v>36285</v>
      </c>
      <c r="AW80">
        <v>36629</v>
      </c>
      <c r="AX80">
        <v>1985</v>
      </c>
      <c r="AY80">
        <v>92.96</v>
      </c>
      <c r="AZ80">
        <v>0.88029999999999997</v>
      </c>
      <c r="BA80">
        <v>37.32</v>
      </c>
      <c r="BB80">
        <v>0.99060000000000004</v>
      </c>
      <c r="BC80">
        <v>0.85053380782918153</v>
      </c>
      <c r="BD80">
        <v>0.86950000000000005</v>
      </c>
      <c r="BE80">
        <v>0.73260000000000003</v>
      </c>
    </row>
    <row r="81" spans="1:57" x14ac:dyDescent="0.35">
      <c r="A81" t="s">
        <v>740</v>
      </c>
      <c r="B81" t="s">
        <v>741</v>
      </c>
      <c r="C81" t="s">
        <v>555</v>
      </c>
      <c r="D81" t="s">
        <v>549</v>
      </c>
      <c r="E81" t="s">
        <v>551</v>
      </c>
      <c r="F81" t="s">
        <v>123</v>
      </c>
      <c r="G81" t="s">
        <v>628</v>
      </c>
      <c r="H81">
        <v>392</v>
      </c>
      <c r="I81">
        <v>5.2352913047810097E-2</v>
      </c>
      <c r="J81">
        <v>413</v>
      </c>
      <c r="K81">
        <v>6638</v>
      </c>
      <c r="L81">
        <v>474</v>
      </c>
      <c r="M81" t="s">
        <v>601</v>
      </c>
      <c r="N81">
        <v>5.72</v>
      </c>
      <c r="O81">
        <v>6.55</v>
      </c>
      <c r="P81">
        <v>58</v>
      </c>
      <c r="Q81">
        <v>51.7</v>
      </c>
      <c r="R81">
        <v>3</v>
      </c>
      <c r="S81">
        <v>9.5899999999999999E-2</v>
      </c>
      <c r="T81">
        <v>1.4500000000000001E-2</v>
      </c>
      <c r="U81">
        <v>0.94899999999999995</v>
      </c>
      <c r="AH81">
        <v>1248.3900000000001</v>
      </c>
      <c r="AI81">
        <v>32.130000000000003</v>
      </c>
      <c r="AJ81">
        <v>194.42</v>
      </c>
      <c r="AK81">
        <v>112.7</v>
      </c>
      <c r="AL81">
        <v>1587.64</v>
      </c>
      <c r="AM81">
        <v>0.3331833686965413</v>
      </c>
      <c r="AN81">
        <v>2380.92</v>
      </c>
      <c r="AO81">
        <v>793.28</v>
      </c>
      <c r="AP81">
        <v>0.3332</v>
      </c>
      <c r="AQ81">
        <v>0.66679999999999995</v>
      </c>
      <c r="AR81">
        <v>55130</v>
      </c>
      <c r="AS81">
        <v>4594</v>
      </c>
      <c r="AT81">
        <v>9.6600000000000005E-2</v>
      </c>
      <c r="AU81">
        <v>48966</v>
      </c>
      <c r="AV81">
        <v>48966</v>
      </c>
      <c r="AW81">
        <v>49686</v>
      </c>
      <c r="AX81">
        <v>1643</v>
      </c>
      <c r="AY81">
        <v>179.36</v>
      </c>
      <c r="AZ81">
        <v>0.85140000000000005</v>
      </c>
      <c r="BA81">
        <v>157.56</v>
      </c>
      <c r="BB81">
        <v>0.98550000000000004</v>
      </c>
      <c r="BC81">
        <v>0.87328244274809164</v>
      </c>
      <c r="BD81">
        <v>0.86569999999999991</v>
      </c>
      <c r="BE81">
        <v>0.745</v>
      </c>
    </row>
    <row r="82" spans="1:57" x14ac:dyDescent="0.35">
      <c r="A82" t="s">
        <v>742</v>
      </c>
      <c r="B82" t="s">
        <v>743</v>
      </c>
      <c r="C82" t="s">
        <v>555</v>
      </c>
      <c r="D82" t="s">
        <v>556</v>
      </c>
      <c r="E82" t="s">
        <v>550</v>
      </c>
      <c r="F82" t="s">
        <v>123</v>
      </c>
      <c r="G82" t="s">
        <v>551</v>
      </c>
      <c r="H82">
        <v>1713</v>
      </c>
      <c r="I82">
        <v>9.1444154991640117E-2</v>
      </c>
      <c r="J82">
        <v>1870</v>
      </c>
      <c r="K82">
        <v>3446</v>
      </c>
      <c r="L82">
        <v>408</v>
      </c>
      <c r="M82" t="s">
        <v>609</v>
      </c>
      <c r="N82">
        <v>7.42</v>
      </c>
      <c r="O82">
        <v>7.82</v>
      </c>
      <c r="P82">
        <v>75.2</v>
      </c>
      <c r="Q82">
        <v>55.5</v>
      </c>
      <c r="R82">
        <v>3</v>
      </c>
      <c r="S82">
        <v>0.44340000000000002</v>
      </c>
      <c r="T82">
        <v>1.6899999999999998E-2</v>
      </c>
      <c r="U82">
        <v>0.97419999999999995</v>
      </c>
      <c r="AH82">
        <v>725.44</v>
      </c>
      <c r="AI82">
        <v>194.21</v>
      </c>
      <c r="AJ82">
        <v>182.66</v>
      </c>
      <c r="AK82">
        <v>129.51</v>
      </c>
      <c r="AL82">
        <v>1231.82</v>
      </c>
      <c r="AM82">
        <v>0.30168293117935913</v>
      </c>
      <c r="AN82">
        <v>1763.98</v>
      </c>
      <c r="AO82">
        <v>532.16</v>
      </c>
      <c r="AP82">
        <v>0.30170000000000002</v>
      </c>
      <c r="AQ82">
        <v>0.69830000000000003</v>
      </c>
      <c r="AR82">
        <v>19287</v>
      </c>
      <c r="AS82">
        <v>1607</v>
      </c>
      <c r="AT82">
        <v>0.2001</v>
      </c>
      <c r="AU82">
        <v>16249</v>
      </c>
      <c r="AV82">
        <v>16249</v>
      </c>
      <c r="AW82">
        <v>16528</v>
      </c>
      <c r="AX82">
        <v>1638</v>
      </c>
      <c r="AY82">
        <v>213.49</v>
      </c>
      <c r="AZ82">
        <v>0.83089999999999997</v>
      </c>
      <c r="BA82">
        <v>726.29</v>
      </c>
      <c r="BB82">
        <v>0.98309999999999997</v>
      </c>
      <c r="BC82">
        <v>0.94884910485933505</v>
      </c>
      <c r="BD82">
        <v>0.91039999999999999</v>
      </c>
      <c r="BE82">
        <v>0.84919999999999995</v>
      </c>
    </row>
    <row r="83" spans="1:57" x14ac:dyDescent="0.35">
      <c r="A83" t="s">
        <v>744</v>
      </c>
      <c r="B83" t="s">
        <v>745</v>
      </c>
      <c r="C83" t="s">
        <v>562</v>
      </c>
      <c r="D83" t="s">
        <v>556</v>
      </c>
      <c r="E83" t="s">
        <v>551</v>
      </c>
      <c r="F83" t="s">
        <v>123</v>
      </c>
      <c r="G83" t="s">
        <v>551</v>
      </c>
      <c r="H83">
        <v>336</v>
      </c>
      <c r="I83">
        <v>5.0637510899245133E-2</v>
      </c>
      <c r="J83">
        <v>353</v>
      </c>
      <c r="K83">
        <v>1679</v>
      </c>
      <c r="L83">
        <v>387</v>
      </c>
      <c r="M83" t="s">
        <v>567</v>
      </c>
      <c r="N83">
        <v>1.26</v>
      </c>
      <c r="O83">
        <v>1.36</v>
      </c>
      <c r="P83">
        <v>53</v>
      </c>
      <c r="Q83">
        <v>48.8</v>
      </c>
      <c r="R83">
        <v>2</v>
      </c>
      <c r="S83">
        <v>6.1600000000000002E-2</v>
      </c>
      <c r="T83">
        <v>1.0200000000000001E-2</v>
      </c>
      <c r="U83">
        <v>0.96020000000000005</v>
      </c>
      <c r="AH83">
        <v>635.66</v>
      </c>
      <c r="AI83">
        <v>20.96</v>
      </c>
      <c r="AJ83">
        <v>30.86</v>
      </c>
      <c r="AK83">
        <v>38.67</v>
      </c>
      <c r="AL83">
        <v>726.15</v>
      </c>
      <c r="AM83">
        <v>0.31821791714952002</v>
      </c>
      <c r="AN83">
        <v>1065.08</v>
      </c>
      <c r="AO83">
        <v>338.93</v>
      </c>
      <c r="AP83">
        <v>0.31819999999999998</v>
      </c>
      <c r="AQ83">
        <v>0.68179999999999996</v>
      </c>
      <c r="AR83">
        <v>17537</v>
      </c>
      <c r="AS83">
        <v>1461</v>
      </c>
      <c r="AT83">
        <v>0.13869999999999999</v>
      </c>
      <c r="AU83">
        <v>16245</v>
      </c>
      <c r="AV83">
        <v>16245</v>
      </c>
      <c r="AW83">
        <v>16412</v>
      </c>
      <c r="AX83">
        <v>4766</v>
      </c>
      <c r="AY83">
        <v>108.03</v>
      </c>
      <c r="AZ83">
        <v>0.91639999999999999</v>
      </c>
      <c r="BA83">
        <v>293.58999999999997</v>
      </c>
      <c r="BB83">
        <v>0.98980000000000001</v>
      </c>
      <c r="BC83">
        <v>0.92647058823529405</v>
      </c>
      <c r="BD83">
        <v>0.90759999999999996</v>
      </c>
      <c r="BE83">
        <v>0.83230000000000004</v>
      </c>
    </row>
    <row r="84" spans="1:57" x14ac:dyDescent="0.35">
      <c r="A84" t="s">
        <v>746</v>
      </c>
      <c r="B84" t="s">
        <v>747</v>
      </c>
      <c r="C84" t="s">
        <v>606</v>
      </c>
      <c r="D84" t="s">
        <v>556</v>
      </c>
      <c r="E84" t="s">
        <v>557</v>
      </c>
      <c r="F84" t="s">
        <v>123</v>
      </c>
      <c r="G84" t="s">
        <v>558</v>
      </c>
      <c r="H84">
        <v>1304</v>
      </c>
      <c r="I84">
        <v>-4.5402330863133319E-2</v>
      </c>
      <c r="J84">
        <v>1245</v>
      </c>
      <c r="K84">
        <v>3929</v>
      </c>
      <c r="L84">
        <v>550</v>
      </c>
      <c r="M84" t="s">
        <v>656</v>
      </c>
      <c r="N84">
        <v>1.92</v>
      </c>
      <c r="O84">
        <v>1.99</v>
      </c>
      <c r="P84">
        <v>39.6</v>
      </c>
      <c r="Q84">
        <v>43</v>
      </c>
      <c r="R84">
        <v>2</v>
      </c>
      <c r="S84">
        <v>2.29E-2</v>
      </c>
      <c r="T84">
        <v>1.23E-2</v>
      </c>
      <c r="U84">
        <v>0.90810000000000002</v>
      </c>
      <c r="AH84">
        <v>701.13</v>
      </c>
      <c r="AI84">
        <v>9.32</v>
      </c>
      <c r="AJ84">
        <v>26.51</v>
      </c>
      <c r="AK84">
        <v>72.290000000000006</v>
      </c>
      <c r="AL84">
        <v>809.25</v>
      </c>
      <c r="AM84">
        <v>0.17028729463405981</v>
      </c>
      <c r="AN84">
        <v>975.34</v>
      </c>
      <c r="AO84">
        <v>166.09</v>
      </c>
      <c r="AP84">
        <v>0.17030000000000001</v>
      </c>
      <c r="AQ84">
        <v>0.82969999999999999</v>
      </c>
      <c r="AR84">
        <v>49800</v>
      </c>
      <c r="AS84">
        <v>4150</v>
      </c>
      <c r="AT84">
        <v>8.1199999999999994E-2</v>
      </c>
      <c r="AU84">
        <v>46421</v>
      </c>
      <c r="AV84">
        <v>46421</v>
      </c>
      <c r="AW84">
        <v>46999</v>
      </c>
      <c r="AX84">
        <v>3017</v>
      </c>
      <c r="AY84">
        <v>100.06</v>
      </c>
      <c r="AZ84">
        <v>0.87060000000000004</v>
      </c>
      <c r="BA84">
        <v>69.09</v>
      </c>
      <c r="BB84">
        <v>0.98770000000000002</v>
      </c>
      <c r="BC84">
        <v>0.96482412060301503</v>
      </c>
      <c r="BD84">
        <v>0.85910000000000009</v>
      </c>
      <c r="BE84">
        <v>0.81869999999999998</v>
      </c>
    </row>
    <row r="85" spans="1:57" x14ac:dyDescent="0.35">
      <c r="A85" t="s">
        <v>748</v>
      </c>
      <c r="B85" t="s">
        <v>749</v>
      </c>
      <c r="C85" t="s">
        <v>548</v>
      </c>
      <c r="D85" t="s">
        <v>556</v>
      </c>
      <c r="E85" t="s">
        <v>557</v>
      </c>
      <c r="F85" t="s">
        <v>123</v>
      </c>
      <c r="G85" t="s">
        <v>551</v>
      </c>
      <c r="H85">
        <v>877</v>
      </c>
      <c r="I85">
        <v>0.1300506454080739</v>
      </c>
      <c r="J85">
        <v>991</v>
      </c>
      <c r="K85">
        <v>6478</v>
      </c>
      <c r="L85">
        <v>1990</v>
      </c>
      <c r="M85" t="s">
        <v>677</v>
      </c>
      <c r="N85">
        <v>4.7300000000000004</v>
      </c>
      <c r="O85">
        <v>5.62</v>
      </c>
      <c r="P85">
        <v>26.3</v>
      </c>
      <c r="Q85">
        <v>13.5</v>
      </c>
      <c r="R85">
        <v>2</v>
      </c>
      <c r="S85">
        <v>3.3000000000000002E-2</v>
      </c>
      <c r="T85">
        <v>2.4199999999999999E-2</v>
      </c>
      <c r="U85">
        <v>0.89539999999999997</v>
      </c>
      <c r="AH85">
        <v>141.38999999999999</v>
      </c>
      <c r="AI85">
        <v>10.54</v>
      </c>
      <c r="AJ85">
        <v>155.33000000000001</v>
      </c>
      <c r="AK85">
        <v>25.98</v>
      </c>
      <c r="AL85">
        <v>333.24</v>
      </c>
      <c r="AM85">
        <v>0.3878726775441968</v>
      </c>
      <c r="AN85">
        <v>544.4</v>
      </c>
      <c r="AO85">
        <v>211.16</v>
      </c>
      <c r="AP85">
        <v>0.38790000000000002</v>
      </c>
      <c r="AQ85">
        <v>0.61209999999999998</v>
      </c>
      <c r="AR85">
        <v>93400</v>
      </c>
      <c r="AS85">
        <v>7783</v>
      </c>
      <c r="AT85">
        <v>0.14860000000000001</v>
      </c>
      <c r="AU85">
        <v>88912</v>
      </c>
      <c r="AV85">
        <v>88912</v>
      </c>
      <c r="AW85">
        <v>91117</v>
      </c>
      <c r="AX85">
        <v>4937</v>
      </c>
      <c r="AY85">
        <v>462.43</v>
      </c>
      <c r="AZ85">
        <v>0.88029999999999997</v>
      </c>
      <c r="BA85">
        <v>162.91999999999999</v>
      </c>
      <c r="BB85">
        <v>0.9758</v>
      </c>
      <c r="BC85">
        <v>0.84163701067615659</v>
      </c>
      <c r="BD85">
        <v>0.86950000000000005</v>
      </c>
      <c r="BE85">
        <v>0.71409999999999996</v>
      </c>
    </row>
    <row r="86" spans="1:57" x14ac:dyDescent="0.35">
      <c r="A86" t="s">
        <v>750</v>
      </c>
      <c r="B86" t="s">
        <v>751</v>
      </c>
      <c r="C86" t="s">
        <v>548</v>
      </c>
      <c r="D86" t="s">
        <v>556</v>
      </c>
      <c r="E86" t="s">
        <v>557</v>
      </c>
      <c r="F86" t="s">
        <v>123</v>
      </c>
      <c r="G86" t="s">
        <v>551</v>
      </c>
      <c r="H86">
        <v>1248</v>
      </c>
      <c r="I86">
        <v>0.11625916863656389</v>
      </c>
      <c r="J86">
        <v>1393</v>
      </c>
      <c r="K86">
        <v>5627</v>
      </c>
      <c r="L86">
        <v>747</v>
      </c>
      <c r="M86" t="s">
        <v>622</v>
      </c>
      <c r="N86">
        <v>8.9700000000000006</v>
      </c>
      <c r="O86">
        <v>10.25</v>
      </c>
      <c r="P86">
        <v>32.700000000000003</v>
      </c>
      <c r="Q86">
        <v>31.6</v>
      </c>
      <c r="R86">
        <v>2</v>
      </c>
      <c r="S86">
        <v>5.0500000000000003E-2</v>
      </c>
      <c r="T86">
        <v>1.0699999999999999E-2</v>
      </c>
      <c r="U86">
        <v>0.80500000000000005</v>
      </c>
      <c r="AH86">
        <v>311.29000000000002</v>
      </c>
      <c r="AI86">
        <v>19.7</v>
      </c>
      <c r="AJ86">
        <v>190.14</v>
      </c>
      <c r="AK86">
        <v>40.200000000000003</v>
      </c>
      <c r="AL86">
        <v>561.33000000000004</v>
      </c>
      <c r="AM86">
        <v>0.3596229584607562</v>
      </c>
      <c r="AN86">
        <v>876.56</v>
      </c>
      <c r="AO86">
        <v>315.23</v>
      </c>
      <c r="AP86">
        <v>0.35959999999999998</v>
      </c>
      <c r="AQ86">
        <v>0.64039999999999997</v>
      </c>
      <c r="AR86">
        <v>59437</v>
      </c>
      <c r="AS86">
        <v>4953</v>
      </c>
      <c r="AT86">
        <v>0.11990000000000001</v>
      </c>
      <c r="AU86">
        <v>54557</v>
      </c>
      <c r="AV86">
        <v>54557</v>
      </c>
      <c r="AW86">
        <v>55147</v>
      </c>
      <c r="AX86">
        <v>2911</v>
      </c>
      <c r="AY86">
        <v>497.3</v>
      </c>
      <c r="AZ86">
        <v>0.95799999999999996</v>
      </c>
      <c r="BA86">
        <v>147.01</v>
      </c>
      <c r="BB86">
        <v>0.98929999999999996</v>
      </c>
      <c r="BC86">
        <v>0.87512195121951231</v>
      </c>
      <c r="BD86">
        <v>0.8538</v>
      </c>
      <c r="BE86">
        <v>0.73919999999999997</v>
      </c>
    </row>
    <row r="87" spans="1:57" x14ac:dyDescent="0.35">
      <c r="A87" t="s">
        <v>752</v>
      </c>
      <c r="B87" t="s">
        <v>753</v>
      </c>
      <c r="C87" t="s">
        <v>573</v>
      </c>
      <c r="D87" t="s">
        <v>556</v>
      </c>
      <c r="E87" t="s">
        <v>551</v>
      </c>
      <c r="F87" t="s">
        <v>123</v>
      </c>
      <c r="G87" t="s">
        <v>551</v>
      </c>
      <c r="H87">
        <v>2019</v>
      </c>
      <c r="I87">
        <v>0.18965679432830509</v>
      </c>
      <c r="J87">
        <v>2402</v>
      </c>
      <c r="K87">
        <v>3008</v>
      </c>
      <c r="L87">
        <v>566</v>
      </c>
      <c r="M87" t="s">
        <v>570</v>
      </c>
      <c r="N87">
        <v>2.36</v>
      </c>
      <c r="O87">
        <v>2.73</v>
      </c>
      <c r="P87">
        <v>81.599999999999994</v>
      </c>
      <c r="Q87">
        <v>33.799999999999997</v>
      </c>
      <c r="R87">
        <v>3</v>
      </c>
      <c r="S87">
        <v>0.16650000000000001</v>
      </c>
      <c r="T87">
        <v>9.9000000000000008E-3</v>
      </c>
      <c r="U87">
        <v>0.84440000000000004</v>
      </c>
      <c r="AH87">
        <v>899.02</v>
      </c>
      <c r="AI87">
        <v>75.13</v>
      </c>
      <c r="AJ87">
        <v>36.159999999999997</v>
      </c>
      <c r="AK87">
        <v>95.26</v>
      </c>
      <c r="AL87">
        <v>1105.57</v>
      </c>
      <c r="AM87">
        <v>0.35127257962391573</v>
      </c>
      <c r="AN87">
        <v>1704.21</v>
      </c>
      <c r="AO87">
        <v>598.64</v>
      </c>
      <c r="AP87">
        <v>0.3513</v>
      </c>
      <c r="AQ87">
        <v>0.64870000000000005</v>
      </c>
      <c r="AR87">
        <v>18009</v>
      </c>
      <c r="AS87">
        <v>1501</v>
      </c>
      <c r="AT87">
        <v>0.21920000000000001</v>
      </c>
      <c r="AU87">
        <v>15567</v>
      </c>
      <c r="AV87">
        <v>15567</v>
      </c>
      <c r="AW87">
        <v>15723</v>
      </c>
      <c r="AX87">
        <v>4789</v>
      </c>
      <c r="AY87">
        <v>217.9</v>
      </c>
      <c r="AZ87">
        <v>0.93740000000000001</v>
      </c>
      <c r="BA87">
        <v>797.37</v>
      </c>
      <c r="BB87">
        <v>0.99009999999999998</v>
      </c>
      <c r="BC87">
        <v>0.8644688644688644</v>
      </c>
      <c r="BD87">
        <v>0.87450000000000006</v>
      </c>
      <c r="BE87">
        <v>0.74850000000000005</v>
      </c>
    </row>
    <row r="88" spans="1:57" x14ac:dyDescent="0.35">
      <c r="A88" t="s">
        <v>754</v>
      </c>
      <c r="B88" t="s">
        <v>755</v>
      </c>
      <c r="C88" t="s">
        <v>548</v>
      </c>
      <c r="D88" t="s">
        <v>549</v>
      </c>
      <c r="E88" t="s">
        <v>557</v>
      </c>
      <c r="F88" t="s">
        <v>123</v>
      </c>
      <c r="G88" t="s">
        <v>558</v>
      </c>
      <c r="H88">
        <v>1175</v>
      </c>
      <c r="I88">
        <v>0.12976147629606141</v>
      </c>
      <c r="J88">
        <v>1327</v>
      </c>
      <c r="K88">
        <v>6030</v>
      </c>
      <c r="L88">
        <v>588</v>
      </c>
      <c r="M88" t="s">
        <v>614</v>
      </c>
      <c r="N88">
        <v>10.32</v>
      </c>
      <c r="O88">
        <v>11.18</v>
      </c>
      <c r="P88">
        <v>44.4</v>
      </c>
      <c r="Q88">
        <v>22.3</v>
      </c>
      <c r="R88">
        <v>2</v>
      </c>
      <c r="S88">
        <v>5.9200000000000003E-2</v>
      </c>
      <c r="T88">
        <v>7.6E-3</v>
      </c>
      <c r="U88">
        <v>0.88270000000000004</v>
      </c>
      <c r="AH88">
        <v>745.05</v>
      </c>
      <c r="AI88">
        <v>21.88</v>
      </c>
      <c r="AJ88">
        <v>114.62</v>
      </c>
      <c r="AK88">
        <v>87.51</v>
      </c>
      <c r="AL88">
        <v>969.06</v>
      </c>
      <c r="AM88">
        <v>0.35574595126044178</v>
      </c>
      <c r="AN88">
        <v>1504.16</v>
      </c>
      <c r="AO88">
        <v>535.1</v>
      </c>
      <c r="AP88">
        <v>0.35570000000000002</v>
      </c>
      <c r="AQ88">
        <v>0.64429999999999998</v>
      </c>
      <c r="AR88">
        <v>49942</v>
      </c>
      <c r="AS88">
        <v>4162</v>
      </c>
      <c r="AT88">
        <v>0.13730000000000001</v>
      </c>
      <c r="AU88">
        <v>44500</v>
      </c>
      <c r="AV88">
        <v>44500</v>
      </c>
      <c r="AW88">
        <v>44841</v>
      </c>
      <c r="AX88">
        <v>3457</v>
      </c>
      <c r="AY88">
        <v>644.15</v>
      </c>
      <c r="AZ88">
        <v>0.92549999999999999</v>
      </c>
      <c r="BA88">
        <v>204.65</v>
      </c>
      <c r="BB88">
        <v>0.99239999999999995</v>
      </c>
      <c r="BC88">
        <v>0.92307692307692313</v>
      </c>
      <c r="BD88">
        <v>0.86540000000000006</v>
      </c>
      <c r="BE88">
        <v>0.79279999999999995</v>
      </c>
    </row>
    <row r="89" spans="1:57" x14ac:dyDescent="0.35">
      <c r="A89" t="s">
        <v>756</v>
      </c>
      <c r="B89" t="s">
        <v>757</v>
      </c>
      <c r="C89" t="s">
        <v>562</v>
      </c>
      <c r="D89" t="s">
        <v>556</v>
      </c>
      <c r="E89" t="s">
        <v>551</v>
      </c>
      <c r="F89" t="s">
        <v>123</v>
      </c>
      <c r="G89" t="s">
        <v>558</v>
      </c>
      <c r="H89">
        <v>388</v>
      </c>
      <c r="I89">
        <v>1.7477805598048721E-2</v>
      </c>
      <c r="J89">
        <v>395</v>
      </c>
      <c r="K89">
        <v>3729</v>
      </c>
      <c r="L89">
        <v>1121</v>
      </c>
      <c r="M89" t="s">
        <v>649</v>
      </c>
      <c r="N89">
        <v>9.5399999999999991</v>
      </c>
      <c r="O89">
        <v>11.2</v>
      </c>
      <c r="P89">
        <v>67</v>
      </c>
      <c r="Q89">
        <v>55.4</v>
      </c>
      <c r="R89">
        <v>4</v>
      </c>
      <c r="S89">
        <v>0.1714</v>
      </c>
      <c r="T89">
        <v>1.2500000000000001E-2</v>
      </c>
      <c r="U89">
        <v>0.91310000000000002</v>
      </c>
      <c r="AH89">
        <v>687.26</v>
      </c>
      <c r="AI89">
        <v>74.209999999999994</v>
      </c>
      <c r="AJ89">
        <v>237.39</v>
      </c>
      <c r="AK89">
        <v>50.25</v>
      </c>
      <c r="AL89">
        <v>1049.1099999999999</v>
      </c>
      <c r="AM89">
        <v>0.38317762703319042</v>
      </c>
      <c r="AN89">
        <v>1700.83</v>
      </c>
      <c r="AO89">
        <v>651.72</v>
      </c>
      <c r="AP89">
        <v>0.38319999999999999</v>
      </c>
      <c r="AQ89">
        <v>0.61680000000000001</v>
      </c>
      <c r="AR89">
        <v>44327</v>
      </c>
      <c r="AS89">
        <v>3694</v>
      </c>
      <c r="AT89">
        <v>0.22070000000000001</v>
      </c>
      <c r="AU89">
        <v>41719</v>
      </c>
      <c r="AV89">
        <v>41719</v>
      </c>
      <c r="AW89">
        <v>42247</v>
      </c>
      <c r="AX89">
        <v>1168</v>
      </c>
      <c r="AY89">
        <v>218.03</v>
      </c>
      <c r="AZ89">
        <v>0.85880000000000001</v>
      </c>
      <c r="BA89">
        <v>200.2</v>
      </c>
      <c r="BB89">
        <v>0.98750000000000004</v>
      </c>
      <c r="BC89">
        <v>0.85178571428571426</v>
      </c>
      <c r="BD89">
        <v>0.84340000000000004</v>
      </c>
      <c r="BE89">
        <v>0.70940000000000003</v>
      </c>
    </row>
    <row r="90" spans="1:57" x14ac:dyDescent="0.35">
      <c r="A90" t="s">
        <v>758</v>
      </c>
      <c r="B90" t="s">
        <v>759</v>
      </c>
      <c r="C90" t="s">
        <v>548</v>
      </c>
      <c r="D90" t="s">
        <v>549</v>
      </c>
      <c r="E90" t="s">
        <v>550</v>
      </c>
      <c r="F90" t="s">
        <v>123</v>
      </c>
      <c r="G90" t="s">
        <v>558</v>
      </c>
      <c r="H90">
        <v>1200</v>
      </c>
      <c r="I90">
        <v>0.14272805093645549</v>
      </c>
      <c r="J90">
        <v>1371</v>
      </c>
      <c r="K90">
        <v>460</v>
      </c>
      <c r="L90">
        <v>67</v>
      </c>
      <c r="M90" t="s">
        <v>578</v>
      </c>
      <c r="N90">
        <v>1.5</v>
      </c>
      <c r="O90">
        <v>1.61</v>
      </c>
      <c r="P90">
        <v>62.4</v>
      </c>
      <c r="Q90">
        <v>54.3</v>
      </c>
      <c r="R90">
        <v>4</v>
      </c>
      <c r="S90">
        <v>0.39900000000000002</v>
      </c>
      <c r="T90">
        <v>2.24E-2</v>
      </c>
      <c r="U90">
        <v>0.90029999999999999</v>
      </c>
      <c r="AH90">
        <v>745.6</v>
      </c>
      <c r="AI90">
        <v>183.18</v>
      </c>
      <c r="AJ90">
        <v>33.08</v>
      </c>
      <c r="AK90">
        <v>59.33</v>
      </c>
      <c r="AL90">
        <v>1021.19</v>
      </c>
      <c r="AM90">
        <v>0.28606349152842442</v>
      </c>
      <c r="AN90">
        <v>1430.37</v>
      </c>
      <c r="AO90">
        <v>409.18</v>
      </c>
      <c r="AP90">
        <v>0.28610000000000002</v>
      </c>
      <c r="AQ90">
        <v>0.71389999999999998</v>
      </c>
      <c r="AR90">
        <v>6141</v>
      </c>
      <c r="AS90">
        <v>512</v>
      </c>
      <c r="AT90">
        <v>8.0100000000000005E-2</v>
      </c>
      <c r="AU90">
        <v>5748</v>
      </c>
      <c r="AV90">
        <v>5748</v>
      </c>
      <c r="AW90">
        <v>5880</v>
      </c>
      <c r="AX90">
        <v>1323</v>
      </c>
      <c r="AY90">
        <v>35.5</v>
      </c>
      <c r="AZ90">
        <v>0.96060000000000001</v>
      </c>
      <c r="BA90">
        <v>527.88</v>
      </c>
      <c r="BB90">
        <v>0.97760000000000002</v>
      </c>
      <c r="BC90">
        <v>0.93167701863354035</v>
      </c>
      <c r="BD90">
        <v>0.86430000000000007</v>
      </c>
      <c r="BE90">
        <v>0.78720000000000001</v>
      </c>
    </row>
    <row r="91" spans="1:57" x14ac:dyDescent="0.35">
      <c r="A91" t="s">
        <v>760</v>
      </c>
      <c r="B91" t="s">
        <v>761</v>
      </c>
      <c r="C91" t="s">
        <v>548</v>
      </c>
      <c r="D91" t="s">
        <v>549</v>
      </c>
      <c r="E91" t="s">
        <v>551</v>
      </c>
      <c r="F91" t="s">
        <v>123</v>
      </c>
      <c r="G91" t="s">
        <v>551</v>
      </c>
      <c r="H91">
        <v>538</v>
      </c>
      <c r="I91">
        <v>-3.101664740759448E-2</v>
      </c>
      <c r="J91">
        <v>521</v>
      </c>
      <c r="K91">
        <v>3000</v>
      </c>
      <c r="L91">
        <v>379</v>
      </c>
      <c r="M91" t="s">
        <v>649</v>
      </c>
      <c r="N91">
        <v>14.85</v>
      </c>
      <c r="O91">
        <v>15.3</v>
      </c>
      <c r="P91">
        <v>89.6</v>
      </c>
      <c r="Q91">
        <v>54.7</v>
      </c>
      <c r="R91">
        <v>4</v>
      </c>
      <c r="S91">
        <v>0.1925</v>
      </c>
      <c r="T91">
        <v>6.7000000000000002E-3</v>
      </c>
      <c r="U91">
        <v>0.93369999999999997</v>
      </c>
      <c r="AH91">
        <v>1293.21</v>
      </c>
      <c r="AI91">
        <v>93.45</v>
      </c>
      <c r="AJ91">
        <v>373.12</v>
      </c>
      <c r="AK91">
        <v>175.83</v>
      </c>
      <c r="AL91">
        <v>1935.61</v>
      </c>
      <c r="AM91">
        <v>0.2000705044669065</v>
      </c>
      <c r="AN91">
        <v>2419.73</v>
      </c>
      <c r="AO91">
        <v>484.12</v>
      </c>
      <c r="AP91">
        <v>0.2001</v>
      </c>
      <c r="AQ91">
        <v>0.79990000000000006</v>
      </c>
      <c r="AR91">
        <v>30029</v>
      </c>
      <c r="AS91">
        <v>2502</v>
      </c>
      <c r="AT91">
        <v>0.1323</v>
      </c>
      <c r="AU91">
        <v>27408</v>
      </c>
      <c r="AV91">
        <v>27408</v>
      </c>
      <c r="AW91">
        <v>27593</v>
      </c>
      <c r="AX91">
        <v>762</v>
      </c>
      <c r="AY91">
        <v>194.31</v>
      </c>
      <c r="AZ91">
        <v>0.85880000000000001</v>
      </c>
      <c r="BA91">
        <v>146.68</v>
      </c>
      <c r="BB91">
        <v>0.99329999999999996</v>
      </c>
      <c r="BC91">
        <v>0.97058823529411753</v>
      </c>
      <c r="BD91">
        <v>0.84340000000000004</v>
      </c>
      <c r="BE91">
        <v>0.81310000000000004</v>
      </c>
    </row>
    <row r="92" spans="1:57" x14ac:dyDescent="0.35">
      <c r="A92" t="s">
        <v>762</v>
      </c>
      <c r="B92" t="s">
        <v>763</v>
      </c>
      <c r="C92" t="s">
        <v>548</v>
      </c>
      <c r="D92" t="s">
        <v>549</v>
      </c>
      <c r="E92" t="s">
        <v>557</v>
      </c>
      <c r="F92" t="s">
        <v>123</v>
      </c>
      <c r="G92" t="s">
        <v>566</v>
      </c>
      <c r="H92">
        <v>1454</v>
      </c>
      <c r="I92">
        <v>0.17932839386556071</v>
      </c>
      <c r="J92">
        <v>1715</v>
      </c>
      <c r="K92">
        <v>8769</v>
      </c>
      <c r="L92">
        <v>844</v>
      </c>
      <c r="M92" t="s">
        <v>559</v>
      </c>
      <c r="N92">
        <v>1.9</v>
      </c>
      <c r="O92">
        <v>2.08</v>
      </c>
      <c r="P92">
        <v>40.4</v>
      </c>
      <c r="Q92">
        <v>28.1</v>
      </c>
      <c r="R92">
        <v>2</v>
      </c>
      <c r="S92">
        <v>5.4800000000000001E-2</v>
      </c>
      <c r="T92">
        <v>1.83E-2</v>
      </c>
      <c r="U92">
        <v>0.85040000000000004</v>
      </c>
      <c r="AH92">
        <v>241.36</v>
      </c>
      <c r="AI92">
        <v>19.010000000000002</v>
      </c>
      <c r="AJ92">
        <v>57.83</v>
      </c>
      <c r="AK92">
        <v>30.75</v>
      </c>
      <c r="AL92">
        <v>348.95</v>
      </c>
      <c r="AM92">
        <v>0.30419590196313528</v>
      </c>
      <c r="AN92">
        <v>501.51</v>
      </c>
      <c r="AO92">
        <v>152.56</v>
      </c>
      <c r="AP92">
        <v>0.30420000000000003</v>
      </c>
      <c r="AQ92">
        <v>0.69579999999999997</v>
      </c>
      <c r="AR92">
        <v>45916</v>
      </c>
      <c r="AS92">
        <v>3826</v>
      </c>
      <c r="AT92">
        <v>0.121</v>
      </c>
      <c r="AU92">
        <v>37991</v>
      </c>
      <c r="AV92">
        <v>37991</v>
      </c>
      <c r="AW92">
        <v>38699</v>
      </c>
      <c r="AX92">
        <v>1631</v>
      </c>
      <c r="AY92">
        <v>56.54</v>
      </c>
      <c r="AZ92">
        <v>0.84179999999999999</v>
      </c>
      <c r="BA92">
        <v>89.38</v>
      </c>
      <c r="BB92">
        <v>0.98170000000000002</v>
      </c>
      <c r="BC92">
        <v>0.91346153846153844</v>
      </c>
      <c r="BD92">
        <v>0.8367</v>
      </c>
      <c r="BE92">
        <v>0.75029999999999997</v>
      </c>
    </row>
    <row r="93" spans="1:57" x14ac:dyDescent="0.35">
      <c r="A93" t="s">
        <v>764</v>
      </c>
      <c r="B93" t="s">
        <v>765</v>
      </c>
      <c r="C93" t="s">
        <v>573</v>
      </c>
      <c r="D93" t="s">
        <v>556</v>
      </c>
      <c r="E93" t="s">
        <v>557</v>
      </c>
      <c r="F93" t="s">
        <v>123</v>
      </c>
      <c r="G93" t="s">
        <v>551</v>
      </c>
      <c r="H93">
        <v>363</v>
      </c>
      <c r="I93">
        <v>0.10973734633356549</v>
      </c>
      <c r="J93">
        <v>403</v>
      </c>
      <c r="K93">
        <v>4147</v>
      </c>
      <c r="L93">
        <v>504</v>
      </c>
      <c r="M93" t="s">
        <v>656</v>
      </c>
      <c r="N93">
        <v>8.76</v>
      </c>
      <c r="O93">
        <v>9.8699999999999992</v>
      </c>
      <c r="P93">
        <v>27.8</v>
      </c>
      <c r="Q93">
        <v>28.1</v>
      </c>
      <c r="R93">
        <v>1</v>
      </c>
      <c r="S93">
        <v>4.02E-2</v>
      </c>
      <c r="T93">
        <v>2.5000000000000001E-3</v>
      </c>
      <c r="U93">
        <v>0.90169999999999995</v>
      </c>
      <c r="AH93">
        <v>531.94000000000005</v>
      </c>
      <c r="AI93">
        <v>15.27</v>
      </c>
      <c r="AJ93">
        <v>114.37</v>
      </c>
      <c r="AK93">
        <v>77.819999999999993</v>
      </c>
      <c r="AL93">
        <v>739.4</v>
      </c>
      <c r="AM93">
        <v>0.33572037341698469</v>
      </c>
      <c r="AN93">
        <v>1113.0899999999999</v>
      </c>
      <c r="AO93">
        <v>373.69</v>
      </c>
      <c r="AP93">
        <v>0.3357</v>
      </c>
      <c r="AQ93">
        <v>0.6643</v>
      </c>
      <c r="AR93">
        <v>40878</v>
      </c>
      <c r="AS93">
        <v>3406</v>
      </c>
      <c r="AT93">
        <v>0.1197</v>
      </c>
      <c r="AU93">
        <v>37235</v>
      </c>
      <c r="AV93">
        <v>37235</v>
      </c>
      <c r="AW93">
        <v>37328</v>
      </c>
      <c r="AX93">
        <v>2396</v>
      </c>
      <c r="AY93">
        <v>394.14</v>
      </c>
      <c r="AZ93">
        <v>0.87060000000000004</v>
      </c>
      <c r="BA93">
        <v>96.32</v>
      </c>
      <c r="BB93">
        <v>0.99750000000000005</v>
      </c>
      <c r="BC93">
        <v>0.88753799392097266</v>
      </c>
      <c r="BD93">
        <v>0.85910000000000009</v>
      </c>
      <c r="BE93">
        <v>0.76060000000000005</v>
      </c>
    </row>
    <row r="94" spans="1:57" x14ac:dyDescent="0.35">
      <c r="A94" t="s">
        <v>766</v>
      </c>
      <c r="B94" t="s">
        <v>767</v>
      </c>
      <c r="C94" t="s">
        <v>606</v>
      </c>
      <c r="D94" t="s">
        <v>549</v>
      </c>
      <c r="E94" t="s">
        <v>550</v>
      </c>
      <c r="F94" t="s">
        <v>123</v>
      </c>
      <c r="G94" t="s">
        <v>558</v>
      </c>
      <c r="H94">
        <v>1070</v>
      </c>
      <c r="I94">
        <v>0.19691700199916171</v>
      </c>
      <c r="J94">
        <v>1281</v>
      </c>
      <c r="K94">
        <v>5040</v>
      </c>
      <c r="L94">
        <v>321</v>
      </c>
      <c r="M94" t="s">
        <v>622</v>
      </c>
      <c r="N94">
        <v>11.89</v>
      </c>
      <c r="O94">
        <v>13.21</v>
      </c>
      <c r="P94">
        <v>108.6</v>
      </c>
      <c r="Q94">
        <v>71.099999999999994</v>
      </c>
      <c r="R94">
        <v>3</v>
      </c>
      <c r="S94">
        <v>0.1134</v>
      </c>
      <c r="T94">
        <v>1.34E-2</v>
      </c>
      <c r="U94">
        <v>0.81589999999999996</v>
      </c>
      <c r="AH94">
        <v>1339.52</v>
      </c>
      <c r="AI94">
        <v>37.479999999999997</v>
      </c>
      <c r="AJ94">
        <v>325.36</v>
      </c>
      <c r="AK94">
        <v>175.81</v>
      </c>
      <c r="AL94">
        <v>1878.17</v>
      </c>
      <c r="AM94">
        <v>0.33447934833850629</v>
      </c>
      <c r="AN94">
        <v>2822.11</v>
      </c>
      <c r="AO94">
        <v>943.94</v>
      </c>
      <c r="AP94">
        <v>0.33450000000000002</v>
      </c>
      <c r="AQ94">
        <v>0.66549999999999998</v>
      </c>
      <c r="AR94">
        <v>25425</v>
      </c>
      <c r="AS94">
        <v>2119</v>
      </c>
      <c r="AT94">
        <v>9.1600000000000001E-2</v>
      </c>
      <c r="AU94">
        <v>20706</v>
      </c>
      <c r="AV94">
        <v>20706</v>
      </c>
      <c r="AW94">
        <v>20987</v>
      </c>
      <c r="AX94">
        <v>1108</v>
      </c>
      <c r="AY94">
        <v>243.94</v>
      </c>
      <c r="AZ94">
        <v>0.95799999999999996</v>
      </c>
      <c r="BA94">
        <v>125.65</v>
      </c>
      <c r="BB94">
        <v>0.98660000000000003</v>
      </c>
      <c r="BC94">
        <v>0.90007570022710071</v>
      </c>
      <c r="BD94">
        <v>0.8538</v>
      </c>
      <c r="BE94">
        <v>0.75819999999999999</v>
      </c>
    </row>
    <row r="95" spans="1:57" x14ac:dyDescent="0.35">
      <c r="A95" t="s">
        <v>768</v>
      </c>
      <c r="B95" t="s">
        <v>769</v>
      </c>
      <c r="C95" t="s">
        <v>548</v>
      </c>
      <c r="D95" t="s">
        <v>549</v>
      </c>
      <c r="E95" t="s">
        <v>550</v>
      </c>
      <c r="F95" t="s">
        <v>123</v>
      </c>
      <c r="G95" t="s">
        <v>566</v>
      </c>
      <c r="H95">
        <v>749</v>
      </c>
      <c r="I95">
        <v>2.821371412639688E-2</v>
      </c>
      <c r="J95">
        <v>770</v>
      </c>
      <c r="K95">
        <v>864</v>
      </c>
      <c r="L95">
        <v>92</v>
      </c>
      <c r="M95" t="s">
        <v>596</v>
      </c>
      <c r="N95">
        <v>25.14</v>
      </c>
      <c r="O95">
        <v>29.58</v>
      </c>
      <c r="P95">
        <v>66.8</v>
      </c>
      <c r="Q95">
        <v>42.1</v>
      </c>
      <c r="R95">
        <v>4</v>
      </c>
      <c r="S95">
        <v>0.184</v>
      </c>
      <c r="T95">
        <v>2.2800000000000001E-2</v>
      </c>
      <c r="U95">
        <v>0.87450000000000006</v>
      </c>
      <c r="AH95">
        <v>1308.07</v>
      </c>
      <c r="AI95">
        <v>91.72</v>
      </c>
      <c r="AJ95">
        <v>406.67</v>
      </c>
      <c r="AK95">
        <v>210.55</v>
      </c>
      <c r="AL95">
        <v>2017.01</v>
      </c>
      <c r="AM95">
        <v>0.28036225604171999</v>
      </c>
      <c r="AN95">
        <v>2802.81</v>
      </c>
      <c r="AO95">
        <v>785.8</v>
      </c>
      <c r="AP95">
        <v>0.28039999999999998</v>
      </c>
      <c r="AQ95">
        <v>0.71960000000000002</v>
      </c>
      <c r="AR95">
        <v>7038</v>
      </c>
      <c r="AS95">
        <v>586</v>
      </c>
      <c r="AT95">
        <v>0.1118</v>
      </c>
      <c r="AU95">
        <v>6266</v>
      </c>
      <c r="AV95">
        <v>6266</v>
      </c>
      <c r="AW95">
        <v>6412</v>
      </c>
      <c r="AX95">
        <v>295</v>
      </c>
      <c r="AY95">
        <v>145.44</v>
      </c>
      <c r="AZ95">
        <v>0.94630000000000003</v>
      </c>
      <c r="BA95">
        <v>54.28</v>
      </c>
      <c r="BB95">
        <v>0.97719999999999996</v>
      </c>
      <c r="BC95">
        <v>0.84989858012170394</v>
      </c>
      <c r="BD95">
        <v>0.87060000000000004</v>
      </c>
      <c r="BE95">
        <v>0.72309999999999997</v>
      </c>
    </row>
    <row r="96" spans="1:57" x14ac:dyDescent="0.35">
      <c r="A96" t="s">
        <v>770</v>
      </c>
      <c r="B96" t="s">
        <v>771</v>
      </c>
      <c r="C96" t="s">
        <v>606</v>
      </c>
      <c r="D96" t="s">
        <v>556</v>
      </c>
      <c r="E96" t="s">
        <v>557</v>
      </c>
      <c r="F96" t="s">
        <v>123</v>
      </c>
      <c r="G96" t="s">
        <v>551</v>
      </c>
      <c r="H96">
        <v>322</v>
      </c>
      <c r="I96">
        <v>0.16551066274732831</v>
      </c>
      <c r="J96">
        <v>375</v>
      </c>
      <c r="K96">
        <v>3762</v>
      </c>
      <c r="L96">
        <v>1135</v>
      </c>
      <c r="M96" t="s">
        <v>567</v>
      </c>
      <c r="N96">
        <v>0.76</v>
      </c>
      <c r="O96">
        <v>0.8</v>
      </c>
      <c r="P96">
        <v>26.9</v>
      </c>
      <c r="Q96">
        <v>15.9</v>
      </c>
      <c r="R96">
        <v>1</v>
      </c>
      <c r="S96">
        <v>5.9900000000000002E-2</v>
      </c>
      <c r="T96">
        <v>9.7999999999999997E-3</v>
      </c>
      <c r="U96">
        <v>0.93500000000000005</v>
      </c>
      <c r="AH96">
        <v>409.61</v>
      </c>
      <c r="AI96">
        <v>29.08</v>
      </c>
      <c r="AJ96">
        <v>21.73</v>
      </c>
      <c r="AK96">
        <v>45.66</v>
      </c>
      <c r="AL96">
        <v>506.08</v>
      </c>
      <c r="AM96">
        <v>0.16711467983339451</v>
      </c>
      <c r="AN96">
        <v>607.62</v>
      </c>
      <c r="AO96">
        <v>101.54</v>
      </c>
      <c r="AP96">
        <v>0.1671</v>
      </c>
      <c r="AQ96">
        <v>0.83289999999999997</v>
      </c>
      <c r="AR96">
        <v>48931</v>
      </c>
      <c r="AS96">
        <v>4078</v>
      </c>
      <c r="AT96">
        <v>0.1744</v>
      </c>
      <c r="AU96">
        <v>46304</v>
      </c>
      <c r="AV96">
        <v>46304</v>
      </c>
      <c r="AW96">
        <v>46762</v>
      </c>
      <c r="AX96">
        <v>13579</v>
      </c>
      <c r="AY96">
        <v>181.05</v>
      </c>
      <c r="AZ96">
        <v>0.91639999999999999</v>
      </c>
      <c r="BA96">
        <v>813.38</v>
      </c>
      <c r="BB96">
        <v>0.99019999999999997</v>
      </c>
      <c r="BC96">
        <v>0.95</v>
      </c>
      <c r="BD96">
        <v>0.90759999999999996</v>
      </c>
      <c r="BE96">
        <v>0.8538</v>
      </c>
    </row>
    <row r="97" spans="1:57" x14ac:dyDescent="0.35">
      <c r="A97" t="s">
        <v>772</v>
      </c>
      <c r="B97" t="s">
        <v>773</v>
      </c>
      <c r="C97" t="s">
        <v>555</v>
      </c>
      <c r="D97" t="s">
        <v>549</v>
      </c>
      <c r="E97" t="s">
        <v>557</v>
      </c>
      <c r="F97" t="s">
        <v>123</v>
      </c>
      <c r="G97" t="s">
        <v>551</v>
      </c>
      <c r="H97">
        <v>687</v>
      </c>
      <c r="I97">
        <v>7.0265470961021606E-2</v>
      </c>
      <c r="J97">
        <v>735</v>
      </c>
      <c r="K97">
        <v>5572</v>
      </c>
      <c r="L97">
        <v>363</v>
      </c>
      <c r="M97" t="s">
        <v>593</v>
      </c>
      <c r="N97">
        <v>3.32</v>
      </c>
      <c r="O97">
        <v>3.73</v>
      </c>
      <c r="P97">
        <v>19.3</v>
      </c>
      <c r="Q97">
        <v>24.7</v>
      </c>
      <c r="R97">
        <v>1</v>
      </c>
      <c r="S97">
        <v>2.52E-2</v>
      </c>
      <c r="T97">
        <v>1.4999999999999999E-2</v>
      </c>
      <c r="U97">
        <v>0.92479999999999996</v>
      </c>
      <c r="AH97">
        <v>1139.6199999999999</v>
      </c>
      <c r="AI97">
        <v>10.28</v>
      </c>
      <c r="AJ97">
        <v>98.4</v>
      </c>
      <c r="AK97">
        <v>88.46</v>
      </c>
      <c r="AL97">
        <v>1336.76</v>
      </c>
      <c r="AM97">
        <v>0.24277823460753201</v>
      </c>
      <c r="AN97">
        <v>1765.35</v>
      </c>
      <c r="AO97">
        <v>428.59</v>
      </c>
      <c r="AP97">
        <v>0.24279999999999999</v>
      </c>
      <c r="AQ97">
        <v>0.75719999999999998</v>
      </c>
      <c r="AR97">
        <v>30336</v>
      </c>
      <c r="AS97">
        <v>2528</v>
      </c>
      <c r="AT97">
        <v>0.1295</v>
      </c>
      <c r="AU97">
        <v>25127</v>
      </c>
      <c r="AV97">
        <v>25127</v>
      </c>
      <c r="AW97">
        <v>25510</v>
      </c>
      <c r="AX97">
        <v>3798</v>
      </c>
      <c r="AY97">
        <v>236.11</v>
      </c>
      <c r="AZ97">
        <v>0.85650000000000004</v>
      </c>
      <c r="BA97">
        <v>95.71</v>
      </c>
      <c r="BB97">
        <v>0.98499999999999999</v>
      </c>
      <c r="BC97">
        <v>0.89008042895442352</v>
      </c>
      <c r="BD97">
        <v>0.87629999999999997</v>
      </c>
      <c r="BE97">
        <v>0.76829999999999998</v>
      </c>
    </row>
    <row r="98" spans="1:57" x14ac:dyDescent="0.35">
      <c r="A98" t="s">
        <v>774</v>
      </c>
      <c r="B98" t="s">
        <v>775</v>
      </c>
      <c r="C98" t="s">
        <v>562</v>
      </c>
      <c r="D98" t="s">
        <v>556</v>
      </c>
      <c r="E98" t="s">
        <v>551</v>
      </c>
      <c r="F98" t="s">
        <v>123</v>
      </c>
      <c r="G98" t="s">
        <v>551</v>
      </c>
      <c r="H98">
        <v>103</v>
      </c>
      <c r="I98">
        <v>0.1476807912097409</v>
      </c>
      <c r="J98">
        <v>118</v>
      </c>
      <c r="K98">
        <v>6763</v>
      </c>
      <c r="L98">
        <v>727</v>
      </c>
      <c r="M98" t="s">
        <v>601</v>
      </c>
      <c r="N98">
        <v>4.2</v>
      </c>
      <c r="O98">
        <v>4.6900000000000004</v>
      </c>
      <c r="P98">
        <v>36.799999999999997</v>
      </c>
      <c r="Q98">
        <v>26.9</v>
      </c>
      <c r="R98">
        <v>2</v>
      </c>
      <c r="S98">
        <v>0.18720000000000001</v>
      </c>
      <c r="T98">
        <v>6.7000000000000002E-3</v>
      </c>
      <c r="U98">
        <v>0.97829999999999995</v>
      </c>
      <c r="AH98">
        <v>488.18</v>
      </c>
      <c r="AI98">
        <v>87.69</v>
      </c>
      <c r="AJ98">
        <v>97.63</v>
      </c>
      <c r="AK98">
        <v>38.64</v>
      </c>
      <c r="AL98">
        <v>712.14</v>
      </c>
      <c r="AM98">
        <v>0.38019165211583927</v>
      </c>
      <c r="AN98">
        <v>1148.97</v>
      </c>
      <c r="AO98">
        <v>436.83</v>
      </c>
      <c r="AP98">
        <v>0.38019999999999998</v>
      </c>
      <c r="AQ98">
        <v>0.61980000000000002</v>
      </c>
      <c r="AR98">
        <v>56804</v>
      </c>
      <c r="AS98">
        <v>4734</v>
      </c>
      <c r="AT98">
        <v>0.151</v>
      </c>
      <c r="AU98">
        <v>50768</v>
      </c>
      <c r="AV98">
        <v>50768</v>
      </c>
      <c r="AW98">
        <v>51110</v>
      </c>
      <c r="AX98">
        <v>1690</v>
      </c>
      <c r="AY98">
        <v>132.1</v>
      </c>
      <c r="AZ98">
        <v>0.85140000000000005</v>
      </c>
      <c r="BA98">
        <v>316.37</v>
      </c>
      <c r="BB98">
        <v>0.99329999999999996</v>
      </c>
      <c r="BC98">
        <v>0.89552238805970141</v>
      </c>
      <c r="BD98">
        <v>0.86569999999999991</v>
      </c>
      <c r="BE98">
        <v>0.77010000000000001</v>
      </c>
    </row>
    <row r="99" spans="1:57" x14ac:dyDescent="0.35">
      <c r="A99" t="s">
        <v>776</v>
      </c>
      <c r="B99" t="s">
        <v>777</v>
      </c>
      <c r="C99" t="s">
        <v>562</v>
      </c>
      <c r="D99" t="s">
        <v>549</v>
      </c>
      <c r="E99" t="s">
        <v>551</v>
      </c>
      <c r="F99" t="s">
        <v>123</v>
      </c>
      <c r="G99" t="s">
        <v>566</v>
      </c>
      <c r="H99">
        <v>2193</v>
      </c>
      <c r="I99">
        <v>0.19758532833544429</v>
      </c>
      <c r="J99">
        <v>2626</v>
      </c>
      <c r="K99">
        <v>7632</v>
      </c>
      <c r="L99">
        <v>1119</v>
      </c>
      <c r="M99" t="s">
        <v>590</v>
      </c>
      <c r="N99">
        <v>2.66</v>
      </c>
      <c r="O99">
        <v>2.87</v>
      </c>
      <c r="P99">
        <v>62.8</v>
      </c>
      <c r="Q99">
        <v>26.6</v>
      </c>
      <c r="R99">
        <v>2</v>
      </c>
      <c r="S99">
        <v>5.2200000000000003E-2</v>
      </c>
      <c r="T99">
        <v>1.9099999999999999E-2</v>
      </c>
      <c r="U99">
        <v>0.85</v>
      </c>
      <c r="AH99">
        <v>1284.83</v>
      </c>
      <c r="AI99">
        <v>21.1</v>
      </c>
      <c r="AJ99">
        <v>69.47</v>
      </c>
      <c r="AK99">
        <v>144.04</v>
      </c>
      <c r="AL99">
        <v>1519.44</v>
      </c>
      <c r="AM99">
        <v>0.2961122274393565</v>
      </c>
      <c r="AN99">
        <v>2158.64</v>
      </c>
      <c r="AO99">
        <v>639.20000000000005</v>
      </c>
      <c r="AP99">
        <v>0.29609999999999997</v>
      </c>
      <c r="AQ99">
        <v>0.70389999999999997</v>
      </c>
      <c r="AR99">
        <v>48783</v>
      </c>
      <c r="AS99">
        <v>4065</v>
      </c>
      <c r="AT99">
        <v>0.14410000000000001</v>
      </c>
      <c r="AU99">
        <v>42270</v>
      </c>
      <c r="AV99">
        <v>42270</v>
      </c>
      <c r="AW99">
        <v>43093</v>
      </c>
      <c r="AX99">
        <v>1699</v>
      </c>
      <c r="AY99">
        <v>81.27</v>
      </c>
      <c r="AZ99">
        <v>0.84340000000000004</v>
      </c>
      <c r="BA99">
        <v>88.69</v>
      </c>
      <c r="BB99">
        <v>0.98089999999999999</v>
      </c>
      <c r="BC99">
        <v>0.92682926829268297</v>
      </c>
      <c r="BD99">
        <v>0.8498</v>
      </c>
      <c r="BE99">
        <v>0.77259999999999995</v>
      </c>
    </row>
    <row r="100" spans="1:57" x14ac:dyDescent="0.35">
      <c r="A100" t="s">
        <v>778</v>
      </c>
      <c r="B100" t="s">
        <v>779</v>
      </c>
      <c r="C100" t="s">
        <v>548</v>
      </c>
      <c r="D100" t="s">
        <v>556</v>
      </c>
      <c r="E100" t="s">
        <v>550</v>
      </c>
      <c r="F100" t="s">
        <v>123</v>
      </c>
      <c r="G100" t="s">
        <v>628</v>
      </c>
      <c r="H100">
        <v>1028</v>
      </c>
      <c r="I100">
        <v>0.14179707223278171</v>
      </c>
      <c r="J100">
        <v>1174</v>
      </c>
      <c r="K100">
        <v>2394</v>
      </c>
      <c r="L100">
        <v>294</v>
      </c>
      <c r="M100" t="s">
        <v>563</v>
      </c>
      <c r="N100">
        <v>10.63</v>
      </c>
      <c r="O100">
        <v>12.43</v>
      </c>
      <c r="P100">
        <v>49.8</v>
      </c>
      <c r="Q100">
        <v>49</v>
      </c>
      <c r="R100">
        <v>4</v>
      </c>
      <c r="S100">
        <v>0.40360000000000001</v>
      </c>
      <c r="T100">
        <v>3.7000000000000002E-3</v>
      </c>
      <c r="U100">
        <v>0.88970000000000005</v>
      </c>
      <c r="AH100">
        <v>666.73</v>
      </c>
      <c r="AI100">
        <v>171.42</v>
      </c>
      <c r="AJ100">
        <v>202.45</v>
      </c>
      <c r="AK100">
        <v>98.95</v>
      </c>
      <c r="AL100">
        <v>1139.55</v>
      </c>
      <c r="AM100">
        <v>0.28458298581392838</v>
      </c>
      <c r="AN100">
        <v>1592.85</v>
      </c>
      <c r="AO100">
        <v>453.3</v>
      </c>
      <c r="AP100">
        <v>0.28460000000000002</v>
      </c>
      <c r="AQ100">
        <v>0.71540000000000004</v>
      </c>
      <c r="AR100">
        <v>12116</v>
      </c>
      <c r="AS100">
        <v>1010</v>
      </c>
      <c r="AT100">
        <v>0.22889999999999999</v>
      </c>
      <c r="AU100">
        <v>10016</v>
      </c>
      <c r="AV100">
        <v>10016</v>
      </c>
      <c r="AW100">
        <v>10053</v>
      </c>
      <c r="AX100">
        <v>832</v>
      </c>
      <c r="AY100">
        <v>172.36</v>
      </c>
      <c r="AZ100">
        <v>0.92459999999999998</v>
      </c>
      <c r="BA100">
        <v>335.8</v>
      </c>
      <c r="BB100">
        <v>0.99629999999999996</v>
      </c>
      <c r="BC100">
        <v>0.85518905872888185</v>
      </c>
      <c r="BD100">
        <v>0.83379999999999999</v>
      </c>
      <c r="BE100">
        <v>0.71040000000000003</v>
      </c>
    </row>
    <row r="101" spans="1:57" x14ac:dyDescent="0.35">
      <c r="A101" t="s">
        <v>780</v>
      </c>
      <c r="B101" t="s">
        <v>781</v>
      </c>
      <c r="C101" t="s">
        <v>562</v>
      </c>
      <c r="D101" t="s">
        <v>549</v>
      </c>
      <c r="E101" t="s">
        <v>550</v>
      </c>
      <c r="F101" t="s">
        <v>123</v>
      </c>
      <c r="G101" t="s">
        <v>558</v>
      </c>
      <c r="H101">
        <v>458</v>
      </c>
      <c r="I101">
        <v>8.0629797908630771E-2</v>
      </c>
      <c r="J101">
        <v>495</v>
      </c>
      <c r="K101">
        <v>390</v>
      </c>
      <c r="L101">
        <v>240</v>
      </c>
      <c r="M101" t="s">
        <v>593</v>
      </c>
      <c r="N101">
        <v>3.19</v>
      </c>
      <c r="O101">
        <v>3.69</v>
      </c>
      <c r="P101">
        <v>61.5</v>
      </c>
      <c r="Q101">
        <v>60.9</v>
      </c>
      <c r="R101">
        <v>6</v>
      </c>
      <c r="S101">
        <v>0.18890000000000001</v>
      </c>
      <c r="T101">
        <v>2.4799999999999999E-2</v>
      </c>
      <c r="U101">
        <v>0.85929999999999995</v>
      </c>
      <c r="AH101">
        <v>846.78</v>
      </c>
      <c r="AI101">
        <v>60.04</v>
      </c>
      <c r="AJ101">
        <v>71.67</v>
      </c>
      <c r="AK101">
        <v>52.22</v>
      </c>
      <c r="AL101">
        <v>1030.71</v>
      </c>
      <c r="AM101">
        <v>0.2172133785955484</v>
      </c>
      <c r="AN101">
        <v>1316.72</v>
      </c>
      <c r="AO101">
        <v>286.01</v>
      </c>
      <c r="AP101">
        <v>0.2172</v>
      </c>
      <c r="AQ101">
        <v>0.78280000000000005</v>
      </c>
      <c r="AR101">
        <v>6784</v>
      </c>
      <c r="AS101">
        <v>565</v>
      </c>
      <c r="AT101">
        <v>0.2339</v>
      </c>
      <c r="AU101">
        <v>6634</v>
      </c>
      <c r="AV101">
        <v>6634</v>
      </c>
      <c r="AW101">
        <v>6803</v>
      </c>
      <c r="AX101">
        <v>1013</v>
      </c>
      <c r="AY101">
        <v>62.3</v>
      </c>
      <c r="AZ101">
        <v>0.85650000000000004</v>
      </c>
      <c r="BA101">
        <v>191.36</v>
      </c>
      <c r="BB101">
        <v>0.97519999999999996</v>
      </c>
      <c r="BC101">
        <v>0.8644986449864499</v>
      </c>
      <c r="BD101">
        <v>0.87629999999999997</v>
      </c>
      <c r="BE101">
        <v>0.73880000000000001</v>
      </c>
    </row>
    <row r="102" spans="1:57" x14ac:dyDescent="0.35">
      <c r="A102" t="s">
        <v>782</v>
      </c>
      <c r="B102" t="s">
        <v>783</v>
      </c>
      <c r="C102" t="s">
        <v>548</v>
      </c>
      <c r="D102" t="s">
        <v>556</v>
      </c>
      <c r="E102" t="s">
        <v>557</v>
      </c>
      <c r="F102" t="s">
        <v>123</v>
      </c>
      <c r="G102" t="s">
        <v>558</v>
      </c>
      <c r="H102">
        <v>392</v>
      </c>
      <c r="I102">
        <v>-3.9476702590909532E-2</v>
      </c>
      <c r="J102">
        <v>377</v>
      </c>
      <c r="K102">
        <v>2985</v>
      </c>
      <c r="L102">
        <v>1263</v>
      </c>
      <c r="M102" t="s">
        <v>784</v>
      </c>
      <c r="N102">
        <v>5.91</v>
      </c>
      <c r="O102">
        <v>6.82</v>
      </c>
      <c r="P102">
        <v>19.600000000000001</v>
      </c>
      <c r="Q102">
        <v>36.299999999999997</v>
      </c>
      <c r="R102">
        <v>2</v>
      </c>
      <c r="S102">
        <v>2.0299999999999999E-2</v>
      </c>
      <c r="T102">
        <v>8.2000000000000007E-3</v>
      </c>
      <c r="U102">
        <v>0.87929999999999997</v>
      </c>
      <c r="AH102">
        <v>813.79</v>
      </c>
      <c r="AI102">
        <v>9.16</v>
      </c>
      <c r="AJ102">
        <v>180.27</v>
      </c>
      <c r="AK102">
        <v>75.45</v>
      </c>
      <c r="AL102">
        <v>1078.67</v>
      </c>
      <c r="AM102">
        <v>0.24211222997914469</v>
      </c>
      <c r="AN102">
        <v>1423.26</v>
      </c>
      <c r="AO102">
        <v>344.59</v>
      </c>
      <c r="AP102">
        <v>0.24210000000000001</v>
      </c>
      <c r="AQ102">
        <v>0.75790000000000002</v>
      </c>
      <c r="AR102">
        <v>46279</v>
      </c>
      <c r="AS102">
        <v>3857</v>
      </c>
      <c r="AT102">
        <v>0.1638</v>
      </c>
      <c r="AU102">
        <v>44557</v>
      </c>
      <c r="AV102">
        <v>44557</v>
      </c>
      <c r="AW102">
        <v>44925</v>
      </c>
      <c r="AX102">
        <v>3563</v>
      </c>
      <c r="AY102">
        <v>404.99</v>
      </c>
      <c r="AZ102">
        <v>0.83850000000000002</v>
      </c>
      <c r="BA102">
        <v>72.33</v>
      </c>
      <c r="BB102">
        <v>0.99180000000000001</v>
      </c>
      <c r="BC102">
        <v>0.86656891495601174</v>
      </c>
      <c r="BD102">
        <v>0.84520000000000006</v>
      </c>
      <c r="BE102">
        <v>0.72640000000000005</v>
      </c>
    </row>
    <row r="103" spans="1:57" x14ac:dyDescent="0.35">
      <c r="A103" t="s">
        <v>785</v>
      </c>
      <c r="B103" t="s">
        <v>786</v>
      </c>
      <c r="C103" t="s">
        <v>573</v>
      </c>
      <c r="D103" t="s">
        <v>556</v>
      </c>
      <c r="E103" t="s">
        <v>551</v>
      </c>
      <c r="F103" t="s">
        <v>123</v>
      </c>
      <c r="G103" t="s">
        <v>551</v>
      </c>
      <c r="H103">
        <v>1304</v>
      </c>
      <c r="I103">
        <v>0.14658625360388799</v>
      </c>
      <c r="J103">
        <v>1495</v>
      </c>
      <c r="K103">
        <v>5161</v>
      </c>
      <c r="L103">
        <v>449</v>
      </c>
      <c r="M103" t="s">
        <v>625</v>
      </c>
      <c r="N103">
        <v>1.01</v>
      </c>
      <c r="O103">
        <v>1.19</v>
      </c>
      <c r="P103">
        <v>84.4</v>
      </c>
      <c r="Q103">
        <v>49.7</v>
      </c>
      <c r="R103">
        <v>2</v>
      </c>
      <c r="S103">
        <v>8.7999999999999995E-2</v>
      </c>
      <c r="T103">
        <v>2.2100000000000002E-2</v>
      </c>
      <c r="U103">
        <v>0.95430000000000004</v>
      </c>
      <c r="AH103">
        <v>773.27</v>
      </c>
      <c r="AI103">
        <v>28.65</v>
      </c>
      <c r="AJ103">
        <v>22.83</v>
      </c>
      <c r="AK103">
        <v>96.48</v>
      </c>
      <c r="AL103">
        <v>921.23</v>
      </c>
      <c r="AM103">
        <v>0.37383652228829228</v>
      </c>
      <c r="AN103">
        <v>1471.23</v>
      </c>
      <c r="AO103">
        <v>550</v>
      </c>
      <c r="AP103">
        <v>0.37380000000000002</v>
      </c>
      <c r="AQ103">
        <v>0.62619999999999998</v>
      </c>
      <c r="AR103">
        <v>32653</v>
      </c>
      <c r="AS103">
        <v>2721</v>
      </c>
      <c r="AT103">
        <v>0.1361</v>
      </c>
      <c r="AU103">
        <v>27941</v>
      </c>
      <c r="AV103">
        <v>27941</v>
      </c>
      <c r="AW103">
        <v>28572</v>
      </c>
      <c r="AX103">
        <v>8111</v>
      </c>
      <c r="AY103">
        <v>160.87</v>
      </c>
      <c r="AZ103">
        <v>0.91749999999999998</v>
      </c>
      <c r="BA103">
        <v>713.77</v>
      </c>
      <c r="BB103">
        <v>0.97789999999999999</v>
      </c>
      <c r="BC103">
        <v>0.84873949579831942</v>
      </c>
      <c r="BD103">
        <v>0.88009999999999988</v>
      </c>
      <c r="BE103">
        <v>0.73050000000000004</v>
      </c>
    </row>
    <row r="104" spans="1:57" x14ac:dyDescent="0.35">
      <c r="A104" t="s">
        <v>787</v>
      </c>
      <c r="B104" t="s">
        <v>788</v>
      </c>
      <c r="C104" t="s">
        <v>555</v>
      </c>
      <c r="D104" t="s">
        <v>549</v>
      </c>
      <c r="E104" t="s">
        <v>550</v>
      </c>
      <c r="F104" t="s">
        <v>123</v>
      </c>
      <c r="G104" t="s">
        <v>551</v>
      </c>
      <c r="H104">
        <v>652</v>
      </c>
      <c r="I104">
        <v>0.13583820572340599</v>
      </c>
      <c r="J104">
        <v>741</v>
      </c>
      <c r="K104">
        <v>2459</v>
      </c>
      <c r="L104">
        <v>276</v>
      </c>
      <c r="M104" t="s">
        <v>649</v>
      </c>
      <c r="N104">
        <v>8.2100000000000009</v>
      </c>
      <c r="O104">
        <v>9.4700000000000006</v>
      </c>
      <c r="P104">
        <v>85</v>
      </c>
      <c r="Q104">
        <v>81.599999999999994</v>
      </c>
      <c r="R104">
        <v>5</v>
      </c>
      <c r="S104">
        <v>0.16270000000000001</v>
      </c>
      <c r="T104">
        <v>1.1599999999999999E-2</v>
      </c>
      <c r="U104">
        <v>0.92320000000000002</v>
      </c>
      <c r="AH104">
        <v>1692.26</v>
      </c>
      <c r="AI104">
        <v>75.69</v>
      </c>
      <c r="AJ104">
        <v>162.47</v>
      </c>
      <c r="AK104">
        <v>164.14</v>
      </c>
      <c r="AL104">
        <v>2094.56</v>
      </c>
      <c r="AM104">
        <v>0.31661576188170892</v>
      </c>
      <c r="AN104">
        <v>3064.98</v>
      </c>
      <c r="AO104">
        <v>970.42</v>
      </c>
      <c r="AP104">
        <v>0.31659999999999999</v>
      </c>
      <c r="AQ104">
        <v>0.68340000000000001</v>
      </c>
      <c r="AR104">
        <v>26650</v>
      </c>
      <c r="AS104">
        <v>2221</v>
      </c>
      <c r="AT104">
        <v>9.8199999999999996E-2</v>
      </c>
      <c r="AU104">
        <v>24467</v>
      </c>
      <c r="AV104">
        <v>24467</v>
      </c>
      <c r="AW104">
        <v>24754</v>
      </c>
      <c r="AX104">
        <v>684</v>
      </c>
      <c r="AY104">
        <v>107.96</v>
      </c>
      <c r="AZ104">
        <v>0.85880000000000001</v>
      </c>
      <c r="BA104">
        <v>111.29</v>
      </c>
      <c r="BB104">
        <v>0.98839999999999995</v>
      </c>
      <c r="BC104">
        <v>0.86694825765575501</v>
      </c>
      <c r="BD104">
        <v>0.84340000000000004</v>
      </c>
      <c r="BE104">
        <v>0.72270000000000001</v>
      </c>
    </row>
    <row r="105" spans="1:57" x14ac:dyDescent="0.35">
      <c r="A105" t="s">
        <v>789</v>
      </c>
      <c r="B105" t="s">
        <v>790</v>
      </c>
      <c r="C105" t="s">
        <v>555</v>
      </c>
      <c r="D105" t="s">
        <v>549</v>
      </c>
      <c r="E105" t="s">
        <v>557</v>
      </c>
      <c r="F105" t="s">
        <v>123</v>
      </c>
      <c r="G105" t="s">
        <v>558</v>
      </c>
      <c r="H105">
        <v>2130</v>
      </c>
      <c r="I105">
        <v>-5.8679919986229373E-3</v>
      </c>
      <c r="J105">
        <v>2118</v>
      </c>
      <c r="K105">
        <v>6524</v>
      </c>
      <c r="L105">
        <v>2819</v>
      </c>
      <c r="M105" t="s">
        <v>791</v>
      </c>
      <c r="N105">
        <v>4.8499999999999996</v>
      </c>
      <c r="O105">
        <v>5.19</v>
      </c>
      <c r="P105">
        <v>46.3</v>
      </c>
      <c r="Q105">
        <v>10.4</v>
      </c>
      <c r="R105">
        <v>1</v>
      </c>
      <c r="S105">
        <v>3.4599999999999999E-2</v>
      </c>
      <c r="T105">
        <v>1.8599999999999998E-2</v>
      </c>
      <c r="U105">
        <v>0.95879999999999999</v>
      </c>
      <c r="AH105">
        <v>1170.7</v>
      </c>
      <c r="AI105">
        <v>15.79</v>
      </c>
      <c r="AJ105">
        <v>103.2</v>
      </c>
      <c r="AK105">
        <v>103.55</v>
      </c>
      <c r="AL105">
        <v>1393.24</v>
      </c>
      <c r="AM105">
        <v>0.34684675668808318</v>
      </c>
      <c r="AN105">
        <v>2133.1</v>
      </c>
      <c r="AO105">
        <v>739.86</v>
      </c>
      <c r="AP105">
        <v>0.3468</v>
      </c>
      <c r="AQ105">
        <v>0.6532</v>
      </c>
      <c r="AR105">
        <v>84028</v>
      </c>
      <c r="AS105">
        <v>7002</v>
      </c>
      <c r="AT105">
        <v>0.24210000000000001</v>
      </c>
      <c r="AU105">
        <v>80323</v>
      </c>
      <c r="AV105">
        <v>80323</v>
      </c>
      <c r="AW105">
        <v>81845</v>
      </c>
      <c r="AX105">
        <v>18164</v>
      </c>
      <c r="AY105">
        <v>1571.19</v>
      </c>
      <c r="AZ105">
        <v>0.88009999999999999</v>
      </c>
      <c r="BA105">
        <v>628.47</v>
      </c>
      <c r="BB105">
        <v>0.98140000000000005</v>
      </c>
      <c r="BC105">
        <v>0.93448940269749503</v>
      </c>
      <c r="BD105">
        <v>0.87970000000000004</v>
      </c>
      <c r="BE105">
        <v>0.80679999999999996</v>
      </c>
    </row>
    <row r="106" spans="1:57" x14ac:dyDescent="0.35">
      <c r="A106" t="s">
        <v>792</v>
      </c>
      <c r="B106" t="s">
        <v>793</v>
      </c>
      <c r="C106" t="s">
        <v>548</v>
      </c>
      <c r="D106" t="s">
        <v>549</v>
      </c>
      <c r="E106" t="s">
        <v>551</v>
      </c>
      <c r="F106" t="s">
        <v>123</v>
      </c>
      <c r="G106" t="s">
        <v>628</v>
      </c>
      <c r="H106">
        <v>276</v>
      </c>
      <c r="I106">
        <v>7.9565091669098045E-2</v>
      </c>
      <c r="J106">
        <v>298</v>
      </c>
      <c r="K106">
        <v>3101</v>
      </c>
      <c r="L106">
        <v>819</v>
      </c>
      <c r="M106" t="s">
        <v>735</v>
      </c>
      <c r="N106">
        <v>9.8699999999999992</v>
      </c>
      <c r="O106">
        <v>11.35</v>
      </c>
      <c r="P106">
        <v>53.6</v>
      </c>
      <c r="Q106">
        <v>54</v>
      </c>
      <c r="R106">
        <v>2</v>
      </c>
      <c r="S106">
        <v>0.16320000000000001</v>
      </c>
      <c r="T106">
        <v>1.17E-2</v>
      </c>
      <c r="U106">
        <v>0.83660000000000001</v>
      </c>
      <c r="AH106">
        <v>1587.67</v>
      </c>
      <c r="AI106">
        <v>72.09</v>
      </c>
      <c r="AJ106">
        <v>301.51</v>
      </c>
      <c r="AK106">
        <v>160.9</v>
      </c>
      <c r="AL106">
        <v>2122.17</v>
      </c>
      <c r="AM106">
        <v>0.2635863557669138</v>
      </c>
      <c r="AN106">
        <v>2881.76</v>
      </c>
      <c r="AO106">
        <v>759.59</v>
      </c>
      <c r="AP106">
        <v>0.2636</v>
      </c>
      <c r="AQ106">
        <v>0.73640000000000005</v>
      </c>
      <c r="AR106">
        <v>55469</v>
      </c>
      <c r="AS106">
        <v>4622</v>
      </c>
      <c r="AT106">
        <v>9.0200000000000002E-2</v>
      </c>
      <c r="AU106">
        <v>53187</v>
      </c>
      <c r="AV106">
        <v>53187</v>
      </c>
      <c r="AW106">
        <v>53817</v>
      </c>
      <c r="AX106">
        <v>3958</v>
      </c>
      <c r="AY106">
        <v>748.72</v>
      </c>
      <c r="AZ106">
        <v>0.89449999999999996</v>
      </c>
      <c r="BA106">
        <v>645.95000000000005</v>
      </c>
      <c r="BB106">
        <v>0.98829999999999996</v>
      </c>
      <c r="BC106">
        <v>0.86960352422907483</v>
      </c>
      <c r="BD106">
        <v>0.87180000000000002</v>
      </c>
      <c r="BE106">
        <v>0.74929999999999997</v>
      </c>
    </row>
    <row r="107" spans="1:57" x14ac:dyDescent="0.35">
      <c r="A107" t="s">
        <v>794</v>
      </c>
      <c r="B107" t="s">
        <v>795</v>
      </c>
      <c r="C107" t="s">
        <v>562</v>
      </c>
      <c r="D107" t="s">
        <v>556</v>
      </c>
      <c r="E107" t="s">
        <v>551</v>
      </c>
      <c r="F107" t="s">
        <v>123</v>
      </c>
      <c r="G107" t="s">
        <v>551</v>
      </c>
      <c r="H107">
        <v>102</v>
      </c>
      <c r="I107">
        <v>0.1539582812476544</v>
      </c>
      <c r="J107">
        <v>118</v>
      </c>
      <c r="K107">
        <v>1915</v>
      </c>
      <c r="L107">
        <v>750</v>
      </c>
      <c r="M107" t="s">
        <v>587</v>
      </c>
      <c r="N107">
        <v>6.65</v>
      </c>
      <c r="O107">
        <v>7.2</v>
      </c>
      <c r="P107">
        <v>50.8</v>
      </c>
      <c r="Q107">
        <v>21.4</v>
      </c>
      <c r="R107">
        <v>4</v>
      </c>
      <c r="S107">
        <v>0.1867</v>
      </c>
      <c r="T107">
        <v>2.2800000000000001E-2</v>
      </c>
      <c r="U107">
        <v>0.95720000000000005</v>
      </c>
      <c r="AH107">
        <v>241.27</v>
      </c>
      <c r="AI107">
        <v>57.36</v>
      </c>
      <c r="AJ107">
        <v>120.27</v>
      </c>
      <c r="AK107">
        <v>27.07</v>
      </c>
      <c r="AL107">
        <v>445.97</v>
      </c>
      <c r="AM107">
        <v>0.3075618048640395</v>
      </c>
      <c r="AN107">
        <v>644.05999999999995</v>
      </c>
      <c r="AO107">
        <v>198.09</v>
      </c>
      <c r="AP107">
        <v>0.30759999999999998</v>
      </c>
      <c r="AQ107">
        <v>0.69240000000000002</v>
      </c>
      <c r="AR107">
        <v>35947</v>
      </c>
      <c r="AS107">
        <v>2996</v>
      </c>
      <c r="AT107">
        <v>0.13059999999999999</v>
      </c>
      <c r="AU107">
        <v>34782</v>
      </c>
      <c r="AV107">
        <v>34782</v>
      </c>
      <c r="AW107">
        <v>35594</v>
      </c>
      <c r="AX107">
        <v>5154</v>
      </c>
      <c r="AY107">
        <v>618.48</v>
      </c>
      <c r="AZ107">
        <v>0.92379999999999995</v>
      </c>
      <c r="BA107">
        <v>962.25</v>
      </c>
      <c r="BB107">
        <v>0.97719999999999996</v>
      </c>
      <c r="BC107">
        <v>0.92361111111111116</v>
      </c>
      <c r="BD107">
        <v>0.87459999999999993</v>
      </c>
      <c r="BE107">
        <v>0.78939999999999999</v>
      </c>
    </row>
    <row r="108" spans="1:57" x14ac:dyDescent="0.35">
      <c r="A108" t="s">
        <v>796</v>
      </c>
      <c r="B108" t="s">
        <v>797</v>
      </c>
      <c r="C108" t="s">
        <v>555</v>
      </c>
      <c r="D108" t="s">
        <v>556</v>
      </c>
      <c r="E108" t="s">
        <v>551</v>
      </c>
      <c r="F108" t="s">
        <v>123</v>
      </c>
      <c r="G108" t="s">
        <v>551</v>
      </c>
      <c r="H108">
        <v>2640</v>
      </c>
      <c r="I108">
        <v>4.7792441520094937E-2</v>
      </c>
      <c r="J108">
        <v>2766</v>
      </c>
      <c r="K108">
        <v>7474</v>
      </c>
      <c r="L108">
        <v>736</v>
      </c>
      <c r="M108" t="s">
        <v>677</v>
      </c>
      <c r="N108">
        <v>10.42</v>
      </c>
      <c r="O108">
        <v>11.16</v>
      </c>
      <c r="P108">
        <v>74.8</v>
      </c>
      <c r="Q108">
        <v>52.1</v>
      </c>
      <c r="R108">
        <v>2</v>
      </c>
      <c r="S108">
        <v>0.1108</v>
      </c>
      <c r="T108">
        <v>4.8999999999999998E-3</v>
      </c>
      <c r="U108">
        <v>0.81079999999999997</v>
      </c>
      <c r="AH108">
        <v>713.96</v>
      </c>
      <c r="AI108">
        <v>39.96</v>
      </c>
      <c r="AJ108">
        <v>150.38</v>
      </c>
      <c r="AK108">
        <v>68.55</v>
      </c>
      <c r="AL108">
        <v>972.85</v>
      </c>
      <c r="AM108">
        <v>0.2120959021858019</v>
      </c>
      <c r="AN108">
        <v>1234.73</v>
      </c>
      <c r="AO108">
        <v>261.88</v>
      </c>
      <c r="AP108">
        <v>0.21210000000000001</v>
      </c>
      <c r="AQ108">
        <v>0.78790000000000004</v>
      </c>
      <c r="AR108">
        <v>44978</v>
      </c>
      <c r="AS108">
        <v>3748</v>
      </c>
      <c r="AT108">
        <v>0.13070000000000001</v>
      </c>
      <c r="AU108">
        <v>38240</v>
      </c>
      <c r="AV108">
        <v>38240</v>
      </c>
      <c r="AW108">
        <v>38428</v>
      </c>
      <c r="AX108">
        <v>2082</v>
      </c>
      <c r="AY108">
        <v>387.25</v>
      </c>
      <c r="AZ108">
        <v>0.88029999999999997</v>
      </c>
      <c r="BA108">
        <v>230.69</v>
      </c>
      <c r="BB108">
        <v>0.99509999999999998</v>
      </c>
      <c r="BC108">
        <v>0.93369175627240142</v>
      </c>
      <c r="BD108">
        <v>0.86950000000000005</v>
      </c>
      <c r="BE108">
        <v>0.80789999999999995</v>
      </c>
    </row>
    <row r="109" spans="1:57" x14ac:dyDescent="0.35">
      <c r="A109" t="s">
        <v>798</v>
      </c>
      <c r="B109" t="s">
        <v>799</v>
      </c>
      <c r="C109" t="s">
        <v>562</v>
      </c>
      <c r="D109" t="s">
        <v>556</v>
      </c>
      <c r="E109" t="s">
        <v>550</v>
      </c>
      <c r="F109" t="s">
        <v>123</v>
      </c>
      <c r="G109" t="s">
        <v>628</v>
      </c>
      <c r="H109">
        <v>1036</v>
      </c>
      <c r="I109">
        <v>8.7714342652284824E-2</v>
      </c>
      <c r="J109">
        <v>1127</v>
      </c>
      <c r="K109">
        <v>1239</v>
      </c>
      <c r="L109">
        <v>355</v>
      </c>
      <c r="M109" t="s">
        <v>609</v>
      </c>
      <c r="N109">
        <v>8.98</v>
      </c>
      <c r="O109">
        <v>9.36</v>
      </c>
      <c r="P109">
        <v>57</v>
      </c>
      <c r="Q109">
        <v>62.2</v>
      </c>
      <c r="R109">
        <v>4</v>
      </c>
      <c r="S109">
        <v>0.1009</v>
      </c>
      <c r="T109">
        <v>7.0000000000000001E-3</v>
      </c>
      <c r="U109">
        <v>0.95989999999999998</v>
      </c>
      <c r="AH109">
        <v>1034.3499999999999</v>
      </c>
      <c r="AI109">
        <v>35.58</v>
      </c>
      <c r="AJ109">
        <v>226.89</v>
      </c>
      <c r="AK109">
        <v>98.41</v>
      </c>
      <c r="AL109">
        <v>1395.23</v>
      </c>
      <c r="AM109">
        <v>0.32636520757087162</v>
      </c>
      <c r="AN109">
        <v>2071.1999999999998</v>
      </c>
      <c r="AO109">
        <v>675.97</v>
      </c>
      <c r="AP109">
        <v>0.32640000000000002</v>
      </c>
      <c r="AQ109">
        <v>0.67359999999999998</v>
      </c>
      <c r="AR109">
        <v>17661</v>
      </c>
      <c r="AS109">
        <v>1472</v>
      </c>
      <c r="AT109">
        <v>0.13450000000000001</v>
      </c>
      <c r="AU109">
        <v>16777</v>
      </c>
      <c r="AV109">
        <v>16777</v>
      </c>
      <c r="AW109">
        <v>16895</v>
      </c>
      <c r="AX109">
        <v>1675</v>
      </c>
      <c r="AY109">
        <v>261.3</v>
      </c>
      <c r="AZ109">
        <v>0.83089999999999997</v>
      </c>
      <c r="BA109">
        <v>169.01</v>
      </c>
      <c r="BB109">
        <v>0.99299999999999999</v>
      </c>
      <c r="BC109">
        <v>0.95940170940170955</v>
      </c>
      <c r="BD109">
        <v>0.91039999999999999</v>
      </c>
      <c r="BE109">
        <v>0.86729999999999996</v>
      </c>
    </row>
    <row r="110" spans="1:57" x14ac:dyDescent="0.35">
      <c r="A110" t="s">
        <v>800</v>
      </c>
      <c r="B110" t="s">
        <v>801</v>
      </c>
      <c r="C110" t="s">
        <v>555</v>
      </c>
      <c r="D110" t="s">
        <v>556</v>
      </c>
      <c r="E110" t="s">
        <v>557</v>
      </c>
      <c r="F110" t="s">
        <v>123</v>
      </c>
      <c r="G110" t="s">
        <v>551</v>
      </c>
      <c r="H110">
        <v>953</v>
      </c>
      <c r="I110">
        <v>0.19053049314801249</v>
      </c>
      <c r="J110">
        <v>1135</v>
      </c>
      <c r="K110">
        <v>11584</v>
      </c>
      <c r="L110">
        <v>985</v>
      </c>
      <c r="M110" t="s">
        <v>677</v>
      </c>
      <c r="N110">
        <v>4.67</v>
      </c>
      <c r="O110">
        <v>5.4</v>
      </c>
      <c r="P110">
        <v>23.6</v>
      </c>
      <c r="Q110">
        <v>35.200000000000003</v>
      </c>
      <c r="R110">
        <v>2</v>
      </c>
      <c r="S110">
        <v>3.0599999999999999E-2</v>
      </c>
      <c r="T110">
        <v>1.3299999999999999E-2</v>
      </c>
      <c r="U110">
        <v>0.85919999999999996</v>
      </c>
      <c r="AH110">
        <v>699.53</v>
      </c>
      <c r="AI110">
        <v>11.38</v>
      </c>
      <c r="AJ110">
        <v>143.21</v>
      </c>
      <c r="AK110">
        <v>45.84</v>
      </c>
      <c r="AL110">
        <v>899.96</v>
      </c>
      <c r="AM110">
        <v>0.25690033342583429</v>
      </c>
      <c r="AN110">
        <v>1211.0899999999999</v>
      </c>
      <c r="AO110">
        <v>311.13</v>
      </c>
      <c r="AP110">
        <v>0.25690000000000002</v>
      </c>
      <c r="AQ110">
        <v>0.74309999999999998</v>
      </c>
      <c r="AR110">
        <v>96406</v>
      </c>
      <c r="AS110">
        <v>8034</v>
      </c>
      <c r="AT110">
        <v>0.1079</v>
      </c>
      <c r="AU110">
        <v>85807</v>
      </c>
      <c r="AV110">
        <v>85807</v>
      </c>
      <c r="AW110">
        <v>86964</v>
      </c>
      <c r="AX110">
        <v>4712</v>
      </c>
      <c r="AY110">
        <v>424.08</v>
      </c>
      <c r="AZ110">
        <v>0.88029999999999997</v>
      </c>
      <c r="BA110">
        <v>144.19</v>
      </c>
      <c r="BB110">
        <v>0.98670000000000002</v>
      </c>
      <c r="BC110">
        <v>0.8648148148148147</v>
      </c>
      <c r="BD110">
        <v>0.86950000000000005</v>
      </c>
      <c r="BE110">
        <v>0.74199999999999999</v>
      </c>
    </row>
    <row r="111" spans="1:57" x14ac:dyDescent="0.35">
      <c r="A111" t="s">
        <v>802</v>
      </c>
      <c r="B111" t="s">
        <v>803</v>
      </c>
      <c r="C111" t="s">
        <v>573</v>
      </c>
      <c r="D111" t="s">
        <v>549</v>
      </c>
      <c r="E111" t="s">
        <v>557</v>
      </c>
      <c r="F111" t="s">
        <v>123</v>
      </c>
      <c r="G111" t="s">
        <v>558</v>
      </c>
      <c r="H111">
        <v>614</v>
      </c>
      <c r="I111">
        <v>0.1561702414812873</v>
      </c>
      <c r="J111">
        <v>710</v>
      </c>
      <c r="K111">
        <v>9794</v>
      </c>
      <c r="L111">
        <v>2441</v>
      </c>
      <c r="M111" t="s">
        <v>601</v>
      </c>
      <c r="N111">
        <v>8.1999999999999993</v>
      </c>
      <c r="O111">
        <v>9.44</v>
      </c>
      <c r="P111">
        <v>27.2</v>
      </c>
      <c r="Q111">
        <v>21.1</v>
      </c>
      <c r="R111">
        <v>2</v>
      </c>
      <c r="S111">
        <v>1.3899999999999999E-2</v>
      </c>
      <c r="T111">
        <v>3.8999999999999998E-3</v>
      </c>
      <c r="U111">
        <v>0.85660000000000003</v>
      </c>
      <c r="AH111">
        <v>892.33</v>
      </c>
      <c r="AI111">
        <v>4.41</v>
      </c>
      <c r="AJ111">
        <v>113.4</v>
      </c>
      <c r="AK111">
        <v>104.78</v>
      </c>
      <c r="AL111">
        <v>1114.92</v>
      </c>
      <c r="AM111">
        <v>0.26063637870368639</v>
      </c>
      <c r="AN111">
        <v>1507.95</v>
      </c>
      <c r="AO111">
        <v>393.03</v>
      </c>
      <c r="AP111">
        <v>0.2606</v>
      </c>
      <c r="AQ111">
        <v>0.73939999999999995</v>
      </c>
      <c r="AR111">
        <v>69519</v>
      </c>
      <c r="AS111">
        <v>5793</v>
      </c>
      <c r="AT111">
        <v>0.21310000000000001</v>
      </c>
      <c r="AU111">
        <v>62166</v>
      </c>
      <c r="AV111">
        <v>62166</v>
      </c>
      <c r="AW111">
        <v>62409</v>
      </c>
      <c r="AX111">
        <v>2064</v>
      </c>
      <c r="AY111">
        <v>324.74</v>
      </c>
      <c r="AZ111">
        <v>0.85140000000000005</v>
      </c>
      <c r="BA111">
        <v>28.69</v>
      </c>
      <c r="BB111">
        <v>0.99609999999999999</v>
      </c>
      <c r="BC111">
        <v>0.86864406779661019</v>
      </c>
      <c r="BD111">
        <v>0.86569999999999991</v>
      </c>
      <c r="BE111">
        <v>0.74909999999999999</v>
      </c>
    </row>
    <row r="112" spans="1:57" x14ac:dyDescent="0.35">
      <c r="A112" t="s">
        <v>804</v>
      </c>
      <c r="B112" t="s">
        <v>805</v>
      </c>
      <c r="C112" t="s">
        <v>606</v>
      </c>
      <c r="D112" t="s">
        <v>556</v>
      </c>
      <c r="E112" t="s">
        <v>557</v>
      </c>
      <c r="F112" t="s">
        <v>123</v>
      </c>
      <c r="G112" t="s">
        <v>558</v>
      </c>
      <c r="H112">
        <v>267</v>
      </c>
      <c r="I112">
        <v>1.1321383063833641E-2</v>
      </c>
      <c r="J112">
        <v>270</v>
      </c>
      <c r="K112">
        <v>9100</v>
      </c>
      <c r="L112">
        <v>1314</v>
      </c>
      <c r="M112" t="s">
        <v>617</v>
      </c>
      <c r="N112">
        <v>5.8</v>
      </c>
      <c r="O112">
        <v>6.21</v>
      </c>
      <c r="P112">
        <v>53</v>
      </c>
      <c r="Q112">
        <v>26.7</v>
      </c>
      <c r="R112">
        <v>1</v>
      </c>
      <c r="S112">
        <v>2.7699999999999999E-2</v>
      </c>
      <c r="T112">
        <v>6.4999999999999997E-3</v>
      </c>
      <c r="U112">
        <v>0.89219999999999999</v>
      </c>
      <c r="AH112">
        <v>212.97</v>
      </c>
      <c r="AI112">
        <v>13.5</v>
      </c>
      <c r="AJ112">
        <v>91.89</v>
      </c>
      <c r="AK112">
        <v>25.2</v>
      </c>
      <c r="AL112">
        <v>343.56</v>
      </c>
      <c r="AM112">
        <v>0.31233058114422041</v>
      </c>
      <c r="AN112">
        <v>499.6</v>
      </c>
      <c r="AO112">
        <v>156.04</v>
      </c>
      <c r="AP112">
        <v>0.31230000000000002</v>
      </c>
      <c r="AQ112">
        <v>0.68769999999999998</v>
      </c>
      <c r="AR112">
        <v>79649</v>
      </c>
      <c r="AS112">
        <v>6637</v>
      </c>
      <c r="AT112">
        <v>0.1008</v>
      </c>
      <c r="AU112">
        <v>71863</v>
      </c>
      <c r="AV112">
        <v>71863</v>
      </c>
      <c r="AW112">
        <v>72333</v>
      </c>
      <c r="AX112">
        <v>10060</v>
      </c>
      <c r="AY112">
        <v>1041.21</v>
      </c>
      <c r="AZ112">
        <v>0.88039999999999996</v>
      </c>
      <c r="BA112">
        <v>278.66000000000003</v>
      </c>
      <c r="BB112">
        <v>0.99350000000000005</v>
      </c>
      <c r="BC112">
        <v>0.93397745571658608</v>
      </c>
      <c r="BD112">
        <v>0.9052</v>
      </c>
      <c r="BE112">
        <v>0.83989999999999998</v>
      </c>
    </row>
    <row r="113" spans="1:57" x14ac:dyDescent="0.35">
      <c r="A113" t="s">
        <v>806</v>
      </c>
      <c r="B113" t="s">
        <v>807</v>
      </c>
      <c r="C113" t="s">
        <v>548</v>
      </c>
      <c r="D113" t="s">
        <v>556</v>
      </c>
      <c r="E113" t="s">
        <v>557</v>
      </c>
      <c r="F113" t="s">
        <v>123</v>
      </c>
      <c r="G113" t="s">
        <v>558</v>
      </c>
      <c r="H113">
        <v>2690</v>
      </c>
      <c r="I113">
        <v>0.13817915988941029</v>
      </c>
      <c r="J113">
        <v>3062</v>
      </c>
      <c r="K113">
        <v>3489</v>
      </c>
      <c r="L113">
        <v>1176</v>
      </c>
      <c r="M113" t="s">
        <v>601</v>
      </c>
      <c r="N113">
        <v>8.6199999999999992</v>
      </c>
      <c r="O113">
        <v>9.98</v>
      </c>
      <c r="P113">
        <v>45.1</v>
      </c>
      <c r="Q113">
        <v>24.1</v>
      </c>
      <c r="R113">
        <v>1</v>
      </c>
      <c r="S113">
        <v>2.81E-2</v>
      </c>
      <c r="T113">
        <v>2.3699999999999999E-2</v>
      </c>
      <c r="U113">
        <v>0.96930000000000005</v>
      </c>
      <c r="AH113">
        <v>335.97</v>
      </c>
      <c r="AI113">
        <v>11.54</v>
      </c>
      <c r="AJ113">
        <v>128.13999999999999</v>
      </c>
      <c r="AK113">
        <v>51.16</v>
      </c>
      <c r="AL113">
        <v>526.80999999999995</v>
      </c>
      <c r="AM113">
        <v>0.38407015536723171</v>
      </c>
      <c r="AN113">
        <v>855.31</v>
      </c>
      <c r="AO113">
        <v>328.5</v>
      </c>
      <c r="AP113">
        <v>0.3841</v>
      </c>
      <c r="AQ113">
        <v>0.6159</v>
      </c>
      <c r="AR113">
        <v>64524</v>
      </c>
      <c r="AS113">
        <v>5377</v>
      </c>
      <c r="AT113">
        <v>0.18790000000000001</v>
      </c>
      <c r="AU113">
        <v>62211</v>
      </c>
      <c r="AV113">
        <v>62211</v>
      </c>
      <c r="AW113">
        <v>63721</v>
      </c>
      <c r="AX113">
        <v>2107</v>
      </c>
      <c r="AY113">
        <v>350.46</v>
      </c>
      <c r="AZ113">
        <v>0.85140000000000005</v>
      </c>
      <c r="BA113">
        <v>59.21</v>
      </c>
      <c r="BB113">
        <v>0.97629999999999995</v>
      </c>
      <c r="BC113">
        <v>0.8637274549098195</v>
      </c>
      <c r="BD113">
        <v>0.86569999999999991</v>
      </c>
      <c r="BE113">
        <v>0.73</v>
      </c>
    </row>
    <row r="114" spans="1:57" x14ac:dyDescent="0.35">
      <c r="A114" t="s">
        <v>808</v>
      </c>
      <c r="B114" t="s">
        <v>809</v>
      </c>
      <c r="C114" t="s">
        <v>573</v>
      </c>
      <c r="D114" t="s">
        <v>549</v>
      </c>
      <c r="E114" t="s">
        <v>557</v>
      </c>
      <c r="F114" t="s">
        <v>123</v>
      </c>
      <c r="G114" t="s">
        <v>558</v>
      </c>
      <c r="H114">
        <v>1362</v>
      </c>
      <c r="I114">
        <v>7.1562903812308759E-3</v>
      </c>
      <c r="J114">
        <v>1372</v>
      </c>
      <c r="K114">
        <v>10702</v>
      </c>
      <c r="L114">
        <v>699</v>
      </c>
      <c r="M114" t="s">
        <v>601</v>
      </c>
      <c r="N114">
        <v>6.28</v>
      </c>
      <c r="O114">
        <v>7.45</v>
      </c>
      <c r="P114">
        <v>28.4</v>
      </c>
      <c r="Q114">
        <v>31.9</v>
      </c>
      <c r="R114">
        <v>1</v>
      </c>
      <c r="S114">
        <v>7.2700000000000001E-2</v>
      </c>
      <c r="T114">
        <v>2.4500000000000001E-2</v>
      </c>
      <c r="U114">
        <v>0.80859999999999999</v>
      </c>
      <c r="AH114">
        <v>1207.04</v>
      </c>
      <c r="AI114">
        <v>26.25</v>
      </c>
      <c r="AJ114">
        <v>126.34</v>
      </c>
      <c r="AK114">
        <v>148.91</v>
      </c>
      <c r="AL114">
        <v>1508.54</v>
      </c>
      <c r="AM114">
        <v>0.1660015866521552</v>
      </c>
      <c r="AN114">
        <v>1808.8</v>
      </c>
      <c r="AO114">
        <v>300.26</v>
      </c>
      <c r="AP114">
        <v>0.16600000000000001</v>
      </c>
      <c r="AQ114">
        <v>0.83399999999999996</v>
      </c>
      <c r="AR114">
        <v>63885</v>
      </c>
      <c r="AS114">
        <v>5324</v>
      </c>
      <c r="AT114">
        <v>0.1011</v>
      </c>
      <c r="AU114">
        <v>53882</v>
      </c>
      <c r="AV114">
        <v>53882</v>
      </c>
      <c r="AW114">
        <v>55235</v>
      </c>
      <c r="AX114">
        <v>1827</v>
      </c>
      <c r="AY114">
        <v>226.85</v>
      </c>
      <c r="AZ114">
        <v>0.85140000000000005</v>
      </c>
      <c r="BA114">
        <v>132.82</v>
      </c>
      <c r="BB114">
        <v>0.97550000000000003</v>
      </c>
      <c r="BC114">
        <v>0.84295302013422824</v>
      </c>
      <c r="BD114">
        <v>0.86569999999999991</v>
      </c>
      <c r="BE114">
        <v>0.71189999999999998</v>
      </c>
    </row>
    <row r="115" spans="1:57" x14ac:dyDescent="0.35">
      <c r="A115" t="s">
        <v>810</v>
      </c>
      <c r="B115" t="s">
        <v>811</v>
      </c>
      <c r="C115" t="s">
        <v>548</v>
      </c>
      <c r="D115" t="s">
        <v>556</v>
      </c>
      <c r="E115" t="s">
        <v>551</v>
      </c>
      <c r="F115" t="s">
        <v>123</v>
      </c>
      <c r="G115" t="s">
        <v>566</v>
      </c>
      <c r="H115">
        <v>2548</v>
      </c>
      <c r="I115">
        <v>0.10423172959393549</v>
      </c>
      <c r="J115">
        <v>2814</v>
      </c>
      <c r="K115">
        <v>2068</v>
      </c>
      <c r="L115">
        <v>338</v>
      </c>
      <c r="M115" t="s">
        <v>559</v>
      </c>
      <c r="N115">
        <v>10.199999999999999</v>
      </c>
      <c r="O115">
        <v>10.69</v>
      </c>
      <c r="P115">
        <v>39.299999999999997</v>
      </c>
      <c r="Q115">
        <v>34.9</v>
      </c>
      <c r="R115">
        <v>2</v>
      </c>
      <c r="S115">
        <v>0.19209999999999999</v>
      </c>
      <c r="T115">
        <v>1.0699999999999999E-2</v>
      </c>
      <c r="U115">
        <v>0.86339999999999995</v>
      </c>
      <c r="AH115">
        <v>828.21</v>
      </c>
      <c r="AI115">
        <v>72.88</v>
      </c>
      <c r="AJ115">
        <v>203.19</v>
      </c>
      <c r="AK115">
        <v>71.599999999999994</v>
      </c>
      <c r="AL115">
        <v>1175.8800000000001</v>
      </c>
      <c r="AM115">
        <v>0.35618580933675192</v>
      </c>
      <c r="AN115">
        <v>1826.43</v>
      </c>
      <c r="AO115">
        <v>650.54999999999995</v>
      </c>
      <c r="AP115">
        <v>0.35620000000000002</v>
      </c>
      <c r="AQ115">
        <v>0.64380000000000004</v>
      </c>
      <c r="AR115">
        <v>40097</v>
      </c>
      <c r="AS115">
        <v>3341</v>
      </c>
      <c r="AT115">
        <v>9.1999999999999998E-2</v>
      </c>
      <c r="AU115">
        <v>38367</v>
      </c>
      <c r="AV115">
        <v>38367</v>
      </c>
      <c r="AW115">
        <v>38782</v>
      </c>
      <c r="AX115">
        <v>1635</v>
      </c>
      <c r="AY115">
        <v>291.3</v>
      </c>
      <c r="AZ115">
        <v>0.84179999999999999</v>
      </c>
      <c r="BA115">
        <v>314.08</v>
      </c>
      <c r="BB115">
        <v>0.98929999999999996</v>
      </c>
      <c r="BC115">
        <v>0.95416276894293728</v>
      </c>
      <c r="BD115">
        <v>0.8367</v>
      </c>
      <c r="BE115">
        <v>0.78979999999999995</v>
      </c>
    </row>
    <row r="116" spans="1:57" x14ac:dyDescent="0.35">
      <c r="A116" t="s">
        <v>812</v>
      </c>
      <c r="B116" t="s">
        <v>813</v>
      </c>
      <c r="C116" t="s">
        <v>562</v>
      </c>
      <c r="D116" t="s">
        <v>556</v>
      </c>
      <c r="E116" t="s">
        <v>551</v>
      </c>
      <c r="F116" t="s">
        <v>123</v>
      </c>
      <c r="G116" t="s">
        <v>551</v>
      </c>
      <c r="H116">
        <v>425</v>
      </c>
      <c r="I116">
        <v>2.08357370663954E-2</v>
      </c>
      <c r="J116">
        <v>434</v>
      </c>
      <c r="K116">
        <v>9503</v>
      </c>
      <c r="L116">
        <v>1438</v>
      </c>
      <c r="M116" t="s">
        <v>649</v>
      </c>
      <c r="N116">
        <v>11.62</v>
      </c>
      <c r="O116">
        <v>12.43</v>
      </c>
      <c r="P116">
        <v>42.5</v>
      </c>
      <c r="Q116">
        <v>47.8</v>
      </c>
      <c r="R116">
        <v>3</v>
      </c>
      <c r="S116">
        <v>0.186</v>
      </c>
      <c r="T116">
        <v>2.3199999999999998E-2</v>
      </c>
      <c r="U116">
        <v>0.95420000000000005</v>
      </c>
      <c r="AH116">
        <v>749.32</v>
      </c>
      <c r="AI116">
        <v>72.44</v>
      </c>
      <c r="AJ116">
        <v>310.45999999999998</v>
      </c>
      <c r="AK116">
        <v>108.71</v>
      </c>
      <c r="AL116">
        <v>1240.93</v>
      </c>
      <c r="AM116">
        <v>0.2230957776030483</v>
      </c>
      <c r="AN116">
        <v>1597.28</v>
      </c>
      <c r="AO116">
        <v>356.35</v>
      </c>
      <c r="AP116">
        <v>0.22309999999999999</v>
      </c>
      <c r="AQ116">
        <v>0.77690000000000003</v>
      </c>
      <c r="AR116">
        <v>57847</v>
      </c>
      <c r="AS116">
        <v>4821</v>
      </c>
      <c r="AT116">
        <v>0.2346</v>
      </c>
      <c r="AU116">
        <v>49782</v>
      </c>
      <c r="AV116">
        <v>49782</v>
      </c>
      <c r="AW116">
        <v>50964</v>
      </c>
      <c r="AX116">
        <v>1409</v>
      </c>
      <c r="AY116">
        <v>291.89999999999998</v>
      </c>
      <c r="AZ116">
        <v>0.85880000000000001</v>
      </c>
      <c r="BA116">
        <v>262.07</v>
      </c>
      <c r="BB116">
        <v>0.9768</v>
      </c>
      <c r="BC116">
        <v>0.93483507642799679</v>
      </c>
      <c r="BD116">
        <v>0.84340000000000004</v>
      </c>
      <c r="BE116">
        <v>0.77010000000000001</v>
      </c>
    </row>
    <row r="117" spans="1:57" x14ac:dyDescent="0.35">
      <c r="A117" t="s">
        <v>814</v>
      </c>
      <c r="B117" t="s">
        <v>815</v>
      </c>
      <c r="C117" t="s">
        <v>555</v>
      </c>
      <c r="D117" t="s">
        <v>549</v>
      </c>
      <c r="E117" t="s">
        <v>551</v>
      </c>
      <c r="F117" t="s">
        <v>123</v>
      </c>
      <c r="G117" t="s">
        <v>566</v>
      </c>
      <c r="H117">
        <v>377</v>
      </c>
      <c r="I117">
        <v>0.18430712180911279</v>
      </c>
      <c r="J117">
        <v>446</v>
      </c>
      <c r="K117">
        <v>10766</v>
      </c>
      <c r="L117">
        <v>994</v>
      </c>
      <c r="M117" t="s">
        <v>791</v>
      </c>
      <c r="N117">
        <v>5.29</v>
      </c>
      <c r="O117">
        <v>6.12</v>
      </c>
      <c r="P117">
        <v>86.7</v>
      </c>
      <c r="Q117">
        <v>59.8</v>
      </c>
      <c r="R117">
        <v>4</v>
      </c>
      <c r="S117">
        <v>8.3500000000000005E-2</v>
      </c>
      <c r="T117">
        <v>1.4500000000000001E-2</v>
      </c>
      <c r="U117">
        <v>0.87129999999999996</v>
      </c>
      <c r="AH117">
        <v>1521.31</v>
      </c>
      <c r="AI117">
        <v>35.08</v>
      </c>
      <c r="AJ117">
        <v>140.9</v>
      </c>
      <c r="AK117">
        <v>140.97999999999999</v>
      </c>
      <c r="AL117">
        <v>1838.27</v>
      </c>
      <c r="AM117">
        <v>0.26097986362659442</v>
      </c>
      <c r="AN117">
        <v>2487.44</v>
      </c>
      <c r="AO117">
        <v>649.16999999999996</v>
      </c>
      <c r="AP117">
        <v>0.26100000000000001</v>
      </c>
      <c r="AQ117">
        <v>0.73899999999999999</v>
      </c>
      <c r="AR117">
        <v>58512</v>
      </c>
      <c r="AS117">
        <v>4876</v>
      </c>
      <c r="AT117">
        <v>0.1123</v>
      </c>
      <c r="AU117">
        <v>48740</v>
      </c>
      <c r="AV117">
        <v>48740</v>
      </c>
      <c r="AW117">
        <v>49457</v>
      </c>
      <c r="AX117">
        <v>10976</v>
      </c>
      <c r="AY117">
        <v>1119.55</v>
      </c>
      <c r="AZ117">
        <v>0.88009999999999999</v>
      </c>
      <c r="BA117">
        <v>916.5</v>
      </c>
      <c r="BB117">
        <v>0.98550000000000004</v>
      </c>
      <c r="BC117">
        <v>0.8643790849673203</v>
      </c>
      <c r="BD117">
        <v>0.87970000000000004</v>
      </c>
      <c r="BE117">
        <v>0.74939999999999996</v>
      </c>
    </row>
    <row r="118" spans="1:57" x14ac:dyDescent="0.35">
      <c r="A118" t="s">
        <v>816</v>
      </c>
      <c r="B118" t="s">
        <v>817</v>
      </c>
      <c r="C118" t="s">
        <v>548</v>
      </c>
      <c r="D118" t="s">
        <v>556</v>
      </c>
      <c r="E118" t="s">
        <v>551</v>
      </c>
      <c r="F118" t="s">
        <v>123</v>
      </c>
      <c r="G118" t="s">
        <v>628</v>
      </c>
      <c r="H118">
        <v>1204</v>
      </c>
      <c r="I118">
        <v>-3.551988486030043E-2</v>
      </c>
      <c r="J118">
        <v>1161</v>
      </c>
      <c r="K118">
        <v>2162</v>
      </c>
      <c r="L118">
        <v>474</v>
      </c>
      <c r="M118" t="s">
        <v>587</v>
      </c>
      <c r="N118">
        <v>1.1499999999999999</v>
      </c>
      <c r="O118">
        <v>1.24</v>
      </c>
      <c r="P118">
        <v>57</v>
      </c>
      <c r="Q118">
        <v>30.1</v>
      </c>
      <c r="R118">
        <v>3</v>
      </c>
      <c r="S118">
        <v>0.15260000000000001</v>
      </c>
      <c r="T118">
        <v>8.2000000000000007E-3</v>
      </c>
      <c r="U118">
        <v>0.83579999999999999</v>
      </c>
      <c r="AH118">
        <v>1185.8399999999999</v>
      </c>
      <c r="AI118">
        <v>61.52</v>
      </c>
      <c r="AJ118">
        <v>27.8</v>
      </c>
      <c r="AK118">
        <v>142.32</v>
      </c>
      <c r="AL118">
        <v>1417.48</v>
      </c>
      <c r="AM118">
        <v>0.15547833219375221</v>
      </c>
      <c r="AN118">
        <v>1678.44</v>
      </c>
      <c r="AO118">
        <v>260.95999999999998</v>
      </c>
      <c r="AP118">
        <v>0.1555</v>
      </c>
      <c r="AQ118">
        <v>0.84450000000000003</v>
      </c>
      <c r="AR118">
        <v>18809</v>
      </c>
      <c r="AS118">
        <v>1567</v>
      </c>
      <c r="AT118">
        <v>0.21959999999999999</v>
      </c>
      <c r="AU118">
        <v>17121</v>
      </c>
      <c r="AV118">
        <v>17121</v>
      </c>
      <c r="AW118">
        <v>17263</v>
      </c>
      <c r="AX118">
        <v>2500</v>
      </c>
      <c r="AY118">
        <v>51.67</v>
      </c>
      <c r="AZ118">
        <v>0.92379999999999995</v>
      </c>
      <c r="BA118">
        <v>381.5</v>
      </c>
      <c r="BB118">
        <v>0.99180000000000001</v>
      </c>
      <c r="BC118">
        <v>0.92741935483870963</v>
      </c>
      <c r="BD118">
        <v>0.87459999999999993</v>
      </c>
      <c r="BE118">
        <v>0.80449999999999999</v>
      </c>
    </row>
    <row r="119" spans="1:57" x14ac:dyDescent="0.35">
      <c r="A119" t="s">
        <v>818</v>
      </c>
      <c r="B119" t="s">
        <v>819</v>
      </c>
      <c r="C119" t="s">
        <v>573</v>
      </c>
      <c r="D119" t="s">
        <v>549</v>
      </c>
      <c r="E119" t="s">
        <v>551</v>
      </c>
      <c r="F119" t="s">
        <v>123</v>
      </c>
      <c r="G119" t="s">
        <v>551</v>
      </c>
      <c r="H119">
        <v>1447</v>
      </c>
      <c r="I119">
        <v>0.1395657989822556</v>
      </c>
      <c r="J119">
        <v>1649</v>
      </c>
      <c r="K119">
        <v>4847</v>
      </c>
      <c r="L119">
        <v>582</v>
      </c>
      <c r="M119" t="s">
        <v>677</v>
      </c>
      <c r="N119">
        <v>4.53</v>
      </c>
      <c r="O119">
        <v>5.15</v>
      </c>
      <c r="P119">
        <v>56.6</v>
      </c>
      <c r="Q119">
        <v>53.9</v>
      </c>
      <c r="R119">
        <v>2</v>
      </c>
      <c r="S119">
        <v>9.5200000000000007E-2</v>
      </c>
      <c r="T119">
        <v>1.8200000000000001E-2</v>
      </c>
      <c r="U119">
        <v>0.87649999999999995</v>
      </c>
      <c r="AH119">
        <v>736.19</v>
      </c>
      <c r="AI119">
        <v>46.07</v>
      </c>
      <c r="AJ119">
        <v>87.79</v>
      </c>
      <c r="AK119">
        <v>56.64</v>
      </c>
      <c r="AL119">
        <v>926.69</v>
      </c>
      <c r="AM119">
        <v>0.22526151945857831</v>
      </c>
      <c r="AN119">
        <v>1196.1300000000001</v>
      </c>
      <c r="AO119">
        <v>269.44</v>
      </c>
      <c r="AP119">
        <v>0.2253</v>
      </c>
      <c r="AQ119">
        <v>0.77470000000000006</v>
      </c>
      <c r="AR119">
        <v>37191</v>
      </c>
      <c r="AS119">
        <v>3099</v>
      </c>
      <c r="AT119">
        <v>0.1726</v>
      </c>
      <c r="AU119">
        <v>32926</v>
      </c>
      <c r="AV119">
        <v>32926</v>
      </c>
      <c r="AW119">
        <v>33536</v>
      </c>
      <c r="AX119">
        <v>1817</v>
      </c>
      <c r="AY119">
        <v>155.96</v>
      </c>
      <c r="AZ119">
        <v>0.88029999999999997</v>
      </c>
      <c r="BA119">
        <v>172.98</v>
      </c>
      <c r="BB119">
        <v>0.98180000000000001</v>
      </c>
      <c r="BC119">
        <v>0.87961165048543688</v>
      </c>
      <c r="BD119">
        <v>0.86950000000000005</v>
      </c>
      <c r="BE119">
        <v>0.75090000000000001</v>
      </c>
    </row>
    <row r="120" spans="1:57" x14ac:dyDescent="0.35">
      <c r="A120" t="s">
        <v>820</v>
      </c>
      <c r="B120" t="s">
        <v>821</v>
      </c>
      <c r="C120" t="s">
        <v>548</v>
      </c>
      <c r="D120" t="s">
        <v>556</v>
      </c>
      <c r="E120" t="s">
        <v>551</v>
      </c>
      <c r="F120" t="s">
        <v>123</v>
      </c>
      <c r="G120" t="s">
        <v>551</v>
      </c>
      <c r="H120">
        <v>1037</v>
      </c>
      <c r="I120">
        <v>-1.0265429180810869E-2</v>
      </c>
      <c r="J120">
        <v>1026</v>
      </c>
      <c r="K120">
        <v>4408</v>
      </c>
      <c r="L120">
        <v>378</v>
      </c>
      <c r="M120" t="s">
        <v>601</v>
      </c>
      <c r="N120">
        <v>12.54</v>
      </c>
      <c r="O120">
        <v>13.09</v>
      </c>
      <c r="P120">
        <v>42.4</v>
      </c>
      <c r="Q120">
        <v>58.1</v>
      </c>
      <c r="R120">
        <v>4</v>
      </c>
      <c r="S120">
        <v>9.5600000000000004E-2</v>
      </c>
      <c r="T120">
        <v>1.72E-2</v>
      </c>
      <c r="U120">
        <v>0.86939999999999995</v>
      </c>
      <c r="AH120">
        <v>399.09</v>
      </c>
      <c r="AI120">
        <v>38.18</v>
      </c>
      <c r="AJ120">
        <v>351.19</v>
      </c>
      <c r="AK120">
        <v>76.83</v>
      </c>
      <c r="AL120">
        <v>865.29</v>
      </c>
      <c r="AM120">
        <v>0.27565781065753259</v>
      </c>
      <c r="AN120">
        <v>1194.5899999999999</v>
      </c>
      <c r="AO120">
        <v>329.3</v>
      </c>
      <c r="AP120">
        <v>0.2757</v>
      </c>
      <c r="AQ120">
        <v>0.72430000000000005</v>
      </c>
      <c r="AR120">
        <v>36267</v>
      </c>
      <c r="AS120">
        <v>3022</v>
      </c>
      <c r="AT120">
        <v>9.3200000000000005E-2</v>
      </c>
      <c r="AU120">
        <v>32237</v>
      </c>
      <c r="AV120">
        <v>32237</v>
      </c>
      <c r="AW120">
        <v>32801</v>
      </c>
      <c r="AX120">
        <v>1085</v>
      </c>
      <c r="AY120">
        <v>236.71</v>
      </c>
      <c r="AZ120">
        <v>0.85140000000000005</v>
      </c>
      <c r="BA120">
        <v>103.73</v>
      </c>
      <c r="BB120">
        <v>0.98280000000000001</v>
      </c>
      <c r="BC120">
        <v>0.95798319327731085</v>
      </c>
      <c r="BD120">
        <v>0.86569999999999991</v>
      </c>
      <c r="BE120">
        <v>0.81510000000000005</v>
      </c>
    </row>
    <row r="121" spans="1:57" x14ac:dyDescent="0.35">
      <c r="A121" t="s">
        <v>822</v>
      </c>
      <c r="B121" t="s">
        <v>823</v>
      </c>
      <c r="C121" t="s">
        <v>573</v>
      </c>
      <c r="D121" t="s">
        <v>556</v>
      </c>
      <c r="E121" t="s">
        <v>550</v>
      </c>
      <c r="F121" t="s">
        <v>123</v>
      </c>
      <c r="G121" t="s">
        <v>551</v>
      </c>
      <c r="H121">
        <v>174</v>
      </c>
      <c r="I121">
        <v>5.1924031971900958E-3</v>
      </c>
      <c r="J121">
        <v>175</v>
      </c>
      <c r="K121">
        <v>1792</v>
      </c>
      <c r="L121">
        <v>662</v>
      </c>
      <c r="M121" t="s">
        <v>677</v>
      </c>
      <c r="N121">
        <v>7.21</v>
      </c>
      <c r="O121">
        <v>7.98</v>
      </c>
      <c r="P121">
        <v>70.599999999999994</v>
      </c>
      <c r="Q121">
        <v>89.1</v>
      </c>
      <c r="R121">
        <v>4</v>
      </c>
      <c r="S121">
        <v>0.23430000000000001</v>
      </c>
      <c r="T121">
        <v>2.8500000000000001E-2</v>
      </c>
      <c r="U121">
        <v>0.96479999999999999</v>
      </c>
      <c r="AH121">
        <v>346.78</v>
      </c>
      <c r="AI121">
        <v>116.78</v>
      </c>
      <c r="AJ121">
        <v>155.02000000000001</v>
      </c>
      <c r="AK121">
        <v>57.24</v>
      </c>
      <c r="AL121">
        <v>675.82</v>
      </c>
      <c r="AM121">
        <v>0.16404401933685969</v>
      </c>
      <c r="AN121">
        <v>808.44</v>
      </c>
      <c r="AO121">
        <v>132.62</v>
      </c>
      <c r="AP121">
        <v>0.16400000000000001</v>
      </c>
      <c r="AQ121">
        <v>0.83599999999999997</v>
      </c>
      <c r="AR121">
        <v>16538</v>
      </c>
      <c r="AS121">
        <v>1378</v>
      </c>
      <c r="AT121">
        <v>0.2424</v>
      </c>
      <c r="AU121">
        <v>15408</v>
      </c>
      <c r="AV121">
        <v>15408</v>
      </c>
      <c r="AW121">
        <v>15860</v>
      </c>
      <c r="AX121">
        <v>859</v>
      </c>
      <c r="AY121">
        <v>114.25</v>
      </c>
      <c r="AZ121">
        <v>0.88029999999999997</v>
      </c>
      <c r="BA121">
        <v>201.26</v>
      </c>
      <c r="BB121">
        <v>0.97150000000000003</v>
      </c>
      <c r="BC121">
        <v>0.90350877192982448</v>
      </c>
      <c r="BD121">
        <v>0.86950000000000005</v>
      </c>
      <c r="BE121">
        <v>0.76319999999999999</v>
      </c>
    </row>
    <row r="122" spans="1:57" x14ac:dyDescent="0.35">
      <c r="A122" t="s">
        <v>824</v>
      </c>
      <c r="B122" t="s">
        <v>825</v>
      </c>
      <c r="C122" t="s">
        <v>606</v>
      </c>
      <c r="D122" t="s">
        <v>549</v>
      </c>
      <c r="E122" t="s">
        <v>557</v>
      </c>
      <c r="F122" t="s">
        <v>123</v>
      </c>
      <c r="G122" t="s">
        <v>558</v>
      </c>
      <c r="H122">
        <v>2627</v>
      </c>
      <c r="I122">
        <v>0.1328175167434214</v>
      </c>
      <c r="J122">
        <v>2976</v>
      </c>
      <c r="K122">
        <v>13439</v>
      </c>
      <c r="L122">
        <v>1216</v>
      </c>
      <c r="M122" t="s">
        <v>596</v>
      </c>
      <c r="N122">
        <v>11.38</v>
      </c>
      <c r="O122">
        <v>13.15</v>
      </c>
      <c r="P122">
        <v>52.7</v>
      </c>
      <c r="Q122">
        <v>38.299999999999997</v>
      </c>
      <c r="R122">
        <v>1</v>
      </c>
      <c r="S122">
        <v>1.7299999999999999E-2</v>
      </c>
      <c r="T122">
        <v>8.0999999999999996E-3</v>
      </c>
      <c r="U122">
        <v>0.93710000000000004</v>
      </c>
      <c r="AH122">
        <v>1131.56</v>
      </c>
      <c r="AI122">
        <v>8.14</v>
      </c>
      <c r="AJ122">
        <v>389</v>
      </c>
      <c r="AK122">
        <v>108.03</v>
      </c>
      <c r="AL122">
        <v>1636.73</v>
      </c>
      <c r="AM122">
        <v>0.27277393234579128</v>
      </c>
      <c r="AN122">
        <v>2250.65</v>
      </c>
      <c r="AO122">
        <v>613.91999999999996</v>
      </c>
      <c r="AP122">
        <v>0.27279999999999999</v>
      </c>
      <c r="AQ122">
        <v>0.72719999999999996</v>
      </c>
      <c r="AR122">
        <v>73391</v>
      </c>
      <c r="AS122">
        <v>6116</v>
      </c>
      <c r="AT122">
        <v>0.122</v>
      </c>
      <c r="AU122">
        <v>61168</v>
      </c>
      <c r="AV122">
        <v>61168</v>
      </c>
      <c r="AW122">
        <v>61668</v>
      </c>
      <c r="AX122">
        <v>2845</v>
      </c>
      <c r="AY122">
        <v>623.53</v>
      </c>
      <c r="AZ122">
        <v>0.94630000000000003</v>
      </c>
      <c r="BA122">
        <v>49.22</v>
      </c>
      <c r="BB122">
        <v>0.9919</v>
      </c>
      <c r="BC122">
        <v>0.86539923954372622</v>
      </c>
      <c r="BD122">
        <v>0.87060000000000004</v>
      </c>
      <c r="BE122">
        <v>0.74729999999999996</v>
      </c>
    </row>
    <row r="123" spans="1:57" x14ac:dyDescent="0.35">
      <c r="A123" t="s">
        <v>826</v>
      </c>
      <c r="B123" t="s">
        <v>827</v>
      </c>
      <c r="C123" t="s">
        <v>573</v>
      </c>
      <c r="D123" t="s">
        <v>549</v>
      </c>
      <c r="E123" t="s">
        <v>551</v>
      </c>
      <c r="F123" t="s">
        <v>123</v>
      </c>
      <c r="G123" t="s">
        <v>551</v>
      </c>
      <c r="H123">
        <v>1069</v>
      </c>
      <c r="I123">
        <v>0.17352480091978359</v>
      </c>
      <c r="J123">
        <v>1254</v>
      </c>
      <c r="K123">
        <v>8098</v>
      </c>
      <c r="L123">
        <v>1174</v>
      </c>
      <c r="M123" t="s">
        <v>677</v>
      </c>
      <c r="N123">
        <v>6.84</v>
      </c>
      <c r="O123">
        <v>7.84</v>
      </c>
      <c r="P123">
        <v>49.1</v>
      </c>
      <c r="Q123">
        <v>20.399999999999999</v>
      </c>
      <c r="R123">
        <v>3</v>
      </c>
      <c r="S123">
        <v>0.127</v>
      </c>
      <c r="T123">
        <v>1.7500000000000002E-2</v>
      </c>
      <c r="U123">
        <v>0.89090000000000003</v>
      </c>
      <c r="AH123">
        <v>1531.41</v>
      </c>
      <c r="AI123">
        <v>43.4</v>
      </c>
      <c r="AJ123">
        <v>177.83</v>
      </c>
      <c r="AK123">
        <v>104.39</v>
      </c>
      <c r="AL123">
        <v>1857.03</v>
      </c>
      <c r="AM123">
        <v>0.38177765721460682</v>
      </c>
      <c r="AN123">
        <v>3003.82</v>
      </c>
      <c r="AO123">
        <v>1146.79</v>
      </c>
      <c r="AP123">
        <v>0.38179999999999997</v>
      </c>
      <c r="AQ123">
        <v>0.61819999999999997</v>
      </c>
      <c r="AR123">
        <v>43992</v>
      </c>
      <c r="AS123">
        <v>3666</v>
      </c>
      <c r="AT123">
        <v>0.2261</v>
      </c>
      <c r="AU123">
        <v>37068</v>
      </c>
      <c r="AV123">
        <v>37068</v>
      </c>
      <c r="AW123">
        <v>37728</v>
      </c>
      <c r="AX123">
        <v>2044</v>
      </c>
      <c r="AY123">
        <v>267.08</v>
      </c>
      <c r="AZ123">
        <v>0.88029999999999997</v>
      </c>
      <c r="BA123">
        <v>259.58999999999997</v>
      </c>
      <c r="BB123">
        <v>0.98250000000000004</v>
      </c>
      <c r="BC123">
        <v>0.87244897959183676</v>
      </c>
      <c r="BD123">
        <v>0.86950000000000005</v>
      </c>
      <c r="BE123">
        <v>0.74529999999999996</v>
      </c>
    </row>
    <row r="124" spans="1:57" x14ac:dyDescent="0.35">
      <c r="A124" t="s">
        <v>828</v>
      </c>
      <c r="B124" t="s">
        <v>829</v>
      </c>
      <c r="C124" t="s">
        <v>548</v>
      </c>
      <c r="D124" t="s">
        <v>556</v>
      </c>
      <c r="E124" t="s">
        <v>551</v>
      </c>
      <c r="F124" t="s">
        <v>123</v>
      </c>
      <c r="G124" t="s">
        <v>551</v>
      </c>
      <c r="H124">
        <v>307</v>
      </c>
      <c r="I124">
        <v>8.5808201447489532E-2</v>
      </c>
      <c r="J124">
        <v>333</v>
      </c>
      <c r="K124">
        <v>3111</v>
      </c>
      <c r="L124">
        <v>328</v>
      </c>
      <c r="M124" t="s">
        <v>622</v>
      </c>
      <c r="N124">
        <v>8.7799999999999994</v>
      </c>
      <c r="O124">
        <v>10.26</v>
      </c>
      <c r="P124">
        <v>52.9</v>
      </c>
      <c r="Q124">
        <v>32.1</v>
      </c>
      <c r="R124">
        <v>2</v>
      </c>
      <c r="S124">
        <v>7.1199999999999999E-2</v>
      </c>
      <c r="T124">
        <v>3.2000000000000002E-3</v>
      </c>
      <c r="U124">
        <v>0.97789999999999999</v>
      </c>
      <c r="AH124">
        <v>318.72000000000003</v>
      </c>
      <c r="AI124">
        <v>34.61</v>
      </c>
      <c r="AJ124">
        <v>128.51</v>
      </c>
      <c r="AK124">
        <v>46.07</v>
      </c>
      <c r="AL124">
        <v>527.91</v>
      </c>
      <c r="AM124">
        <v>0.1763483045269513</v>
      </c>
      <c r="AN124">
        <v>640.94000000000005</v>
      </c>
      <c r="AO124">
        <v>113.03</v>
      </c>
      <c r="AP124">
        <v>0.1764</v>
      </c>
      <c r="AQ124">
        <v>0.8236</v>
      </c>
      <c r="AR124">
        <v>30995</v>
      </c>
      <c r="AS124">
        <v>2583</v>
      </c>
      <c r="AT124">
        <v>0.1087</v>
      </c>
      <c r="AU124">
        <v>28212</v>
      </c>
      <c r="AV124">
        <v>28212</v>
      </c>
      <c r="AW124">
        <v>28303</v>
      </c>
      <c r="AX124">
        <v>1494</v>
      </c>
      <c r="AY124">
        <v>255.47</v>
      </c>
      <c r="AZ124">
        <v>0.95799999999999996</v>
      </c>
      <c r="BA124">
        <v>106.37</v>
      </c>
      <c r="BB124">
        <v>0.99680000000000002</v>
      </c>
      <c r="BC124">
        <v>0.85575048732943471</v>
      </c>
      <c r="BD124">
        <v>0.8538</v>
      </c>
      <c r="BE124">
        <v>0.72829999999999995</v>
      </c>
    </row>
    <row r="125" spans="1:57" x14ac:dyDescent="0.35">
      <c r="A125" t="s">
        <v>830</v>
      </c>
      <c r="B125" t="s">
        <v>831</v>
      </c>
      <c r="C125" t="s">
        <v>548</v>
      </c>
      <c r="D125" t="s">
        <v>556</v>
      </c>
      <c r="E125" t="s">
        <v>557</v>
      </c>
      <c r="F125" t="s">
        <v>123</v>
      </c>
      <c r="G125" t="s">
        <v>551</v>
      </c>
      <c r="H125">
        <v>698</v>
      </c>
      <c r="I125">
        <v>0.1065550804078538</v>
      </c>
      <c r="J125">
        <v>772</v>
      </c>
      <c r="K125">
        <v>8682</v>
      </c>
      <c r="L125">
        <v>2275</v>
      </c>
      <c r="M125" t="s">
        <v>563</v>
      </c>
      <c r="N125">
        <v>2.0099999999999998</v>
      </c>
      <c r="O125">
        <v>2.37</v>
      </c>
      <c r="P125">
        <v>16.7</v>
      </c>
      <c r="Q125">
        <v>27.7</v>
      </c>
      <c r="R125">
        <v>2</v>
      </c>
      <c r="S125">
        <v>4.1700000000000001E-2</v>
      </c>
      <c r="T125">
        <v>4.5999999999999999E-3</v>
      </c>
      <c r="U125">
        <v>0.88370000000000004</v>
      </c>
      <c r="AH125">
        <v>259.42</v>
      </c>
      <c r="AI125">
        <v>13.48</v>
      </c>
      <c r="AJ125">
        <v>55.75</v>
      </c>
      <c r="AK125">
        <v>33.42</v>
      </c>
      <c r="AL125">
        <v>362.07</v>
      </c>
      <c r="AM125">
        <v>0.34111018201887611</v>
      </c>
      <c r="AN125">
        <v>549.52</v>
      </c>
      <c r="AO125">
        <v>187.45</v>
      </c>
      <c r="AP125">
        <v>0.34110000000000001</v>
      </c>
      <c r="AQ125">
        <v>0.65890000000000004</v>
      </c>
      <c r="AR125">
        <v>61027</v>
      </c>
      <c r="AS125">
        <v>5086</v>
      </c>
      <c r="AT125">
        <v>0.22520000000000001</v>
      </c>
      <c r="AU125">
        <v>54620</v>
      </c>
      <c r="AV125">
        <v>54620</v>
      </c>
      <c r="AW125">
        <v>54872</v>
      </c>
      <c r="AX125">
        <v>4542</v>
      </c>
      <c r="AY125">
        <v>179.41</v>
      </c>
      <c r="AZ125">
        <v>0.92459999999999998</v>
      </c>
      <c r="BA125">
        <v>189.4</v>
      </c>
      <c r="BB125">
        <v>0.99539999999999995</v>
      </c>
      <c r="BC125">
        <v>0.84810126582278467</v>
      </c>
      <c r="BD125">
        <v>0.83379999999999999</v>
      </c>
      <c r="BE125">
        <v>0.70389999999999997</v>
      </c>
    </row>
    <row r="126" spans="1:57" x14ac:dyDescent="0.35">
      <c r="A126" t="s">
        <v>832</v>
      </c>
      <c r="B126" t="s">
        <v>833</v>
      </c>
      <c r="C126" t="s">
        <v>548</v>
      </c>
      <c r="D126" t="s">
        <v>549</v>
      </c>
      <c r="E126" t="s">
        <v>551</v>
      </c>
      <c r="F126" t="s">
        <v>123</v>
      </c>
      <c r="G126" t="s">
        <v>551</v>
      </c>
      <c r="H126">
        <v>705</v>
      </c>
      <c r="I126">
        <v>9.9581816280606736E-2</v>
      </c>
      <c r="J126">
        <v>775</v>
      </c>
      <c r="K126">
        <v>5333</v>
      </c>
      <c r="L126">
        <v>352</v>
      </c>
      <c r="M126" t="s">
        <v>596</v>
      </c>
      <c r="N126">
        <v>5.26</v>
      </c>
      <c r="O126">
        <v>6.11</v>
      </c>
      <c r="P126">
        <v>54.2</v>
      </c>
      <c r="Q126">
        <v>45.4</v>
      </c>
      <c r="R126">
        <v>2</v>
      </c>
      <c r="S126">
        <v>7.9600000000000004E-2</v>
      </c>
      <c r="T126">
        <v>2.0999999999999999E-3</v>
      </c>
      <c r="U126">
        <v>0.8105</v>
      </c>
      <c r="AH126">
        <v>659.26</v>
      </c>
      <c r="AI126">
        <v>36.89</v>
      </c>
      <c r="AJ126">
        <v>100.83</v>
      </c>
      <c r="AK126">
        <v>57.46</v>
      </c>
      <c r="AL126">
        <v>854.44</v>
      </c>
      <c r="AM126">
        <v>0.25241776334399812</v>
      </c>
      <c r="AN126">
        <v>1142.94</v>
      </c>
      <c r="AO126">
        <v>288.5</v>
      </c>
      <c r="AP126">
        <v>0.25240000000000001</v>
      </c>
      <c r="AQ126">
        <v>0.74760000000000004</v>
      </c>
      <c r="AR126">
        <v>28210</v>
      </c>
      <c r="AS126">
        <v>2351</v>
      </c>
      <c r="AT126">
        <v>8.2199999999999995E-2</v>
      </c>
      <c r="AU126">
        <v>23229</v>
      </c>
      <c r="AV126">
        <v>23229</v>
      </c>
      <c r="AW126">
        <v>23278</v>
      </c>
      <c r="AX126">
        <v>1074</v>
      </c>
      <c r="AY126">
        <v>109.37</v>
      </c>
      <c r="AZ126">
        <v>0.94630000000000003</v>
      </c>
      <c r="BA126">
        <v>85.49</v>
      </c>
      <c r="BB126">
        <v>0.99790000000000001</v>
      </c>
      <c r="BC126">
        <v>0.86088379705400975</v>
      </c>
      <c r="BD126">
        <v>0.87060000000000004</v>
      </c>
      <c r="BE126">
        <v>0.74790000000000001</v>
      </c>
    </row>
    <row r="127" spans="1:57" x14ac:dyDescent="0.35">
      <c r="A127" t="s">
        <v>834</v>
      </c>
      <c r="B127" t="s">
        <v>835</v>
      </c>
      <c r="C127" t="s">
        <v>555</v>
      </c>
      <c r="D127" t="s">
        <v>556</v>
      </c>
      <c r="E127" t="s">
        <v>557</v>
      </c>
      <c r="F127" t="s">
        <v>123</v>
      </c>
      <c r="G127" t="s">
        <v>566</v>
      </c>
      <c r="H127">
        <v>1000</v>
      </c>
      <c r="I127">
        <v>1.7248351108774419E-2</v>
      </c>
      <c r="J127">
        <v>1017</v>
      </c>
      <c r="K127">
        <v>12530</v>
      </c>
      <c r="L127">
        <v>1150</v>
      </c>
      <c r="M127" t="s">
        <v>656</v>
      </c>
      <c r="N127">
        <v>8.68</v>
      </c>
      <c r="O127">
        <v>9.93</v>
      </c>
      <c r="P127">
        <v>43</v>
      </c>
      <c r="Q127">
        <v>14.2</v>
      </c>
      <c r="R127">
        <v>1</v>
      </c>
      <c r="S127">
        <v>4.8099999999999997E-2</v>
      </c>
      <c r="T127">
        <v>2.5000000000000001E-2</v>
      </c>
      <c r="U127">
        <v>0.84719999999999995</v>
      </c>
      <c r="AH127">
        <v>249.03</v>
      </c>
      <c r="AI127">
        <v>18.09</v>
      </c>
      <c r="AJ127">
        <v>235.6</v>
      </c>
      <c r="AK127">
        <v>47.83</v>
      </c>
      <c r="AL127">
        <v>550.54999999999995</v>
      </c>
      <c r="AM127">
        <v>0.3137934286310845</v>
      </c>
      <c r="AN127">
        <v>802.31</v>
      </c>
      <c r="AO127">
        <v>251.76</v>
      </c>
      <c r="AP127">
        <v>0.31380000000000002</v>
      </c>
      <c r="AQ127">
        <v>0.68620000000000003</v>
      </c>
      <c r="AR127">
        <v>64485</v>
      </c>
      <c r="AS127">
        <v>5374</v>
      </c>
      <c r="AT127">
        <v>0.16700000000000001</v>
      </c>
      <c r="AU127">
        <v>53105</v>
      </c>
      <c r="AV127">
        <v>53105</v>
      </c>
      <c r="AW127">
        <v>54467</v>
      </c>
      <c r="AX127">
        <v>3496</v>
      </c>
      <c r="AY127">
        <v>578.59</v>
      </c>
      <c r="AZ127">
        <v>0.87060000000000004</v>
      </c>
      <c r="BA127">
        <v>168.16</v>
      </c>
      <c r="BB127">
        <v>0.97499999999999998</v>
      </c>
      <c r="BC127">
        <v>0.87411883182275929</v>
      </c>
      <c r="BD127">
        <v>0.85910000000000009</v>
      </c>
      <c r="BE127">
        <v>0.73219999999999996</v>
      </c>
    </row>
    <row r="128" spans="1:57" x14ac:dyDescent="0.35">
      <c r="A128" t="s">
        <v>836</v>
      </c>
      <c r="B128" t="s">
        <v>837</v>
      </c>
      <c r="C128" t="s">
        <v>555</v>
      </c>
      <c r="D128" t="s">
        <v>556</v>
      </c>
      <c r="E128" t="s">
        <v>557</v>
      </c>
      <c r="F128" t="s">
        <v>123</v>
      </c>
      <c r="G128" t="s">
        <v>628</v>
      </c>
      <c r="H128">
        <v>865</v>
      </c>
      <c r="I128">
        <v>0.19367496296767239</v>
      </c>
      <c r="J128">
        <v>1033</v>
      </c>
      <c r="K128">
        <v>6248</v>
      </c>
      <c r="L128">
        <v>930</v>
      </c>
      <c r="M128" t="s">
        <v>570</v>
      </c>
      <c r="N128">
        <v>3.38</v>
      </c>
      <c r="O128">
        <v>3.5</v>
      </c>
      <c r="P128">
        <v>59</v>
      </c>
      <c r="Q128">
        <v>16.5</v>
      </c>
      <c r="R128">
        <v>2</v>
      </c>
      <c r="S128">
        <v>7.4700000000000003E-2</v>
      </c>
      <c r="T128">
        <v>2.5600000000000001E-2</v>
      </c>
      <c r="U128">
        <v>0.87849999999999995</v>
      </c>
      <c r="AH128">
        <v>818.7</v>
      </c>
      <c r="AI128">
        <v>35.53</v>
      </c>
      <c r="AJ128">
        <v>39.869999999999997</v>
      </c>
      <c r="AK128">
        <v>69.44</v>
      </c>
      <c r="AL128">
        <v>963.54</v>
      </c>
      <c r="AM128">
        <v>0.21505914949630731</v>
      </c>
      <c r="AN128">
        <v>1227.53</v>
      </c>
      <c r="AO128">
        <v>263.99</v>
      </c>
      <c r="AP128">
        <v>0.21510000000000001</v>
      </c>
      <c r="AQ128">
        <v>0.78490000000000004</v>
      </c>
      <c r="AR128">
        <v>49456</v>
      </c>
      <c r="AS128">
        <v>4121</v>
      </c>
      <c r="AT128">
        <v>0.21079999999999999</v>
      </c>
      <c r="AU128">
        <v>44138</v>
      </c>
      <c r="AV128">
        <v>44138</v>
      </c>
      <c r="AW128">
        <v>45298</v>
      </c>
      <c r="AX128">
        <v>13798</v>
      </c>
      <c r="AY128">
        <v>804.88</v>
      </c>
      <c r="AZ128">
        <v>0.93740000000000001</v>
      </c>
      <c r="BA128">
        <v>1030.71</v>
      </c>
      <c r="BB128">
        <v>0.97440000000000004</v>
      </c>
      <c r="BC128">
        <v>0.96571428571428564</v>
      </c>
      <c r="BD128">
        <v>0.87450000000000006</v>
      </c>
      <c r="BE128">
        <v>0.82289999999999996</v>
      </c>
    </row>
    <row r="129" spans="1:57" x14ac:dyDescent="0.35">
      <c r="A129" t="s">
        <v>838</v>
      </c>
      <c r="B129" t="s">
        <v>839</v>
      </c>
      <c r="C129" t="s">
        <v>606</v>
      </c>
      <c r="D129" t="s">
        <v>549</v>
      </c>
      <c r="E129" t="s">
        <v>550</v>
      </c>
      <c r="F129" t="s">
        <v>123</v>
      </c>
      <c r="G129" t="s">
        <v>558</v>
      </c>
      <c r="H129">
        <v>278</v>
      </c>
      <c r="I129">
        <v>-2.3767455395456289E-2</v>
      </c>
      <c r="J129">
        <v>271</v>
      </c>
      <c r="K129">
        <v>2223</v>
      </c>
      <c r="L129">
        <v>397</v>
      </c>
      <c r="M129" t="s">
        <v>593</v>
      </c>
      <c r="N129">
        <v>7.24</v>
      </c>
      <c r="O129">
        <v>8.1199999999999992</v>
      </c>
      <c r="P129">
        <v>78.400000000000006</v>
      </c>
      <c r="Q129">
        <v>59.3</v>
      </c>
      <c r="R129">
        <v>3</v>
      </c>
      <c r="S129">
        <v>0.16600000000000001</v>
      </c>
      <c r="T129">
        <v>2.3099999999999999E-2</v>
      </c>
      <c r="U129">
        <v>0.82820000000000005</v>
      </c>
      <c r="AH129">
        <v>1634.72</v>
      </c>
      <c r="AI129">
        <v>78.62</v>
      </c>
      <c r="AJ129">
        <v>109.6</v>
      </c>
      <c r="AK129">
        <v>182.16</v>
      </c>
      <c r="AL129">
        <v>2005.1</v>
      </c>
      <c r="AM129">
        <v>0.18987306563533959</v>
      </c>
      <c r="AN129">
        <v>2475.04</v>
      </c>
      <c r="AO129">
        <v>469.94</v>
      </c>
      <c r="AP129">
        <v>0.18990000000000001</v>
      </c>
      <c r="AQ129">
        <v>0.81010000000000004</v>
      </c>
      <c r="AR129">
        <v>18851</v>
      </c>
      <c r="AS129">
        <v>1571</v>
      </c>
      <c r="AT129">
        <v>0.2389</v>
      </c>
      <c r="AU129">
        <v>17025</v>
      </c>
      <c r="AV129">
        <v>17025</v>
      </c>
      <c r="AW129">
        <v>17428</v>
      </c>
      <c r="AX129">
        <v>2595</v>
      </c>
      <c r="AY129">
        <v>351.19</v>
      </c>
      <c r="AZ129">
        <v>0.85650000000000004</v>
      </c>
      <c r="BA129">
        <v>430.77</v>
      </c>
      <c r="BB129">
        <v>0.97689999999999999</v>
      </c>
      <c r="BC129">
        <v>0.89162561576354693</v>
      </c>
      <c r="BD129">
        <v>0.87629999999999997</v>
      </c>
      <c r="BE129">
        <v>0.76329999999999998</v>
      </c>
    </row>
    <row r="130" spans="1:57" x14ac:dyDescent="0.35">
      <c r="A130" t="s">
        <v>840</v>
      </c>
      <c r="B130" t="s">
        <v>841</v>
      </c>
      <c r="C130" t="s">
        <v>573</v>
      </c>
      <c r="D130" t="s">
        <v>556</v>
      </c>
      <c r="E130" t="s">
        <v>551</v>
      </c>
      <c r="F130" t="s">
        <v>123</v>
      </c>
      <c r="G130" t="s">
        <v>551</v>
      </c>
      <c r="H130">
        <v>301</v>
      </c>
      <c r="I130">
        <v>0.143951183948239</v>
      </c>
      <c r="J130">
        <v>344</v>
      </c>
      <c r="K130">
        <v>2061</v>
      </c>
      <c r="L130">
        <v>492</v>
      </c>
      <c r="M130" t="s">
        <v>590</v>
      </c>
      <c r="N130">
        <v>7.98</v>
      </c>
      <c r="O130">
        <v>8.27</v>
      </c>
      <c r="P130">
        <v>78.8</v>
      </c>
      <c r="Q130">
        <v>24</v>
      </c>
      <c r="R130">
        <v>2</v>
      </c>
      <c r="S130">
        <v>0.10489999999999999</v>
      </c>
      <c r="T130">
        <v>1.37E-2</v>
      </c>
      <c r="U130">
        <v>0.97060000000000002</v>
      </c>
      <c r="AH130">
        <v>700.74</v>
      </c>
      <c r="AI130">
        <v>48.38</v>
      </c>
      <c r="AJ130">
        <v>224.24</v>
      </c>
      <c r="AK130">
        <v>62.24</v>
      </c>
      <c r="AL130">
        <v>1035.5999999999999</v>
      </c>
      <c r="AM130">
        <v>0.1901156535678066</v>
      </c>
      <c r="AN130">
        <v>1278.7</v>
      </c>
      <c r="AO130">
        <v>243.1</v>
      </c>
      <c r="AP130">
        <v>0.19009999999999999</v>
      </c>
      <c r="AQ130">
        <v>0.80989999999999995</v>
      </c>
      <c r="AR130">
        <v>22452</v>
      </c>
      <c r="AS130">
        <v>1871</v>
      </c>
      <c r="AT130">
        <v>0.2346</v>
      </c>
      <c r="AU130">
        <v>20883</v>
      </c>
      <c r="AV130">
        <v>20883</v>
      </c>
      <c r="AW130">
        <v>21173</v>
      </c>
      <c r="AX130">
        <v>834</v>
      </c>
      <c r="AY130">
        <v>114.95</v>
      </c>
      <c r="AZ130">
        <v>0.84340000000000004</v>
      </c>
      <c r="BA130">
        <v>87.49</v>
      </c>
      <c r="BB130">
        <v>0.98629999999999995</v>
      </c>
      <c r="BC130">
        <v>0.96493349455864585</v>
      </c>
      <c r="BD130">
        <v>0.8498</v>
      </c>
      <c r="BE130">
        <v>0.80879999999999996</v>
      </c>
    </row>
    <row r="131" spans="1:57" x14ac:dyDescent="0.35">
      <c r="A131" t="s">
        <v>842</v>
      </c>
      <c r="B131" t="s">
        <v>843</v>
      </c>
      <c r="C131" t="s">
        <v>548</v>
      </c>
      <c r="D131" t="s">
        <v>556</v>
      </c>
      <c r="E131" t="s">
        <v>550</v>
      </c>
      <c r="F131" t="s">
        <v>123</v>
      </c>
      <c r="G131" t="s">
        <v>628</v>
      </c>
      <c r="H131">
        <v>253</v>
      </c>
      <c r="I131">
        <v>4.9230819050399013E-2</v>
      </c>
      <c r="J131">
        <v>265</v>
      </c>
      <c r="K131">
        <v>3485</v>
      </c>
      <c r="L131">
        <v>519</v>
      </c>
      <c r="M131" t="s">
        <v>649</v>
      </c>
      <c r="N131">
        <v>14.02</v>
      </c>
      <c r="O131">
        <v>16.37</v>
      </c>
      <c r="P131">
        <v>77.099999999999994</v>
      </c>
      <c r="Q131">
        <v>67.7</v>
      </c>
      <c r="R131">
        <v>4</v>
      </c>
      <c r="S131">
        <v>0.37080000000000002</v>
      </c>
      <c r="T131">
        <v>1.0200000000000001E-2</v>
      </c>
      <c r="U131">
        <v>0.93799999999999994</v>
      </c>
      <c r="AH131">
        <v>784.24</v>
      </c>
      <c r="AI131">
        <v>169.83</v>
      </c>
      <c r="AJ131">
        <v>238.08</v>
      </c>
      <c r="AK131">
        <v>133.9</v>
      </c>
      <c r="AL131">
        <v>1326.05</v>
      </c>
      <c r="AM131">
        <v>0.16762298641078621</v>
      </c>
      <c r="AN131">
        <v>1593.09</v>
      </c>
      <c r="AO131">
        <v>267.04000000000002</v>
      </c>
      <c r="AP131">
        <v>0.1676</v>
      </c>
      <c r="AQ131">
        <v>0.83240000000000003</v>
      </c>
      <c r="AR131">
        <v>17979</v>
      </c>
      <c r="AS131">
        <v>1498</v>
      </c>
      <c r="AT131">
        <v>0.21929999999999999</v>
      </c>
      <c r="AU131">
        <v>15013</v>
      </c>
      <c r="AV131">
        <v>15013</v>
      </c>
      <c r="AW131">
        <v>15168</v>
      </c>
      <c r="AX131">
        <v>419</v>
      </c>
      <c r="AY131">
        <v>114.32</v>
      </c>
      <c r="AZ131">
        <v>0.85880000000000001</v>
      </c>
      <c r="BA131">
        <v>155.37</v>
      </c>
      <c r="BB131">
        <v>0.98980000000000001</v>
      </c>
      <c r="BC131">
        <v>0.85644471594379956</v>
      </c>
      <c r="BD131">
        <v>0.84340000000000004</v>
      </c>
      <c r="BE131">
        <v>0.71499999999999997</v>
      </c>
    </row>
    <row r="132" spans="1:57" x14ac:dyDescent="0.35">
      <c r="A132" t="s">
        <v>844</v>
      </c>
      <c r="B132" t="s">
        <v>845</v>
      </c>
      <c r="C132" t="s">
        <v>562</v>
      </c>
      <c r="D132" t="s">
        <v>549</v>
      </c>
      <c r="E132" t="s">
        <v>550</v>
      </c>
      <c r="F132" t="s">
        <v>123</v>
      </c>
      <c r="G132" t="s">
        <v>566</v>
      </c>
      <c r="H132">
        <v>2328</v>
      </c>
      <c r="I132">
        <v>0.18788749358883169</v>
      </c>
      <c r="J132">
        <v>2765</v>
      </c>
      <c r="K132">
        <v>1756</v>
      </c>
      <c r="L132">
        <v>912</v>
      </c>
      <c r="M132" t="s">
        <v>735</v>
      </c>
      <c r="N132">
        <v>17.079999999999998</v>
      </c>
      <c r="O132">
        <v>18.52</v>
      </c>
      <c r="P132">
        <v>61.1</v>
      </c>
      <c r="Q132">
        <v>67.599999999999994</v>
      </c>
      <c r="R132">
        <v>6</v>
      </c>
      <c r="S132">
        <v>0.12189999999999999</v>
      </c>
      <c r="T132">
        <v>7.9000000000000008E-3</v>
      </c>
      <c r="U132">
        <v>0.84830000000000005</v>
      </c>
      <c r="AH132">
        <v>1436.37</v>
      </c>
      <c r="AI132">
        <v>44</v>
      </c>
      <c r="AJ132">
        <v>495.24</v>
      </c>
      <c r="AK132">
        <v>138.53</v>
      </c>
      <c r="AL132">
        <v>2114.14</v>
      </c>
      <c r="AM132">
        <v>0.19641167622531069</v>
      </c>
      <c r="AN132">
        <v>2630.87</v>
      </c>
      <c r="AO132">
        <v>516.73</v>
      </c>
      <c r="AP132">
        <v>0.19639999999999999</v>
      </c>
      <c r="AQ132">
        <v>0.80359999999999998</v>
      </c>
      <c r="AR132">
        <v>24581</v>
      </c>
      <c r="AS132">
        <v>2048</v>
      </c>
      <c r="AT132">
        <v>0.23100000000000001</v>
      </c>
      <c r="AU132">
        <v>23737</v>
      </c>
      <c r="AV132">
        <v>23737</v>
      </c>
      <c r="AW132">
        <v>23926</v>
      </c>
      <c r="AX132">
        <v>1759</v>
      </c>
      <c r="AY132">
        <v>542.94000000000005</v>
      </c>
      <c r="AZ132">
        <v>0.89449999999999996</v>
      </c>
      <c r="BA132">
        <v>214.42</v>
      </c>
      <c r="BB132">
        <v>0.99209999999999998</v>
      </c>
      <c r="BC132">
        <v>0.92224622030237569</v>
      </c>
      <c r="BD132">
        <v>0.87180000000000002</v>
      </c>
      <c r="BE132">
        <v>0.79769999999999996</v>
      </c>
    </row>
    <row r="133" spans="1:57" x14ac:dyDescent="0.35">
      <c r="A133" t="s">
        <v>846</v>
      </c>
      <c r="B133" t="s">
        <v>847</v>
      </c>
      <c r="C133" t="s">
        <v>573</v>
      </c>
      <c r="D133" t="s">
        <v>556</v>
      </c>
      <c r="E133" t="s">
        <v>551</v>
      </c>
      <c r="F133" t="s">
        <v>123</v>
      </c>
      <c r="G133" t="s">
        <v>551</v>
      </c>
      <c r="H133">
        <v>1215</v>
      </c>
      <c r="I133">
        <v>0.16774228093652141</v>
      </c>
      <c r="J133">
        <v>1419</v>
      </c>
      <c r="K133">
        <v>5785</v>
      </c>
      <c r="L133">
        <v>600</v>
      </c>
      <c r="M133" t="s">
        <v>656</v>
      </c>
      <c r="N133">
        <v>7.69</v>
      </c>
      <c r="O133">
        <v>8.66</v>
      </c>
      <c r="P133">
        <v>85.4</v>
      </c>
      <c r="Q133">
        <v>59.9</v>
      </c>
      <c r="R133">
        <v>4</v>
      </c>
      <c r="S133">
        <v>8.9899999999999994E-2</v>
      </c>
      <c r="T133">
        <v>8.5000000000000006E-3</v>
      </c>
      <c r="U133">
        <v>0.90629999999999999</v>
      </c>
      <c r="AH133">
        <v>267.64</v>
      </c>
      <c r="AI133">
        <v>28.42</v>
      </c>
      <c r="AJ133">
        <v>134.97</v>
      </c>
      <c r="AK133">
        <v>32.65</v>
      </c>
      <c r="AL133">
        <v>463.68</v>
      </c>
      <c r="AM133">
        <v>0.31605484624724212</v>
      </c>
      <c r="AN133">
        <v>677.95</v>
      </c>
      <c r="AO133">
        <v>214.27</v>
      </c>
      <c r="AP133">
        <v>0.31609999999999999</v>
      </c>
      <c r="AQ133">
        <v>0.68389999999999995</v>
      </c>
      <c r="AR133">
        <v>42236</v>
      </c>
      <c r="AS133">
        <v>3520</v>
      </c>
      <c r="AT133">
        <v>0.1139</v>
      </c>
      <c r="AU133">
        <v>37051</v>
      </c>
      <c r="AV133">
        <v>37051</v>
      </c>
      <c r="AW133">
        <v>37369</v>
      </c>
      <c r="AX133">
        <v>2398</v>
      </c>
      <c r="AY133">
        <v>346.11</v>
      </c>
      <c r="AZ133">
        <v>0.87060000000000004</v>
      </c>
      <c r="BA133">
        <v>215.58</v>
      </c>
      <c r="BB133">
        <v>0.99150000000000005</v>
      </c>
      <c r="BC133">
        <v>0.8879907621247114</v>
      </c>
      <c r="BD133">
        <v>0.85910000000000009</v>
      </c>
      <c r="BE133">
        <v>0.75639999999999996</v>
      </c>
    </row>
    <row r="134" spans="1:57" x14ac:dyDescent="0.35">
      <c r="A134" t="s">
        <v>848</v>
      </c>
      <c r="B134" t="s">
        <v>849</v>
      </c>
      <c r="C134" t="s">
        <v>606</v>
      </c>
      <c r="D134" t="s">
        <v>556</v>
      </c>
      <c r="E134" t="s">
        <v>550</v>
      </c>
      <c r="F134" t="s">
        <v>123</v>
      </c>
      <c r="G134" t="s">
        <v>628</v>
      </c>
      <c r="H134">
        <v>487</v>
      </c>
      <c r="I134">
        <v>9.9368965657982519E-2</v>
      </c>
      <c r="J134">
        <v>535</v>
      </c>
      <c r="K134">
        <v>2641</v>
      </c>
      <c r="L134">
        <v>563</v>
      </c>
      <c r="M134" t="s">
        <v>784</v>
      </c>
      <c r="N134">
        <v>3.37</v>
      </c>
      <c r="O134">
        <v>3.63</v>
      </c>
      <c r="P134">
        <v>47.4</v>
      </c>
      <c r="Q134">
        <v>44.1</v>
      </c>
      <c r="R134">
        <v>4</v>
      </c>
      <c r="S134">
        <v>0.16889999999999999</v>
      </c>
      <c r="T134">
        <v>1.5299999999999999E-2</v>
      </c>
      <c r="U134">
        <v>0.92989999999999995</v>
      </c>
      <c r="AH134">
        <v>766.46</v>
      </c>
      <c r="AI134">
        <v>64.28</v>
      </c>
      <c r="AJ134">
        <v>82.97</v>
      </c>
      <c r="AK134">
        <v>49.4</v>
      </c>
      <c r="AL134">
        <v>963.11</v>
      </c>
      <c r="AM134">
        <v>0.37042265296087701</v>
      </c>
      <c r="AN134">
        <v>1529.77</v>
      </c>
      <c r="AO134">
        <v>566.66</v>
      </c>
      <c r="AP134">
        <v>0.37040000000000001</v>
      </c>
      <c r="AQ134">
        <v>0.62960000000000005</v>
      </c>
      <c r="AR134">
        <v>28588</v>
      </c>
      <c r="AS134">
        <v>2382</v>
      </c>
      <c r="AT134">
        <v>0.1283</v>
      </c>
      <c r="AU134">
        <v>26510</v>
      </c>
      <c r="AV134">
        <v>26510</v>
      </c>
      <c r="AW134">
        <v>26922</v>
      </c>
      <c r="AX134">
        <v>2135</v>
      </c>
      <c r="AY134">
        <v>129.16999999999999</v>
      </c>
      <c r="AZ134">
        <v>0.83850000000000002</v>
      </c>
      <c r="BA134">
        <v>360.6</v>
      </c>
      <c r="BB134">
        <v>0.98470000000000002</v>
      </c>
      <c r="BC134">
        <v>0.92837465564738297</v>
      </c>
      <c r="BD134">
        <v>0.84520000000000006</v>
      </c>
      <c r="BE134">
        <v>0.77270000000000005</v>
      </c>
    </row>
    <row r="135" spans="1:57" x14ac:dyDescent="0.35">
      <c r="A135" t="s">
        <v>850</v>
      </c>
      <c r="B135" t="s">
        <v>851</v>
      </c>
      <c r="C135" t="s">
        <v>562</v>
      </c>
      <c r="D135" t="s">
        <v>556</v>
      </c>
      <c r="E135" t="s">
        <v>557</v>
      </c>
      <c r="F135" t="s">
        <v>123</v>
      </c>
      <c r="G135" t="s">
        <v>551</v>
      </c>
      <c r="H135">
        <v>111</v>
      </c>
      <c r="I135">
        <v>1.177580850253661E-2</v>
      </c>
      <c r="J135">
        <v>112</v>
      </c>
      <c r="K135">
        <v>4564</v>
      </c>
      <c r="L135">
        <v>773</v>
      </c>
      <c r="M135" t="s">
        <v>656</v>
      </c>
      <c r="N135">
        <v>6.25</v>
      </c>
      <c r="O135">
        <v>7.27</v>
      </c>
      <c r="P135">
        <v>29</v>
      </c>
      <c r="Q135">
        <v>24</v>
      </c>
      <c r="R135">
        <v>1</v>
      </c>
      <c r="S135">
        <v>7.2400000000000006E-2</v>
      </c>
      <c r="T135">
        <v>1.9400000000000001E-2</v>
      </c>
      <c r="U135">
        <v>0.96940000000000004</v>
      </c>
      <c r="AH135">
        <v>875.96</v>
      </c>
      <c r="AI135">
        <v>24.23</v>
      </c>
      <c r="AJ135">
        <v>173.63</v>
      </c>
      <c r="AK135">
        <v>62.07</v>
      </c>
      <c r="AL135">
        <v>1135.8900000000001</v>
      </c>
      <c r="AM135">
        <v>0.35353142139779048</v>
      </c>
      <c r="AN135">
        <v>1757.07</v>
      </c>
      <c r="AO135">
        <v>621.17999999999995</v>
      </c>
      <c r="AP135">
        <v>0.35349999999999998</v>
      </c>
      <c r="AQ135">
        <v>0.64649999999999996</v>
      </c>
      <c r="AR135">
        <v>49692</v>
      </c>
      <c r="AS135">
        <v>4141</v>
      </c>
      <c r="AT135">
        <v>0.12909999999999999</v>
      </c>
      <c r="AU135">
        <v>45901</v>
      </c>
      <c r="AV135">
        <v>45901</v>
      </c>
      <c r="AW135">
        <v>46809</v>
      </c>
      <c r="AX135">
        <v>3004</v>
      </c>
      <c r="AY135">
        <v>363.98</v>
      </c>
      <c r="AZ135">
        <v>0.87060000000000004</v>
      </c>
      <c r="BA135">
        <v>217.49</v>
      </c>
      <c r="BB135">
        <v>0.98060000000000003</v>
      </c>
      <c r="BC135">
        <v>0.85969738651994498</v>
      </c>
      <c r="BD135">
        <v>0.85910000000000009</v>
      </c>
      <c r="BE135">
        <v>0.72419999999999995</v>
      </c>
    </row>
    <row r="136" spans="1:57" x14ac:dyDescent="0.35">
      <c r="A136" t="s">
        <v>852</v>
      </c>
      <c r="B136" t="s">
        <v>853</v>
      </c>
      <c r="C136" t="s">
        <v>573</v>
      </c>
      <c r="D136" t="s">
        <v>556</v>
      </c>
      <c r="E136" t="s">
        <v>550</v>
      </c>
      <c r="F136" t="s">
        <v>123</v>
      </c>
      <c r="G136" t="s">
        <v>566</v>
      </c>
      <c r="H136">
        <v>2654</v>
      </c>
      <c r="I136">
        <v>5.8413833489097219E-2</v>
      </c>
      <c r="J136">
        <v>2809</v>
      </c>
      <c r="K136">
        <v>1188</v>
      </c>
      <c r="L136">
        <v>220</v>
      </c>
      <c r="M136" t="s">
        <v>656</v>
      </c>
      <c r="N136">
        <v>12.6</v>
      </c>
      <c r="O136">
        <v>14.88</v>
      </c>
      <c r="P136">
        <v>63.2</v>
      </c>
      <c r="Q136">
        <v>42.2</v>
      </c>
      <c r="R136">
        <v>5</v>
      </c>
      <c r="S136">
        <v>0.15620000000000001</v>
      </c>
      <c r="T136">
        <v>1.66E-2</v>
      </c>
      <c r="U136">
        <v>0.9587</v>
      </c>
      <c r="AH136">
        <v>1429.36</v>
      </c>
      <c r="AI136">
        <v>68.569999999999993</v>
      </c>
      <c r="AJ136">
        <v>301.37</v>
      </c>
      <c r="AK136">
        <v>154.94</v>
      </c>
      <c r="AL136">
        <v>1954.24</v>
      </c>
      <c r="AM136">
        <v>0.32128357746862102</v>
      </c>
      <c r="AN136">
        <v>2879.32</v>
      </c>
      <c r="AO136">
        <v>925.08</v>
      </c>
      <c r="AP136">
        <v>0.32129999999999997</v>
      </c>
      <c r="AQ136">
        <v>0.67869999999999997</v>
      </c>
      <c r="AR136">
        <v>10730</v>
      </c>
      <c r="AS136">
        <v>894</v>
      </c>
      <c r="AT136">
        <v>0.14410000000000001</v>
      </c>
      <c r="AU136">
        <v>9762</v>
      </c>
      <c r="AV136">
        <v>9762</v>
      </c>
      <c r="AW136">
        <v>9927</v>
      </c>
      <c r="AX136">
        <v>637</v>
      </c>
      <c r="AY136">
        <v>157.97999999999999</v>
      </c>
      <c r="AZ136">
        <v>0.87060000000000004</v>
      </c>
      <c r="BA136">
        <v>99.5</v>
      </c>
      <c r="BB136">
        <v>0.98340000000000005</v>
      </c>
      <c r="BC136">
        <v>0.84677419354838701</v>
      </c>
      <c r="BD136">
        <v>0.85910000000000009</v>
      </c>
      <c r="BE136">
        <v>0.71540000000000004</v>
      </c>
    </row>
    <row r="137" spans="1:57" x14ac:dyDescent="0.35">
      <c r="A137" t="s">
        <v>854</v>
      </c>
      <c r="B137" t="s">
        <v>855</v>
      </c>
      <c r="C137" t="s">
        <v>548</v>
      </c>
      <c r="D137" t="s">
        <v>556</v>
      </c>
      <c r="E137" t="s">
        <v>551</v>
      </c>
      <c r="F137" t="s">
        <v>123</v>
      </c>
      <c r="G137" t="s">
        <v>566</v>
      </c>
      <c r="H137">
        <v>558</v>
      </c>
      <c r="I137">
        <v>0.1125814215867342</v>
      </c>
      <c r="J137">
        <v>621</v>
      </c>
      <c r="K137">
        <v>6327</v>
      </c>
      <c r="L137">
        <v>671</v>
      </c>
      <c r="M137" t="s">
        <v>617</v>
      </c>
      <c r="N137">
        <v>7.96</v>
      </c>
      <c r="O137">
        <v>8.74</v>
      </c>
      <c r="P137">
        <v>87.3</v>
      </c>
      <c r="Q137">
        <v>56.7</v>
      </c>
      <c r="R137">
        <v>4</v>
      </c>
      <c r="S137">
        <v>0.19869999999999999</v>
      </c>
      <c r="T137">
        <v>3.8E-3</v>
      </c>
      <c r="U137">
        <v>0.89270000000000005</v>
      </c>
      <c r="AH137">
        <v>1007.93</v>
      </c>
      <c r="AI137">
        <v>73.36</v>
      </c>
      <c r="AJ137">
        <v>140.77000000000001</v>
      </c>
      <c r="AK137">
        <v>83.99</v>
      </c>
      <c r="AL137">
        <v>1306.05</v>
      </c>
      <c r="AM137">
        <v>0.17760796585277569</v>
      </c>
      <c r="AN137">
        <v>1588.11</v>
      </c>
      <c r="AO137">
        <v>282.06</v>
      </c>
      <c r="AP137">
        <v>0.17760000000000001</v>
      </c>
      <c r="AQ137">
        <v>0.82240000000000002</v>
      </c>
      <c r="AR137">
        <v>31663</v>
      </c>
      <c r="AS137">
        <v>2639</v>
      </c>
      <c r="AT137">
        <v>0.1469</v>
      </c>
      <c r="AU137">
        <v>26007</v>
      </c>
      <c r="AV137">
        <v>26007</v>
      </c>
      <c r="AW137">
        <v>26106</v>
      </c>
      <c r="AX137">
        <v>3630</v>
      </c>
      <c r="AY137">
        <v>528.77</v>
      </c>
      <c r="AZ137">
        <v>0.88039999999999996</v>
      </c>
      <c r="BA137">
        <v>721.28</v>
      </c>
      <c r="BB137">
        <v>0.99619999999999997</v>
      </c>
      <c r="BC137">
        <v>0.91075514874141872</v>
      </c>
      <c r="BD137">
        <v>0.9052</v>
      </c>
      <c r="BE137">
        <v>0.82130000000000003</v>
      </c>
    </row>
    <row r="138" spans="1:57" x14ac:dyDescent="0.35">
      <c r="A138" t="s">
        <v>856</v>
      </c>
      <c r="B138" t="s">
        <v>857</v>
      </c>
      <c r="C138" t="s">
        <v>606</v>
      </c>
      <c r="D138" t="s">
        <v>556</v>
      </c>
      <c r="E138" t="s">
        <v>557</v>
      </c>
      <c r="F138" t="s">
        <v>123</v>
      </c>
      <c r="G138" t="s">
        <v>566</v>
      </c>
      <c r="H138">
        <v>1361</v>
      </c>
      <c r="I138">
        <v>0.19019513787174419</v>
      </c>
      <c r="J138">
        <v>1620</v>
      </c>
      <c r="K138">
        <v>2800</v>
      </c>
      <c r="L138">
        <v>812</v>
      </c>
      <c r="M138" t="s">
        <v>656</v>
      </c>
      <c r="N138">
        <v>1.58</v>
      </c>
      <c r="O138">
        <v>1.86</v>
      </c>
      <c r="P138">
        <v>17.100000000000001</v>
      </c>
      <c r="Q138">
        <v>21.9</v>
      </c>
      <c r="R138">
        <v>1</v>
      </c>
      <c r="S138">
        <v>2.2800000000000001E-2</v>
      </c>
      <c r="T138">
        <v>2.3999999999999998E-3</v>
      </c>
      <c r="U138">
        <v>0.93940000000000001</v>
      </c>
      <c r="AH138">
        <v>315.60000000000002</v>
      </c>
      <c r="AI138">
        <v>11.29</v>
      </c>
      <c r="AJ138">
        <v>26.51</v>
      </c>
      <c r="AK138">
        <v>38.340000000000003</v>
      </c>
      <c r="AL138">
        <v>391.74</v>
      </c>
      <c r="AM138">
        <v>0.22229686157398751</v>
      </c>
      <c r="AN138">
        <v>503.71</v>
      </c>
      <c r="AO138">
        <v>111.97</v>
      </c>
      <c r="AP138">
        <v>0.2223</v>
      </c>
      <c r="AQ138">
        <v>0.77769999999999995</v>
      </c>
      <c r="AR138">
        <v>48074</v>
      </c>
      <c r="AS138">
        <v>4006</v>
      </c>
      <c r="AT138">
        <v>0.1726</v>
      </c>
      <c r="AU138">
        <v>46086</v>
      </c>
      <c r="AV138">
        <v>46086</v>
      </c>
      <c r="AW138">
        <v>46197</v>
      </c>
      <c r="AX138">
        <v>2965</v>
      </c>
      <c r="AY138">
        <v>91.92</v>
      </c>
      <c r="AZ138">
        <v>0.87060000000000004</v>
      </c>
      <c r="BA138">
        <v>67.599999999999994</v>
      </c>
      <c r="BB138">
        <v>0.99760000000000004</v>
      </c>
      <c r="BC138">
        <v>0.84946236559139787</v>
      </c>
      <c r="BD138">
        <v>0.85910000000000009</v>
      </c>
      <c r="BE138">
        <v>0.72799999999999998</v>
      </c>
    </row>
    <row r="139" spans="1:57" x14ac:dyDescent="0.35">
      <c r="A139" t="s">
        <v>858</v>
      </c>
      <c r="B139" t="s">
        <v>859</v>
      </c>
      <c r="C139" t="s">
        <v>573</v>
      </c>
      <c r="D139" t="s">
        <v>549</v>
      </c>
      <c r="E139" t="s">
        <v>551</v>
      </c>
      <c r="F139" t="s">
        <v>123</v>
      </c>
      <c r="G139" t="s">
        <v>551</v>
      </c>
      <c r="H139">
        <v>1061</v>
      </c>
      <c r="I139">
        <v>0.16675787403061221</v>
      </c>
      <c r="J139">
        <v>1238</v>
      </c>
      <c r="K139">
        <v>4658</v>
      </c>
      <c r="L139">
        <v>414</v>
      </c>
      <c r="M139" t="s">
        <v>649</v>
      </c>
      <c r="N139">
        <v>11.49</v>
      </c>
      <c r="O139">
        <v>12.36</v>
      </c>
      <c r="P139">
        <v>54.3</v>
      </c>
      <c r="Q139">
        <v>29.6</v>
      </c>
      <c r="R139">
        <v>3</v>
      </c>
      <c r="S139">
        <v>0.1201</v>
      </c>
      <c r="T139">
        <v>4.4000000000000003E-3</v>
      </c>
      <c r="U139">
        <v>0.9012</v>
      </c>
      <c r="AH139">
        <v>1212.2</v>
      </c>
      <c r="AI139">
        <v>51.43</v>
      </c>
      <c r="AJ139">
        <v>131.80000000000001</v>
      </c>
      <c r="AK139">
        <v>71.209999999999994</v>
      </c>
      <c r="AL139">
        <v>1466.64</v>
      </c>
      <c r="AM139">
        <v>0.22745171883061721</v>
      </c>
      <c r="AN139">
        <v>1898.44</v>
      </c>
      <c r="AO139">
        <v>431.8</v>
      </c>
      <c r="AP139">
        <v>0.22739999999999999</v>
      </c>
      <c r="AQ139">
        <v>0.77259999999999995</v>
      </c>
      <c r="AR139">
        <v>34053</v>
      </c>
      <c r="AS139">
        <v>2838</v>
      </c>
      <c r="AT139">
        <v>0.1072</v>
      </c>
      <c r="AU139">
        <v>29809</v>
      </c>
      <c r="AV139">
        <v>29809</v>
      </c>
      <c r="AW139">
        <v>29941</v>
      </c>
      <c r="AX139">
        <v>827</v>
      </c>
      <c r="AY139">
        <v>170.36</v>
      </c>
      <c r="AZ139">
        <v>0.85880000000000001</v>
      </c>
      <c r="BA139">
        <v>99.32</v>
      </c>
      <c r="BB139">
        <v>0.99560000000000004</v>
      </c>
      <c r="BC139">
        <v>0.92961165048543692</v>
      </c>
      <c r="BD139">
        <v>0.84340000000000004</v>
      </c>
      <c r="BE139">
        <v>0.78059999999999996</v>
      </c>
    </row>
    <row r="140" spans="1:57" x14ac:dyDescent="0.35">
      <c r="A140" t="s">
        <v>860</v>
      </c>
      <c r="B140" t="s">
        <v>861</v>
      </c>
      <c r="C140" t="s">
        <v>555</v>
      </c>
      <c r="D140" t="s">
        <v>549</v>
      </c>
      <c r="E140" t="s">
        <v>551</v>
      </c>
      <c r="F140" t="s">
        <v>123</v>
      </c>
      <c r="G140" t="s">
        <v>558</v>
      </c>
      <c r="H140">
        <v>361</v>
      </c>
      <c r="I140">
        <v>0.11375233470802711</v>
      </c>
      <c r="J140">
        <v>402</v>
      </c>
      <c r="K140">
        <v>1627</v>
      </c>
      <c r="L140">
        <v>703</v>
      </c>
      <c r="M140" t="s">
        <v>735</v>
      </c>
      <c r="N140">
        <v>12.29</v>
      </c>
      <c r="O140">
        <v>13.78</v>
      </c>
      <c r="P140">
        <v>67.7</v>
      </c>
      <c r="Q140">
        <v>45.6</v>
      </c>
      <c r="R140">
        <v>2</v>
      </c>
      <c r="S140">
        <v>0.1978</v>
      </c>
      <c r="T140">
        <v>1.43E-2</v>
      </c>
      <c r="U140">
        <v>0.89949999999999997</v>
      </c>
      <c r="AH140">
        <v>1691.24</v>
      </c>
      <c r="AI140">
        <v>91.88</v>
      </c>
      <c r="AJ140">
        <v>221.57</v>
      </c>
      <c r="AK140">
        <v>153.43</v>
      </c>
      <c r="AL140">
        <v>2158.12</v>
      </c>
      <c r="AM140">
        <v>0.2124892365994053</v>
      </c>
      <c r="AN140">
        <v>2740.43</v>
      </c>
      <c r="AO140">
        <v>582.30999999999995</v>
      </c>
      <c r="AP140">
        <v>0.21249999999999999</v>
      </c>
      <c r="AQ140">
        <v>0.78749999999999998</v>
      </c>
      <c r="AR140">
        <v>26085</v>
      </c>
      <c r="AS140">
        <v>2174</v>
      </c>
      <c r="AT140">
        <v>0.19750000000000001</v>
      </c>
      <c r="AU140">
        <v>25161</v>
      </c>
      <c r="AV140">
        <v>25161</v>
      </c>
      <c r="AW140">
        <v>25526</v>
      </c>
      <c r="AX140">
        <v>1877</v>
      </c>
      <c r="AY140">
        <v>431.08</v>
      </c>
      <c r="AZ140">
        <v>0.89449999999999996</v>
      </c>
      <c r="BA140">
        <v>371.27</v>
      </c>
      <c r="BB140">
        <v>0.98570000000000002</v>
      </c>
      <c r="BC140">
        <v>0.89187227866473151</v>
      </c>
      <c r="BD140">
        <v>0.87180000000000002</v>
      </c>
      <c r="BE140">
        <v>0.76639999999999997</v>
      </c>
    </row>
    <row r="141" spans="1:57" x14ac:dyDescent="0.35">
      <c r="A141" t="s">
        <v>862</v>
      </c>
      <c r="B141" t="s">
        <v>863</v>
      </c>
      <c r="C141" t="s">
        <v>555</v>
      </c>
      <c r="D141" t="s">
        <v>556</v>
      </c>
      <c r="E141" t="s">
        <v>551</v>
      </c>
      <c r="F141" t="s">
        <v>123</v>
      </c>
      <c r="G141" t="s">
        <v>551</v>
      </c>
      <c r="H141">
        <v>324</v>
      </c>
      <c r="I141">
        <v>-1.7108078718185048E-2</v>
      </c>
      <c r="J141">
        <v>318</v>
      </c>
      <c r="K141">
        <v>3334</v>
      </c>
      <c r="L141">
        <v>441</v>
      </c>
      <c r="M141" t="s">
        <v>567</v>
      </c>
      <c r="N141">
        <v>2.4500000000000002</v>
      </c>
      <c r="O141">
        <v>2.88</v>
      </c>
      <c r="P141">
        <v>81</v>
      </c>
      <c r="Q141">
        <v>49.6</v>
      </c>
      <c r="R141">
        <v>4</v>
      </c>
      <c r="S141">
        <v>6.9800000000000001E-2</v>
      </c>
      <c r="T141">
        <v>2.35E-2</v>
      </c>
      <c r="U141">
        <v>0.82069999999999999</v>
      </c>
      <c r="AH141">
        <v>1125.8399999999999</v>
      </c>
      <c r="AI141">
        <v>22.79</v>
      </c>
      <c r="AJ141">
        <v>66.42</v>
      </c>
      <c r="AK141">
        <v>89.45</v>
      </c>
      <c r="AL141">
        <v>1304.5</v>
      </c>
      <c r="AM141">
        <v>0.27875141492743077</v>
      </c>
      <c r="AN141">
        <v>1808.67</v>
      </c>
      <c r="AO141">
        <v>504.17</v>
      </c>
      <c r="AP141">
        <v>0.27879999999999999</v>
      </c>
      <c r="AQ141">
        <v>0.72119999999999995</v>
      </c>
      <c r="AR141">
        <v>45564</v>
      </c>
      <c r="AS141">
        <v>3797</v>
      </c>
      <c r="AT141">
        <v>0.1085</v>
      </c>
      <c r="AU141">
        <v>42671</v>
      </c>
      <c r="AV141">
        <v>42671</v>
      </c>
      <c r="AW141">
        <v>43698</v>
      </c>
      <c r="AX141">
        <v>12690</v>
      </c>
      <c r="AY141">
        <v>609.12</v>
      </c>
      <c r="AZ141">
        <v>0.91639999999999999</v>
      </c>
      <c r="BA141">
        <v>885.76</v>
      </c>
      <c r="BB141">
        <v>0.97650000000000003</v>
      </c>
      <c r="BC141">
        <v>0.85069444444444453</v>
      </c>
      <c r="BD141">
        <v>0.90759999999999996</v>
      </c>
      <c r="BE141">
        <v>0.75390000000000001</v>
      </c>
    </row>
    <row r="142" spans="1:57" x14ac:dyDescent="0.35">
      <c r="A142" t="s">
        <v>864</v>
      </c>
      <c r="B142" t="s">
        <v>865</v>
      </c>
      <c r="C142" t="s">
        <v>573</v>
      </c>
      <c r="D142" t="s">
        <v>556</v>
      </c>
      <c r="E142" t="s">
        <v>557</v>
      </c>
      <c r="F142" t="s">
        <v>123</v>
      </c>
      <c r="G142" t="s">
        <v>558</v>
      </c>
      <c r="H142">
        <v>1836</v>
      </c>
      <c r="I142">
        <v>-3.2716803453345142E-2</v>
      </c>
      <c r="J142">
        <v>1776</v>
      </c>
      <c r="K142">
        <v>5340</v>
      </c>
      <c r="L142">
        <v>694</v>
      </c>
      <c r="M142" t="s">
        <v>567</v>
      </c>
      <c r="N142">
        <v>0.81</v>
      </c>
      <c r="O142">
        <v>0.88</v>
      </c>
      <c r="P142">
        <v>39.4</v>
      </c>
      <c r="Q142">
        <v>32.9</v>
      </c>
      <c r="R142">
        <v>1</v>
      </c>
      <c r="S142">
        <v>6.59E-2</v>
      </c>
      <c r="T142">
        <v>1.67E-2</v>
      </c>
      <c r="U142">
        <v>0.82269999999999999</v>
      </c>
      <c r="AH142">
        <v>550.95000000000005</v>
      </c>
      <c r="AI142">
        <v>31.13</v>
      </c>
      <c r="AJ142">
        <v>25.31</v>
      </c>
      <c r="AK142">
        <v>31.19</v>
      </c>
      <c r="AL142">
        <v>638.58000000000004</v>
      </c>
      <c r="AM142">
        <v>0.28388845371991811</v>
      </c>
      <c r="AN142">
        <v>891.73</v>
      </c>
      <c r="AO142">
        <v>253.15</v>
      </c>
      <c r="AP142">
        <v>0.28389999999999999</v>
      </c>
      <c r="AQ142">
        <v>0.71609999999999996</v>
      </c>
      <c r="AR142">
        <v>46061</v>
      </c>
      <c r="AS142">
        <v>3838</v>
      </c>
      <c r="AT142">
        <v>0.1328</v>
      </c>
      <c r="AU142">
        <v>41415</v>
      </c>
      <c r="AV142">
        <v>41415</v>
      </c>
      <c r="AW142">
        <v>42118</v>
      </c>
      <c r="AX142">
        <v>12231</v>
      </c>
      <c r="AY142">
        <v>179.39</v>
      </c>
      <c r="AZ142">
        <v>0.91639999999999999</v>
      </c>
      <c r="BA142">
        <v>806.02</v>
      </c>
      <c r="BB142">
        <v>0.98329999999999995</v>
      </c>
      <c r="BC142">
        <v>0.92045454545454553</v>
      </c>
      <c r="BD142">
        <v>0.90759999999999996</v>
      </c>
      <c r="BE142">
        <v>0.82150000000000001</v>
      </c>
    </row>
    <row r="143" spans="1:57" x14ac:dyDescent="0.35">
      <c r="A143" t="s">
        <v>866</v>
      </c>
      <c r="B143" t="s">
        <v>867</v>
      </c>
      <c r="C143" t="s">
        <v>548</v>
      </c>
      <c r="D143" t="s">
        <v>556</v>
      </c>
      <c r="E143" t="s">
        <v>551</v>
      </c>
      <c r="F143" t="s">
        <v>123</v>
      </c>
      <c r="G143" t="s">
        <v>551</v>
      </c>
      <c r="H143">
        <v>1242</v>
      </c>
      <c r="I143">
        <v>-9.119031853744311E-3</v>
      </c>
      <c r="J143">
        <v>1231</v>
      </c>
      <c r="K143">
        <v>2402</v>
      </c>
      <c r="L143">
        <v>402</v>
      </c>
      <c r="M143" t="s">
        <v>629</v>
      </c>
      <c r="N143">
        <v>2.34</v>
      </c>
      <c r="O143">
        <v>2.79</v>
      </c>
      <c r="P143">
        <v>46.4</v>
      </c>
      <c r="Q143">
        <v>43.7</v>
      </c>
      <c r="R143">
        <v>4</v>
      </c>
      <c r="S143">
        <v>8.3500000000000005E-2</v>
      </c>
      <c r="T143">
        <v>2.0400000000000001E-2</v>
      </c>
      <c r="U143">
        <v>0.89529999999999998</v>
      </c>
      <c r="AH143">
        <v>750.19</v>
      </c>
      <c r="AI143">
        <v>40.46</v>
      </c>
      <c r="AJ143">
        <v>76.510000000000005</v>
      </c>
      <c r="AK143">
        <v>50.91</v>
      </c>
      <c r="AL143">
        <v>918.07</v>
      </c>
      <c r="AM143">
        <v>0.23922149379277749</v>
      </c>
      <c r="AN143">
        <v>1206.75</v>
      </c>
      <c r="AO143">
        <v>288.68</v>
      </c>
      <c r="AP143">
        <v>0.2392</v>
      </c>
      <c r="AQ143">
        <v>0.76080000000000003</v>
      </c>
      <c r="AR143">
        <v>18981</v>
      </c>
      <c r="AS143">
        <v>1582</v>
      </c>
      <c r="AT143">
        <v>0.1656</v>
      </c>
      <c r="AU143">
        <v>16981</v>
      </c>
      <c r="AV143">
        <v>16981</v>
      </c>
      <c r="AW143">
        <v>17335</v>
      </c>
      <c r="AX143">
        <v>10611</v>
      </c>
      <c r="AY143">
        <v>493.41</v>
      </c>
      <c r="AZ143">
        <v>0.83360000000000001</v>
      </c>
      <c r="BA143">
        <v>886.02</v>
      </c>
      <c r="BB143">
        <v>0.97960000000000003</v>
      </c>
      <c r="BC143">
        <v>0.83870967741935476</v>
      </c>
      <c r="BD143">
        <v>0.88049999999999995</v>
      </c>
      <c r="BE143">
        <v>0.72340000000000004</v>
      </c>
    </row>
    <row r="144" spans="1:57" x14ac:dyDescent="0.35">
      <c r="A144" t="s">
        <v>868</v>
      </c>
      <c r="B144" t="s">
        <v>869</v>
      </c>
      <c r="C144" t="s">
        <v>573</v>
      </c>
      <c r="D144" t="s">
        <v>556</v>
      </c>
      <c r="E144" t="s">
        <v>551</v>
      </c>
      <c r="F144" t="s">
        <v>123</v>
      </c>
      <c r="G144" t="s">
        <v>566</v>
      </c>
      <c r="H144">
        <v>263</v>
      </c>
      <c r="I144">
        <v>0.19245526126963619</v>
      </c>
      <c r="J144">
        <v>314</v>
      </c>
      <c r="K144">
        <v>3211</v>
      </c>
      <c r="L144">
        <v>1296</v>
      </c>
      <c r="M144" t="s">
        <v>587</v>
      </c>
      <c r="N144">
        <v>4.1900000000000004</v>
      </c>
      <c r="O144">
        <v>4.4000000000000004</v>
      </c>
      <c r="P144">
        <v>59.4</v>
      </c>
      <c r="Q144">
        <v>25.3</v>
      </c>
      <c r="R144">
        <v>4</v>
      </c>
      <c r="S144">
        <v>0.1865</v>
      </c>
      <c r="T144">
        <v>1.2699999999999999E-2</v>
      </c>
      <c r="U144">
        <v>0.84840000000000004</v>
      </c>
      <c r="AH144">
        <v>443.98</v>
      </c>
      <c r="AI144">
        <v>74.12</v>
      </c>
      <c r="AJ144">
        <v>111.41</v>
      </c>
      <c r="AK144">
        <v>49.7</v>
      </c>
      <c r="AL144">
        <v>679.21</v>
      </c>
      <c r="AM144">
        <v>0.238447289684109</v>
      </c>
      <c r="AN144">
        <v>891.88</v>
      </c>
      <c r="AO144">
        <v>212.67</v>
      </c>
      <c r="AP144">
        <v>0.23849999999999999</v>
      </c>
      <c r="AQ144">
        <v>0.76149999999999995</v>
      </c>
      <c r="AR144">
        <v>36153</v>
      </c>
      <c r="AS144">
        <v>3013</v>
      </c>
      <c r="AT144">
        <v>0.21540000000000001</v>
      </c>
      <c r="AU144">
        <v>34238</v>
      </c>
      <c r="AV144">
        <v>34238</v>
      </c>
      <c r="AW144">
        <v>34678</v>
      </c>
      <c r="AX144">
        <v>5022</v>
      </c>
      <c r="AY144">
        <v>368.28</v>
      </c>
      <c r="AZ144">
        <v>0.92379999999999995</v>
      </c>
      <c r="BA144">
        <v>936.6</v>
      </c>
      <c r="BB144">
        <v>0.98729999999999996</v>
      </c>
      <c r="BC144">
        <v>0.95227272727272727</v>
      </c>
      <c r="BD144">
        <v>0.87459999999999993</v>
      </c>
      <c r="BE144">
        <v>0.82230000000000003</v>
      </c>
    </row>
    <row r="145" spans="1:57" x14ac:dyDescent="0.35">
      <c r="A145" t="s">
        <v>870</v>
      </c>
      <c r="B145" t="s">
        <v>871</v>
      </c>
      <c r="C145" t="s">
        <v>555</v>
      </c>
      <c r="D145" t="s">
        <v>556</v>
      </c>
      <c r="E145" t="s">
        <v>557</v>
      </c>
      <c r="F145" t="s">
        <v>123</v>
      </c>
      <c r="G145" t="s">
        <v>551</v>
      </c>
      <c r="H145">
        <v>1361</v>
      </c>
      <c r="I145">
        <v>-1.3560857938812079E-2</v>
      </c>
      <c r="J145">
        <v>1343</v>
      </c>
      <c r="K145">
        <v>8773</v>
      </c>
      <c r="L145">
        <v>2275</v>
      </c>
      <c r="M145" t="s">
        <v>784</v>
      </c>
      <c r="N145">
        <v>3.77</v>
      </c>
      <c r="O145">
        <v>3.89</v>
      </c>
      <c r="P145">
        <v>25.9</v>
      </c>
      <c r="Q145">
        <v>20.2</v>
      </c>
      <c r="R145">
        <v>2</v>
      </c>
      <c r="S145">
        <v>4.1399999999999999E-2</v>
      </c>
      <c r="T145">
        <v>1.29E-2</v>
      </c>
      <c r="U145">
        <v>0.80379999999999996</v>
      </c>
      <c r="AH145">
        <v>718.48</v>
      </c>
      <c r="AI145">
        <v>17.440000000000001</v>
      </c>
      <c r="AJ145">
        <v>100.24</v>
      </c>
      <c r="AK145">
        <v>70.66</v>
      </c>
      <c r="AL145">
        <v>906.82</v>
      </c>
      <c r="AM145">
        <v>0.35713889947652028</v>
      </c>
      <c r="AN145">
        <v>1410.6</v>
      </c>
      <c r="AO145">
        <v>503.78</v>
      </c>
      <c r="AP145">
        <v>0.35709999999999997</v>
      </c>
      <c r="AQ145">
        <v>0.64290000000000003</v>
      </c>
      <c r="AR145">
        <v>90006</v>
      </c>
      <c r="AS145">
        <v>7500</v>
      </c>
      <c r="AT145">
        <v>0.20569999999999999</v>
      </c>
      <c r="AU145">
        <v>83508</v>
      </c>
      <c r="AV145">
        <v>83508</v>
      </c>
      <c r="AW145">
        <v>84599</v>
      </c>
      <c r="AX145">
        <v>6710</v>
      </c>
      <c r="AY145">
        <v>435.03</v>
      </c>
      <c r="AZ145">
        <v>0.83850000000000002</v>
      </c>
      <c r="BA145">
        <v>277.79000000000002</v>
      </c>
      <c r="BB145">
        <v>0.98709999999999998</v>
      </c>
      <c r="BC145">
        <v>0.96915167095115684</v>
      </c>
      <c r="BD145">
        <v>0.84520000000000006</v>
      </c>
      <c r="BE145">
        <v>0.80859999999999999</v>
      </c>
    </row>
    <row r="146" spans="1:57" x14ac:dyDescent="0.35">
      <c r="A146" t="s">
        <v>872</v>
      </c>
      <c r="B146" t="s">
        <v>873</v>
      </c>
      <c r="C146" t="s">
        <v>562</v>
      </c>
      <c r="D146" t="s">
        <v>549</v>
      </c>
      <c r="E146" t="s">
        <v>557</v>
      </c>
      <c r="F146" t="s">
        <v>123</v>
      </c>
      <c r="G146" t="s">
        <v>551</v>
      </c>
      <c r="H146">
        <v>606</v>
      </c>
      <c r="I146">
        <v>0.13410050376641011</v>
      </c>
      <c r="J146">
        <v>687</v>
      </c>
      <c r="K146">
        <v>3329</v>
      </c>
      <c r="L146">
        <v>1516</v>
      </c>
      <c r="M146" t="s">
        <v>614</v>
      </c>
      <c r="N146">
        <v>11.37</v>
      </c>
      <c r="O146">
        <v>13.46</v>
      </c>
      <c r="P146">
        <v>56.6</v>
      </c>
      <c r="Q146">
        <v>18.100000000000001</v>
      </c>
      <c r="R146">
        <v>1</v>
      </c>
      <c r="S146">
        <v>4.0099999999999997E-2</v>
      </c>
      <c r="T146">
        <v>4.4999999999999997E-3</v>
      </c>
      <c r="U146">
        <v>0.93010000000000004</v>
      </c>
      <c r="AH146">
        <v>999.81</v>
      </c>
      <c r="AI146">
        <v>18.16</v>
      </c>
      <c r="AJ146">
        <v>313.61</v>
      </c>
      <c r="AK146">
        <v>104.26</v>
      </c>
      <c r="AL146">
        <v>1435.84</v>
      </c>
      <c r="AM146">
        <v>0.3473232120799214</v>
      </c>
      <c r="AN146">
        <v>2199.9299999999998</v>
      </c>
      <c r="AO146">
        <v>764.09</v>
      </c>
      <c r="AP146">
        <v>0.3473</v>
      </c>
      <c r="AQ146">
        <v>0.65269999999999995</v>
      </c>
      <c r="AR146">
        <v>52800</v>
      </c>
      <c r="AS146">
        <v>4400</v>
      </c>
      <c r="AT146">
        <v>0.18970000000000001</v>
      </c>
      <c r="AU146">
        <v>50987</v>
      </c>
      <c r="AV146">
        <v>50987</v>
      </c>
      <c r="AW146">
        <v>51217</v>
      </c>
      <c r="AX146">
        <v>3948</v>
      </c>
      <c r="AY146">
        <v>885.67</v>
      </c>
      <c r="AZ146">
        <v>0.92549999999999999</v>
      </c>
      <c r="BA146">
        <v>158.31</v>
      </c>
      <c r="BB146">
        <v>0.99550000000000005</v>
      </c>
      <c r="BC146">
        <v>0.84472511144130746</v>
      </c>
      <c r="BD146">
        <v>0.86540000000000006</v>
      </c>
      <c r="BE146">
        <v>0.72770000000000001</v>
      </c>
    </row>
    <row r="147" spans="1:57" x14ac:dyDescent="0.35">
      <c r="A147" t="s">
        <v>874</v>
      </c>
      <c r="B147" t="s">
        <v>875</v>
      </c>
      <c r="C147" t="s">
        <v>562</v>
      </c>
      <c r="D147" t="s">
        <v>549</v>
      </c>
      <c r="E147" t="s">
        <v>550</v>
      </c>
      <c r="F147" t="s">
        <v>123</v>
      </c>
      <c r="G147" t="s">
        <v>551</v>
      </c>
      <c r="H147">
        <v>207</v>
      </c>
      <c r="I147">
        <v>8.497645987555312E-2</v>
      </c>
      <c r="J147">
        <v>225</v>
      </c>
      <c r="K147">
        <v>1909</v>
      </c>
      <c r="L147">
        <v>254</v>
      </c>
      <c r="M147" t="s">
        <v>596</v>
      </c>
      <c r="N147">
        <v>19</v>
      </c>
      <c r="O147">
        <v>19.79</v>
      </c>
      <c r="P147">
        <v>66.7</v>
      </c>
      <c r="Q147">
        <v>52.2</v>
      </c>
      <c r="R147">
        <v>5</v>
      </c>
      <c r="S147">
        <v>0.1313</v>
      </c>
      <c r="T147">
        <v>2.5499999999999998E-2</v>
      </c>
      <c r="U147">
        <v>0.80579999999999996</v>
      </c>
      <c r="AH147">
        <v>415.48</v>
      </c>
      <c r="AI147">
        <v>43.98</v>
      </c>
      <c r="AJ147">
        <v>300.92</v>
      </c>
      <c r="AK147">
        <v>66.28</v>
      </c>
      <c r="AL147">
        <v>826.66</v>
      </c>
      <c r="AM147">
        <v>0.22694895792018641</v>
      </c>
      <c r="AN147">
        <v>1069.3499999999999</v>
      </c>
      <c r="AO147">
        <v>242.69</v>
      </c>
      <c r="AP147">
        <v>0.22700000000000001</v>
      </c>
      <c r="AQ147">
        <v>0.77300000000000002</v>
      </c>
      <c r="AR147">
        <v>19997</v>
      </c>
      <c r="AS147">
        <v>1666</v>
      </c>
      <c r="AT147">
        <v>0.1065</v>
      </c>
      <c r="AU147">
        <v>18342</v>
      </c>
      <c r="AV147">
        <v>18342</v>
      </c>
      <c r="AW147">
        <v>18822</v>
      </c>
      <c r="AX147">
        <v>868</v>
      </c>
      <c r="AY147">
        <v>286.3</v>
      </c>
      <c r="AZ147">
        <v>0.94630000000000003</v>
      </c>
      <c r="BA147">
        <v>113.97</v>
      </c>
      <c r="BB147">
        <v>0.97450000000000003</v>
      </c>
      <c r="BC147">
        <v>0.9600808489135928</v>
      </c>
      <c r="BD147">
        <v>0.87060000000000004</v>
      </c>
      <c r="BE147">
        <v>0.8145</v>
      </c>
    </row>
    <row r="148" spans="1:57" x14ac:dyDescent="0.35">
      <c r="A148" t="s">
        <v>876</v>
      </c>
      <c r="B148" t="s">
        <v>877</v>
      </c>
      <c r="C148" t="s">
        <v>573</v>
      </c>
      <c r="D148" t="s">
        <v>556</v>
      </c>
      <c r="E148" t="s">
        <v>557</v>
      </c>
      <c r="F148" t="s">
        <v>123</v>
      </c>
      <c r="G148" t="s">
        <v>628</v>
      </c>
      <c r="H148">
        <v>534</v>
      </c>
      <c r="I148">
        <v>6.3049757070858817E-2</v>
      </c>
      <c r="J148">
        <v>568</v>
      </c>
      <c r="K148">
        <v>17113</v>
      </c>
      <c r="L148">
        <v>2273</v>
      </c>
      <c r="M148" t="s">
        <v>570</v>
      </c>
      <c r="N148">
        <v>2.36</v>
      </c>
      <c r="O148">
        <v>2.83</v>
      </c>
      <c r="P148">
        <v>44.9</v>
      </c>
      <c r="Q148">
        <v>14.1</v>
      </c>
      <c r="R148">
        <v>1</v>
      </c>
      <c r="S148">
        <v>6.3299999999999995E-2</v>
      </c>
      <c r="T148">
        <v>2.5000000000000001E-2</v>
      </c>
      <c r="U148">
        <v>0.90710000000000002</v>
      </c>
      <c r="AH148">
        <v>447.53</v>
      </c>
      <c r="AI148">
        <v>25.35</v>
      </c>
      <c r="AJ148">
        <v>79.650000000000006</v>
      </c>
      <c r="AK148">
        <v>50.64</v>
      </c>
      <c r="AL148">
        <v>603.16999999999996</v>
      </c>
      <c r="AM148">
        <v>0.37844711096831479</v>
      </c>
      <c r="AN148">
        <v>970.42</v>
      </c>
      <c r="AO148">
        <v>367.25</v>
      </c>
      <c r="AP148">
        <v>0.37840000000000001</v>
      </c>
      <c r="AQ148">
        <v>0.62160000000000004</v>
      </c>
      <c r="AR148">
        <v>87767</v>
      </c>
      <c r="AS148">
        <v>7314</v>
      </c>
      <c r="AT148">
        <v>0.17299999999999999</v>
      </c>
      <c r="AU148">
        <v>72927</v>
      </c>
      <c r="AV148">
        <v>72927</v>
      </c>
      <c r="AW148">
        <v>74797</v>
      </c>
      <c r="AX148">
        <v>22785</v>
      </c>
      <c r="AY148">
        <v>1074.69</v>
      </c>
      <c r="AZ148">
        <v>0.93740000000000001</v>
      </c>
      <c r="BA148">
        <v>1442.29</v>
      </c>
      <c r="BB148">
        <v>0.97499999999999998</v>
      </c>
      <c r="BC148">
        <v>0.83392226148409887</v>
      </c>
      <c r="BD148">
        <v>0.87450000000000006</v>
      </c>
      <c r="BE148">
        <v>0.71099999999999997</v>
      </c>
    </row>
    <row r="149" spans="1:57" x14ac:dyDescent="0.35">
      <c r="A149" t="s">
        <v>878</v>
      </c>
      <c r="B149" t="s">
        <v>879</v>
      </c>
      <c r="C149" t="s">
        <v>555</v>
      </c>
      <c r="D149" t="s">
        <v>556</v>
      </c>
      <c r="E149" t="s">
        <v>557</v>
      </c>
      <c r="F149" t="s">
        <v>123</v>
      </c>
      <c r="G149" t="s">
        <v>566</v>
      </c>
      <c r="H149">
        <v>315</v>
      </c>
      <c r="I149">
        <v>0.121491933995746</v>
      </c>
      <c r="J149">
        <v>353</v>
      </c>
      <c r="K149">
        <v>11129</v>
      </c>
      <c r="L149">
        <v>732</v>
      </c>
      <c r="M149" t="s">
        <v>587</v>
      </c>
      <c r="N149">
        <v>7.09</v>
      </c>
      <c r="O149">
        <v>8.4499999999999993</v>
      </c>
      <c r="P149">
        <v>57.9</v>
      </c>
      <c r="Q149">
        <v>40.299999999999997</v>
      </c>
      <c r="R149">
        <v>2</v>
      </c>
      <c r="S149">
        <v>4.1399999999999999E-2</v>
      </c>
      <c r="T149">
        <v>5.8999999999999999E-3</v>
      </c>
      <c r="U149">
        <v>0.89710000000000001</v>
      </c>
      <c r="AH149">
        <v>512.24</v>
      </c>
      <c r="AI149">
        <v>15.72</v>
      </c>
      <c r="AJ149">
        <v>197.85</v>
      </c>
      <c r="AK149">
        <v>36.799999999999997</v>
      </c>
      <c r="AL149">
        <v>762.61</v>
      </c>
      <c r="AM149">
        <v>0.38820375425062648</v>
      </c>
      <c r="AN149">
        <v>1246.51</v>
      </c>
      <c r="AO149">
        <v>483.9</v>
      </c>
      <c r="AP149">
        <v>0.38819999999999999</v>
      </c>
      <c r="AQ149">
        <v>0.61180000000000001</v>
      </c>
      <c r="AR149">
        <v>58054</v>
      </c>
      <c r="AS149">
        <v>4838</v>
      </c>
      <c r="AT149">
        <v>9.4899999999999998E-2</v>
      </c>
      <c r="AU149">
        <v>47657</v>
      </c>
      <c r="AV149">
        <v>47657</v>
      </c>
      <c r="AW149">
        <v>47940</v>
      </c>
      <c r="AX149">
        <v>6942</v>
      </c>
      <c r="AY149">
        <v>977.66</v>
      </c>
      <c r="AZ149">
        <v>0.92379999999999995</v>
      </c>
      <c r="BA149">
        <v>287.39999999999998</v>
      </c>
      <c r="BB149">
        <v>0.99409999999999998</v>
      </c>
      <c r="BC149">
        <v>0.83905325443786982</v>
      </c>
      <c r="BD149">
        <v>0.87459999999999993</v>
      </c>
      <c r="BE149">
        <v>0.72950000000000004</v>
      </c>
    </row>
    <row r="150" spans="1:57" x14ac:dyDescent="0.35">
      <c r="A150" t="s">
        <v>880</v>
      </c>
      <c r="B150" t="s">
        <v>881</v>
      </c>
      <c r="C150" t="s">
        <v>555</v>
      </c>
      <c r="D150" t="s">
        <v>549</v>
      </c>
      <c r="E150" t="s">
        <v>551</v>
      </c>
      <c r="F150" t="s">
        <v>123</v>
      </c>
      <c r="G150" t="s">
        <v>566</v>
      </c>
      <c r="H150">
        <v>1418</v>
      </c>
      <c r="I150">
        <v>0.1167160643865261</v>
      </c>
      <c r="J150">
        <v>1584</v>
      </c>
      <c r="K150">
        <v>2062</v>
      </c>
      <c r="L150">
        <v>466</v>
      </c>
      <c r="M150" t="s">
        <v>593</v>
      </c>
      <c r="N150">
        <v>3.45</v>
      </c>
      <c r="O150">
        <v>3.63</v>
      </c>
      <c r="P150">
        <v>64.599999999999994</v>
      </c>
      <c r="Q150">
        <v>47</v>
      </c>
      <c r="R150">
        <v>4</v>
      </c>
      <c r="S150">
        <v>7.6200000000000004E-2</v>
      </c>
      <c r="T150">
        <v>1.38E-2</v>
      </c>
      <c r="U150">
        <v>0.97440000000000004</v>
      </c>
      <c r="AH150">
        <v>1193.46</v>
      </c>
      <c r="AI150">
        <v>25.09</v>
      </c>
      <c r="AJ150">
        <v>76.989999999999995</v>
      </c>
      <c r="AK150">
        <v>106.87</v>
      </c>
      <c r="AL150">
        <v>1402.41</v>
      </c>
      <c r="AM150">
        <v>0.2316856355075102</v>
      </c>
      <c r="AN150">
        <v>1825.31</v>
      </c>
      <c r="AO150">
        <v>422.9</v>
      </c>
      <c r="AP150">
        <v>0.23169999999999999</v>
      </c>
      <c r="AQ150">
        <v>0.76829999999999998</v>
      </c>
      <c r="AR150">
        <v>20573</v>
      </c>
      <c r="AS150">
        <v>1714</v>
      </c>
      <c r="AT150">
        <v>0.14419999999999999</v>
      </c>
      <c r="AU150">
        <v>18977</v>
      </c>
      <c r="AV150">
        <v>18977</v>
      </c>
      <c r="AW150">
        <v>19243</v>
      </c>
      <c r="AX150">
        <v>2865</v>
      </c>
      <c r="AY150">
        <v>173.33</v>
      </c>
      <c r="AZ150">
        <v>0.85650000000000004</v>
      </c>
      <c r="BA150">
        <v>218.31</v>
      </c>
      <c r="BB150">
        <v>0.98619999999999997</v>
      </c>
      <c r="BC150">
        <v>0.95041322314049592</v>
      </c>
      <c r="BD150">
        <v>0.87629999999999997</v>
      </c>
      <c r="BE150">
        <v>0.82140000000000002</v>
      </c>
    </row>
    <row r="151" spans="1:57" x14ac:dyDescent="0.35">
      <c r="A151" t="s">
        <v>882</v>
      </c>
      <c r="B151" t="s">
        <v>883</v>
      </c>
      <c r="C151" t="s">
        <v>548</v>
      </c>
      <c r="D151" t="s">
        <v>556</v>
      </c>
      <c r="E151" t="s">
        <v>551</v>
      </c>
      <c r="F151" t="s">
        <v>123</v>
      </c>
      <c r="G151" t="s">
        <v>566</v>
      </c>
      <c r="H151">
        <v>840</v>
      </c>
      <c r="I151">
        <v>-2.6524821052645409E-2</v>
      </c>
      <c r="J151">
        <v>818</v>
      </c>
      <c r="K151">
        <v>3897</v>
      </c>
      <c r="L151">
        <v>508</v>
      </c>
      <c r="M151" t="s">
        <v>563</v>
      </c>
      <c r="N151">
        <v>4.4400000000000004</v>
      </c>
      <c r="O151">
        <v>4.9800000000000004</v>
      </c>
      <c r="P151">
        <v>31</v>
      </c>
      <c r="Q151">
        <v>33.6</v>
      </c>
      <c r="R151">
        <v>2</v>
      </c>
      <c r="S151">
        <v>8.5900000000000004E-2</v>
      </c>
      <c r="T151">
        <v>1.32E-2</v>
      </c>
      <c r="U151">
        <v>0.88719999999999999</v>
      </c>
      <c r="AH151">
        <v>270.58</v>
      </c>
      <c r="AI151">
        <v>32.08</v>
      </c>
      <c r="AJ151">
        <v>60.85</v>
      </c>
      <c r="AK151">
        <v>42.69</v>
      </c>
      <c r="AL151">
        <v>406.2</v>
      </c>
      <c r="AM151">
        <v>0.23860623719826371</v>
      </c>
      <c r="AN151">
        <v>533.5</v>
      </c>
      <c r="AO151">
        <v>127.3</v>
      </c>
      <c r="AP151">
        <v>0.23860000000000001</v>
      </c>
      <c r="AQ151">
        <v>0.76139999999999997</v>
      </c>
      <c r="AR151">
        <v>28731</v>
      </c>
      <c r="AS151">
        <v>2394</v>
      </c>
      <c r="AT151">
        <v>0.15029999999999999</v>
      </c>
      <c r="AU151">
        <v>25342</v>
      </c>
      <c r="AV151">
        <v>25342</v>
      </c>
      <c r="AW151">
        <v>25681</v>
      </c>
      <c r="AX151">
        <v>2126</v>
      </c>
      <c r="AY151">
        <v>176.46</v>
      </c>
      <c r="AZ151">
        <v>0.92459999999999998</v>
      </c>
      <c r="BA151">
        <v>182.62</v>
      </c>
      <c r="BB151">
        <v>0.98680000000000001</v>
      </c>
      <c r="BC151">
        <v>0.89156626506024095</v>
      </c>
      <c r="BD151">
        <v>0.83379999999999999</v>
      </c>
      <c r="BE151">
        <v>0.73360000000000003</v>
      </c>
    </row>
    <row r="152" spans="1:57" x14ac:dyDescent="0.35">
      <c r="A152" t="s">
        <v>884</v>
      </c>
      <c r="B152" t="s">
        <v>885</v>
      </c>
      <c r="C152" t="s">
        <v>562</v>
      </c>
      <c r="D152" t="s">
        <v>549</v>
      </c>
      <c r="E152" t="s">
        <v>557</v>
      </c>
      <c r="F152" t="s">
        <v>123</v>
      </c>
      <c r="G152" t="s">
        <v>551</v>
      </c>
      <c r="H152">
        <v>317</v>
      </c>
      <c r="I152">
        <v>4.357419178494816E-2</v>
      </c>
      <c r="J152">
        <v>331</v>
      </c>
      <c r="K152">
        <v>10267</v>
      </c>
      <c r="L152">
        <v>639</v>
      </c>
      <c r="M152" t="s">
        <v>593</v>
      </c>
      <c r="N152">
        <v>4.1900000000000004</v>
      </c>
      <c r="O152">
        <v>4.45</v>
      </c>
      <c r="P152">
        <v>50.8</v>
      </c>
      <c r="Q152">
        <v>12.7</v>
      </c>
      <c r="R152">
        <v>1</v>
      </c>
      <c r="S152">
        <v>2.7699999999999999E-2</v>
      </c>
      <c r="T152">
        <v>1.6400000000000001E-2</v>
      </c>
      <c r="U152">
        <v>0.81140000000000001</v>
      </c>
      <c r="AH152">
        <v>1195.8399999999999</v>
      </c>
      <c r="AI152">
        <v>8.69</v>
      </c>
      <c r="AJ152">
        <v>84.29</v>
      </c>
      <c r="AK152">
        <v>111.27</v>
      </c>
      <c r="AL152">
        <v>1400.09</v>
      </c>
      <c r="AM152">
        <v>0.27640853835548967</v>
      </c>
      <c r="AN152">
        <v>1934.92</v>
      </c>
      <c r="AO152">
        <v>534.83000000000004</v>
      </c>
      <c r="AP152">
        <v>0.27639999999999998</v>
      </c>
      <c r="AQ152">
        <v>0.72360000000000002</v>
      </c>
      <c r="AR152">
        <v>55068</v>
      </c>
      <c r="AS152">
        <v>4589</v>
      </c>
      <c r="AT152">
        <v>8.6800000000000002E-2</v>
      </c>
      <c r="AU152">
        <v>45440</v>
      </c>
      <c r="AV152">
        <v>45440</v>
      </c>
      <c r="AW152">
        <v>46198</v>
      </c>
      <c r="AX152">
        <v>6879</v>
      </c>
      <c r="AY152">
        <v>510.19</v>
      </c>
      <c r="AZ152">
        <v>0.85650000000000004</v>
      </c>
      <c r="BA152">
        <v>190.55</v>
      </c>
      <c r="BB152">
        <v>0.98360000000000003</v>
      </c>
      <c r="BC152">
        <v>0.94157303370786527</v>
      </c>
      <c r="BD152">
        <v>0.87629999999999997</v>
      </c>
      <c r="BE152">
        <v>0.81159999999999999</v>
      </c>
    </row>
    <row r="153" spans="1:57" x14ac:dyDescent="0.35">
      <c r="A153" t="s">
        <v>886</v>
      </c>
      <c r="B153" t="s">
        <v>887</v>
      </c>
      <c r="C153" t="s">
        <v>555</v>
      </c>
      <c r="D153" t="s">
        <v>549</v>
      </c>
      <c r="E153" t="s">
        <v>550</v>
      </c>
      <c r="F153" t="s">
        <v>123</v>
      </c>
      <c r="G153" t="s">
        <v>551</v>
      </c>
      <c r="H153">
        <v>1344</v>
      </c>
      <c r="I153">
        <v>0.1223816877578903</v>
      </c>
      <c r="J153">
        <v>1508</v>
      </c>
      <c r="K153">
        <v>402</v>
      </c>
      <c r="L153">
        <v>136</v>
      </c>
      <c r="M153" t="s">
        <v>632</v>
      </c>
      <c r="N153">
        <v>7.25</v>
      </c>
      <c r="O153">
        <v>8</v>
      </c>
      <c r="P153">
        <v>66.2</v>
      </c>
      <c r="Q153">
        <v>65.099999999999994</v>
      </c>
      <c r="R153">
        <v>6</v>
      </c>
      <c r="S153">
        <v>0.45029999999999998</v>
      </c>
      <c r="T153">
        <v>3.4200000000000001E-2</v>
      </c>
      <c r="U153">
        <v>0.89929999999999999</v>
      </c>
      <c r="AH153">
        <v>2372.7399999999998</v>
      </c>
      <c r="AI153">
        <v>137.41</v>
      </c>
      <c r="AJ153">
        <v>153.66</v>
      </c>
      <c r="AK153">
        <v>259.52999999999997</v>
      </c>
      <c r="AL153">
        <v>2923.34</v>
      </c>
      <c r="AM153">
        <v>0.38528020313341838</v>
      </c>
      <c r="AN153">
        <v>4755.57</v>
      </c>
      <c r="AO153">
        <v>1832.23</v>
      </c>
      <c r="AP153">
        <v>0.38529999999999998</v>
      </c>
      <c r="AQ153">
        <v>0.61470000000000002</v>
      </c>
      <c r="AR153">
        <v>7887</v>
      </c>
      <c r="AS153">
        <v>657</v>
      </c>
      <c r="AT153">
        <v>0.12659999999999999</v>
      </c>
      <c r="AU153">
        <v>7621</v>
      </c>
      <c r="AV153">
        <v>7621</v>
      </c>
      <c r="AW153">
        <v>7891</v>
      </c>
      <c r="AX153">
        <v>572</v>
      </c>
      <c r="AY153">
        <v>76.27</v>
      </c>
      <c r="AZ153">
        <v>0.96220000000000006</v>
      </c>
      <c r="BA153">
        <v>257.57</v>
      </c>
      <c r="BB153">
        <v>0.96579999999999999</v>
      </c>
      <c r="BC153">
        <v>0.90625</v>
      </c>
      <c r="BD153">
        <v>0.86359999999999992</v>
      </c>
      <c r="BE153">
        <v>0.75590000000000002</v>
      </c>
    </row>
    <row r="154" spans="1:57" x14ac:dyDescent="0.35">
      <c r="A154" t="s">
        <v>888</v>
      </c>
      <c r="B154" t="s">
        <v>889</v>
      </c>
      <c r="C154" t="s">
        <v>548</v>
      </c>
      <c r="D154" t="s">
        <v>549</v>
      </c>
      <c r="E154" t="s">
        <v>551</v>
      </c>
      <c r="F154" t="s">
        <v>123</v>
      </c>
      <c r="G154" t="s">
        <v>551</v>
      </c>
      <c r="H154">
        <v>2243</v>
      </c>
      <c r="I154">
        <v>-1.017813868929872E-2</v>
      </c>
      <c r="J154">
        <v>2220</v>
      </c>
      <c r="K154">
        <v>10064</v>
      </c>
      <c r="L154">
        <v>1680</v>
      </c>
      <c r="M154" t="s">
        <v>735</v>
      </c>
      <c r="N154">
        <v>7.67</v>
      </c>
      <c r="O154">
        <v>7.98</v>
      </c>
      <c r="P154">
        <v>45.4</v>
      </c>
      <c r="Q154">
        <v>57.4</v>
      </c>
      <c r="R154">
        <v>3</v>
      </c>
      <c r="S154">
        <v>0.18679999999999999</v>
      </c>
      <c r="T154">
        <v>1.9199999999999998E-2</v>
      </c>
      <c r="U154">
        <v>0.95140000000000002</v>
      </c>
      <c r="AH154">
        <v>1750.2</v>
      </c>
      <c r="AI154">
        <v>61.09</v>
      </c>
      <c r="AJ154">
        <v>217.78</v>
      </c>
      <c r="AK154">
        <v>145.75</v>
      </c>
      <c r="AL154">
        <v>2174.8200000000002</v>
      </c>
      <c r="AM154">
        <v>0.36907985828557788</v>
      </c>
      <c r="AN154">
        <v>3447.06</v>
      </c>
      <c r="AO154">
        <v>1272.24</v>
      </c>
      <c r="AP154">
        <v>0.36909999999999998</v>
      </c>
      <c r="AQ154">
        <v>0.63090000000000002</v>
      </c>
      <c r="AR154">
        <v>58646</v>
      </c>
      <c r="AS154">
        <v>4887</v>
      </c>
      <c r="AT154">
        <v>0.24249999999999999</v>
      </c>
      <c r="AU154">
        <v>50262</v>
      </c>
      <c r="AV154">
        <v>50262</v>
      </c>
      <c r="AW154">
        <v>51246</v>
      </c>
      <c r="AX154">
        <v>3768</v>
      </c>
      <c r="AY154">
        <v>501.14</v>
      </c>
      <c r="AZ154">
        <v>0.89449999999999996</v>
      </c>
      <c r="BA154">
        <v>703.86</v>
      </c>
      <c r="BB154">
        <v>0.98080000000000001</v>
      </c>
      <c r="BC154">
        <v>0.96115288220551376</v>
      </c>
      <c r="BD154">
        <v>0.87180000000000002</v>
      </c>
      <c r="BE154">
        <v>0.82179999999999997</v>
      </c>
    </row>
    <row r="155" spans="1:57" x14ac:dyDescent="0.35">
      <c r="A155" t="s">
        <v>890</v>
      </c>
      <c r="B155" t="s">
        <v>891</v>
      </c>
      <c r="C155" t="s">
        <v>555</v>
      </c>
      <c r="D155" t="s">
        <v>549</v>
      </c>
      <c r="E155" t="s">
        <v>550</v>
      </c>
      <c r="F155" t="s">
        <v>123</v>
      </c>
      <c r="G155" t="s">
        <v>551</v>
      </c>
      <c r="H155">
        <v>2182</v>
      </c>
      <c r="I155">
        <v>0.13461230231283161</v>
      </c>
      <c r="J155">
        <v>2476</v>
      </c>
      <c r="K155">
        <v>1747</v>
      </c>
      <c r="L155">
        <v>210</v>
      </c>
      <c r="M155" t="s">
        <v>552</v>
      </c>
      <c r="N155">
        <v>3.34</v>
      </c>
      <c r="O155">
        <v>3.57</v>
      </c>
      <c r="P155">
        <v>54.8</v>
      </c>
      <c r="Q155">
        <v>77.8</v>
      </c>
      <c r="R155">
        <v>3</v>
      </c>
      <c r="S155">
        <v>0.16500000000000001</v>
      </c>
      <c r="T155">
        <v>1.66E-2</v>
      </c>
      <c r="U155">
        <v>0.97940000000000005</v>
      </c>
      <c r="AH155">
        <v>1889.25</v>
      </c>
      <c r="AI155">
        <v>81.28</v>
      </c>
      <c r="AJ155">
        <v>74.73</v>
      </c>
      <c r="AK155">
        <v>213.07</v>
      </c>
      <c r="AL155">
        <v>2258.33</v>
      </c>
      <c r="AM155">
        <v>0.17564199064589739</v>
      </c>
      <c r="AN155">
        <v>2739.5</v>
      </c>
      <c r="AO155">
        <v>481.17</v>
      </c>
      <c r="AP155">
        <v>0.17560000000000001</v>
      </c>
      <c r="AQ155">
        <v>0.82440000000000002</v>
      </c>
      <c r="AR155">
        <v>9086</v>
      </c>
      <c r="AS155">
        <v>757</v>
      </c>
      <c r="AT155">
        <v>0.24210000000000001</v>
      </c>
      <c r="AU155">
        <v>7549</v>
      </c>
      <c r="AV155">
        <v>7549</v>
      </c>
      <c r="AW155">
        <v>7676</v>
      </c>
      <c r="AX155">
        <v>1798</v>
      </c>
      <c r="AY155">
        <v>106.98</v>
      </c>
      <c r="AZ155">
        <v>0.84030000000000005</v>
      </c>
      <c r="BA155">
        <v>296.67</v>
      </c>
      <c r="BB155">
        <v>0.98340000000000005</v>
      </c>
      <c r="BC155">
        <v>0.93557422969187676</v>
      </c>
      <c r="BD155">
        <v>0.85919999999999996</v>
      </c>
      <c r="BE155">
        <v>0.79049999999999998</v>
      </c>
    </row>
    <row r="156" spans="1:57" x14ac:dyDescent="0.35">
      <c r="A156" t="s">
        <v>892</v>
      </c>
      <c r="B156" t="s">
        <v>893</v>
      </c>
      <c r="C156" t="s">
        <v>555</v>
      </c>
      <c r="D156" t="s">
        <v>556</v>
      </c>
      <c r="E156" t="s">
        <v>551</v>
      </c>
      <c r="F156" t="s">
        <v>123</v>
      </c>
      <c r="G156" t="s">
        <v>558</v>
      </c>
      <c r="H156">
        <v>378</v>
      </c>
      <c r="I156">
        <v>5.8895828703233247E-2</v>
      </c>
      <c r="J156">
        <v>400</v>
      </c>
      <c r="K156">
        <v>1132</v>
      </c>
      <c r="L156">
        <v>227</v>
      </c>
      <c r="M156" t="s">
        <v>629</v>
      </c>
      <c r="N156">
        <v>0.81</v>
      </c>
      <c r="O156">
        <v>0.88</v>
      </c>
      <c r="P156">
        <v>60.5</v>
      </c>
      <c r="Q156">
        <v>50</v>
      </c>
      <c r="R156">
        <v>2</v>
      </c>
      <c r="S156">
        <v>8.8599999999999998E-2</v>
      </c>
      <c r="T156">
        <v>3.2000000000000002E-3</v>
      </c>
      <c r="U156">
        <v>0.87749999999999995</v>
      </c>
      <c r="AH156">
        <v>655.20000000000005</v>
      </c>
      <c r="AI156">
        <v>36.32</v>
      </c>
      <c r="AJ156">
        <v>15.5</v>
      </c>
      <c r="AK156">
        <v>73.599999999999994</v>
      </c>
      <c r="AL156">
        <v>780.62</v>
      </c>
      <c r="AM156">
        <v>0.24818268581785399</v>
      </c>
      <c r="AN156">
        <v>1038.31</v>
      </c>
      <c r="AO156">
        <v>257.69</v>
      </c>
      <c r="AP156">
        <v>0.2482</v>
      </c>
      <c r="AQ156">
        <v>0.75180000000000002</v>
      </c>
      <c r="AR156">
        <v>17776</v>
      </c>
      <c r="AS156">
        <v>1481</v>
      </c>
      <c r="AT156">
        <v>0.1399</v>
      </c>
      <c r="AU156">
        <v>16871</v>
      </c>
      <c r="AV156">
        <v>16871</v>
      </c>
      <c r="AW156">
        <v>16925</v>
      </c>
      <c r="AX156">
        <v>10360</v>
      </c>
      <c r="AY156">
        <v>151.94999999999999</v>
      </c>
      <c r="AZ156">
        <v>0.83360000000000001</v>
      </c>
      <c r="BA156">
        <v>917.9</v>
      </c>
      <c r="BB156">
        <v>0.99680000000000002</v>
      </c>
      <c r="BC156">
        <v>0.92045454545454553</v>
      </c>
      <c r="BD156">
        <v>0.88049999999999995</v>
      </c>
      <c r="BE156">
        <v>0.80789999999999995</v>
      </c>
    </row>
    <row r="157" spans="1:57" x14ac:dyDescent="0.35">
      <c r="A157" t="s">
        <v>894</v>
      </c>
      <c r="B157" t="s">
        <v>895</v>
      </c>
      <c r="C157" t="s">
        <v>548</v>
      </c>
      <c r="D157" t="s">
        <v>556</v>
      </c>
      <c r="E157" t="s">
        <v>557</v>
      </c>
      <c r="F157" t="s">
        <v>123</v>
      </c>
      <c r="G157" t="s">
        <v>566</v>
      </c>
      <c r="H157">
        <v>1210</v>
      </c>
      <c r="I157">
        <v>9.0859731837114696E-2</v>
      </c>
      <c r="J157">
        <v>1320</v>
      </c>
      <c r="K157">
        <v>6543</v>
      </c>
      <c r="L157">
        <v>652</v>
      </c>
      <c r="M157" t="s">
        <v>784</v>
      </c>
      <c r="N157">
        <v>7.71</v>
      </c>
      <c r="O157">
        <v>8.52</v>
      </c>
      <c r="P157">
        <v>29</v>
      </c>
      <c r="Q157">
        <v>28</v>
      </c>
      <c r="R157">
        <v>2</v>
      </c>
      <c r="S157">
        <v>6.54E-2</v>
      </c>
      <c r="T157">
        <v>4.3E-3</v>
      </c>
      <c r="U157">
        <v>0.85770000000000002</v>
      </c>
      <c r="AH157">
        <v>531.91</v>
      </c>
      <c r="AI157">
        <v>32.25</v>
      </c>
      <c r="AJ157">
        <v>251.65</v>
      </c>
      <c r="AK157">
        <v>70.56</v>
      </c>
      <c r="AL157">
        <v>886.37</v>
      </c>
      <c r="AM157">
        <v>0.28834279743744301</v>
      </c>
      <c r="AN157">
        <v>1245.5</v>
      </c>
      <c r="AO157">
        <v>359.13</v>
      </c>
      <c r="AP157">
        <v>0.2883</v>
      </c>
      <c r="AQ157">
        <v>0.7117</v>
      </c>
      <c r="AR157">
        <v>88160</v>
      </c>
      <c r="AS157">
        <v>7347</v>
      </c>
      <c r="AT157">
        <v>8.7300000000000003E-2</v>
      </c>
      <c r="AU157">
        <v>82269</v>
      </c>
      <c r="AV157">
        <v>82269</v>
      </c>
      <c r="AW157">
        <v>82624</v>
      </c>
      <c r="AX157">
        <v>6553</v>
      </c>
      <c r="AY157">
        <v>930.53</v>
      </c>
      <c r="AZ157">
        <v>0.83850000000000002</v>
      </c>
      <c r="BA157">
        <v>428.57</v>
      </c>
      <c r="BB157">
        <v>0.99570000000000003</v>
      </c>
      <c r="BC157">
        <v>0.90492957746478875</v>
      </c>
      <c r="BD157">
        <v>0.84520000000000006</v>
      </c>
      <c r="BE157">
        <v>0.76160000000000005</v>
      </c>
    </row>
    <row r="158" spans="1:57" x14ac:dyDescent="0.35">
      <c r="A158" t="s">
        <v>896</v>
      </c>
      <c r="B158" t="s">
        <v>897</v>
      </c>
      <c r="C158" t="s">
        <v>562</v>
      </c>
      <c r="D158" t="s">
        <v>556</v>
      </c>
      <c r="E158" t="s">
        <v>551</v>
      </c>
      <c r="F158" t="s">
        <v>123</v>
      </c>
      <c r="G158" t="s">
        <v>551</v>
      </c>
      <c r="H158">
        <v>2290</v>
      </c>
      <c r="I158">
        <v>0.1008621483453445</v>
      </c>
      <c r="J158">
        <v>2521</v>
      </c>
      <c r="K158">
        <v>8262</v>
      </c>
      <c r="L158">
        <v>734</v>
      </c>
      <c r="M158" t="s">
        <v>649</v>
      </c>
      <c r="N158">
        <v>5.31</v>
      </c>
      <c r="O158">
        <v>6.35</v>
      </c>
      <c r="P158">
        <v>81.400000000000006</v>
      </c>
      <c r="Q158">
        <v>38.700000000000003</v>
      </c>
      <c r="R158">
        <v>4</v>
      </c>
      <c r="S158">
        <v>0.10630000000000001</v>
      </c>
      <c r="T158">
        <v>6.3E-3</v>
      </c>
      <c r="U158">
        <v>0.96319999999999995</v>
      </c>
      <c r="AH158">
        <v>204.41</v>
      </c>
      <c r="AI158">
        <v>41.08</v>
      </c>
      <c r="AJ158">
        <v>77.56</v>
      </c>
      <c r="AK158">
        <v>38.22</v>
      </c>
      <c r="AL158">
        <v>361.27</v>
      </c>
      <c r="AM158">
        <v>0.27578311813788497</v>
      </c>
      <c r="AN158">
        <v>498.84</v>
      </c>
      <c r="AO158">
        <v>137.57</v>
      </c>
      <c r="AP158">
        <v>0.27579999999999999</v>
      </c>
      <c r="AQ158">
        <v>0.72419999999999995</v>
      </c>
      <c r="AR158">
        <v>42564</v>
      </c>
      <c r="AS158">
        <v>3547</v>
      </c>
      <c r="AT158">
        <v>0.1104</v>
      </c>
      <c r="AU158">
        <v>35036</v>
      </c>
      <c r="AV158">
        <v>35036</v>
      </c>
      <c r="AW158">
        <v>35258</v>
      </c>
      <c r="AX158">
        <v>974</v>
      </c>
      <c r="AY158">
        <v>103.08</v>
      </c>
      <c r="AZ158">
        <v>0.85880000000000001</v>
      </c>
      <c r="BA158">
        <v>103.54</v>
      </c>
      <c r="BB158">
        <v>0.99370000000000003</v>
      </c>
      <c r="BC158">
        <v>0.83622047244094488</v>
      </c>
      <c r="BD158">
        <v>0.84340000000000004</v>
      </c>
      <c r="BE158">
        <v>0.70079999999999998</v>
      </c>
    </row>
    <row r="159" spans="1:57" x14ac:dyDescent="0.35">
      <c r="A159" t="s">
        <v>898</v>
      </c>
      <c r="B159" t="s">
        <v>899</v>
      </c>
      <c r="C159" t="s">
        <v>562</v>
      </c>
      <c r="D159" t="s">
        <v>556</v>
      </c>
      <c r="E159" t="s">
        <v>551</v>
      </c>
      <c r="F159" t="s">
        <v>123</v>
      </c>
      <c r="G159" t="s">
        <v>558</v>
      </c>
      <c r="H159">
        <v>953</v>
      </c>
      <c r="I159">
        <v>0.17855912898786749</v>
      </c>
      <c r="J159">
        <v>1123</v>
      </c>
      <c r="K159">
        <v>5726</v>
      </c>
      <c r="L159">
        <v>663</v>
      </c>
      <c r="M159" t="s">
        <v>559</v>
      </c>
      <c r="N159">
        <v>8.15</v>
      </c>
      <c r="O159">
        <v>9.51</v>
      </c>
      <c r="P159">
        <v>51.6</v>
      </c>
      <c r="Q159">
        <v>41.4</v>
      </c>
      <c r="R159">
        <v>3</v>
      </c>
      <c r="S159">
        <v>0.1187</v>
      </c>
      <c r="T159">
        <v>2.7000000000000001E-3</v>
      </c>
      <c r="U159">
        <v>0.83440000000000003</v>
      </c>
      <c r="AH159">
        <v>503.43</v>
      </c>
      <c r="AI159">
        <v>43.01</v>
      </c>
      <c r="AJ159">
        <v>175.47</v>
      </c>
      <c r="AK159">
        <v>42.44</v>
      </c>
      <c r="AL159">
        <v>764.35</v>
      </c>
      <c r="AM159">
        <v>0.19846576698422319</v>
      </c>
      <c r="AN159">
        <v>953.61</v>
      </c>
      <c r="AO159">
        <v>189.26</v>
      </c>
      <c r="AP159">
        <v>0.19850000000000001</v>
      </c>
      <c r="AQ159">
        <v>0.80149999999999999</v>
      </c>
      <c r="AR159">
        <v>43835</v>
      </c>
      <c r="AS159">
        <v>3653</v>
      </c>
      <c r="AT159">
        <v>0.1467</v>
      </c>
      <c r="AU159">
        <v>38772</v>
      </c>
      <c r="AV159">
        <v>38772</v>
      </c>
      <c r="AW159">
        <v>38877</v>
      </c>
      <c r="AX159">
        <v>1639</v>
      </c>
      <c r="AY159">
        <v>259.77999999999997</v>
      </c>
      <c r="AZ159">
        <v>0.84179999999999999</v>
      </c>
      <c r="BA159">
        <v>194.55</v>
      </c>
      <c r="BB159">
        <v>0.99729999999999996</v>
      </c>
      <c r="BC159">
        <v>0.8569926393270243</v>
      </c>
      <c r="BD159">
        <v>0.8367</v>
      </c>
      <c r="BE159">
        <v>0.71509999999999996</v>
      </c>
    </row>
    <row r="160" spans="1:57" x14ac:dyDescent="0.35">
      <c r="A160" t="s">
        <v>900</v>
      </c>
      <c r="B160" t="s">
        <v>901</v>
      </c>
      <c r="C160" t="s">
        <v>548</v>
      </c>
      <c r="D160" t="s">
        <v>556</v>
      </c>
      <c r="E160" t="s">
        <v>551</v>
      </c>
      <c r="F160" t="s">
        <v>123</v>
      </c>
      <c r="G160" t="s">
        <v>566</v>
      </c>
      <c r="H160">
        <v>542</v>
      </c>
      <c r="I160">
        <v>0.14122081538553211</v>
      </c>
      <c r="J160">
        <v>619</v>
      </c>
      <c r="K160">
        <v>1183</v>
      </c>
      <c r="L160">
        <v>552</v>
      </c>
      <c r="M160" t="s">
        <v>784</v>
      </c>
      <c r="N160">
        <v>2.4300000000000002</v>
      </c>
      <c r="O160">
        <v>2.81</v>
      </c>
      <c r="P160">
        <v>73</v>
      </c>
      <c r="Q160">
        <v>37.700000000000003</v>
      </c>
      <c r="R160">
        <v>2</v>
      </c>
      <c r="S160">
        <v>0.17349999999999999</v>
      </c>
      <c r="T160">
        <v>2.3900000000000001E-2</v>
      </c>
      <c r="U160">
        <v>0.91080000000000005</v>
      </c>
      <c r="AH160">
        <v>291.14</v>
      </c>
      <c r="AI160">
        <v>69.61</v>
      </c>
      <c r="AJ160">
        <v>30.46</v>
      </c>
      <c r="AK160">
        <v>20.02</v>
      </c>
      <c r="AL160">
        <v>411.23</v>
      </c>
      <c r="AM160">
        <v>0.3647041927920387</v>
      </c>
      <c r="AN160">
        <v>647.29999999999995</v>
      </c>
      <c r="AO160">
        <v>236.07</v>
      </c>
      <c r="AP160">
        <v>0.36470000000000002</v>
      </c>
      <c r="AQ160">
        <v>0.63529999999999998</v>
      </c>
      <c r="AR160">
        <v>22697</v>
      </c>
      <c r="AS160">
        <v>1891</v>
      </c>
      <c r="AT160">
        <v>0.24110000000000001</v>
      </c>
      <c r="AU160">
        <v>22066</v>
      </c>
      <c r="AV160">
        <v>22066</v>
      </c>
      <c r="AW160">
        <v>22606</v>
      </c>
      <c r="AX160">
        <v>1793</v>
      </c>
      <c r="AY160">
        <v>83.97</v>
      </c>
      <c r="AZ160">
        <v>0.83850000000000002</v>
      </c>
      <c r="BA160">
        <v>311.08999999999997</v>
      </c>
      <c r="BB160">
        <v>0.97609999999999997</v>
      </c>
      <c r="BC160">
        <v>0.86476868327402134</v>
      </c>
      <c r="BD160">
        <v>0.84520000000000006</v>
      </c>
      <c r="BE160">
        <v>0.71340000000000003</v>
      </c>
    </row>
    <row r="161" spans="1:57" x14ac:dyDescent="0.35">
      <c r="A161" t="s">
        <v>902</v>
      </c>
      <c r="B161" t="s">
        <v>903</v>
      </c>
      <c r="C161" t="s">
        <v>606</v>
      </c>
      <c r="D161" t="s">
        <v>549</v>
      </c>
      <c r="E161" t="s">
        <v>557</v>
      </c>
      <c r="F161" t="s">
        <v>123</v>
      </c>
      <c r="G161" t="s">
        <v>566</v>
      </c>
      <c r="H161">
        <v>2838</v>
      </c>
      <c r="I161">
        <v>-3.2179932486209033E-2</v>
      </c>
      <c r="J161">
        <v>2747</v>
      </c>
      <c r="K161">
        <v>6367</v>
      </c>
      <c r="L161">
        <v>1081</v>
      </c>
      <c r="M161" t="s">
        <v>677</v>
      </c>
      <c r="N161">
        <v>8.32</v>
      </c>
      <c r="O161">
        <v>9.33</v>
      </c>
      <c r="P161">
        <v>57.2</v>
      </c>
      <c r="Q161">
        <v>20.3</v>
      </c>
      <c r="R161">
        <v>2</v>
      </c>
      <c r="S161">
        <v>7.5499999999999998E-2</v>
      </c>
      <c r="T161">
        <v>1.8599999999999998E-2</v>
      </c>
      <c r="U161">
        <v>0.873</v>
      </c>
      <c r="AH161">
        <v>736.37</v>
      </c>
      <c r="AI161">
        <v>29.29</v>
      </c>
      <c r="AJ161">
        <v>231.37</v>
      </c>
      <c r="AK161">
        <v>103.6</v>
      </c>
      <c r="AL161">
        <v>1100.6300000000001</v>
      </c>
      <c r="AM161">
        <v>0.31923519574920928</v>
      </c>
      <c r="AN161">
        <v>1616.76</v>
      </c>
      <c r="AO161">
        <v>516.13</v>
      </c>
      <c r="AP161">
        <v>0.31919999999999998</v>
      </c>
      <c r="AQ161">
        <v>0.68079999999999996</v>
      </c>
      <c r="AR161">
        <v>71830</v>
      </c>
      <c r="AS161">
        <v>5986</v>
      </c>
      <c r="AT161">
        <v>0.104</v>
      </c>
      <c r="AU161">
        <v>66544</v>
      </c>
      <c r="AV161">
        <v>66544</v>
      </c>
      <c r="AW161">
        <v>67805</v>
      </c>
      <c r="AX161">
        <v>3674</v>
      </c>
      <c r="AY161">
        <v>571.30999999999995</v>
      </c>
      <c r="AZ161">
        <v>0.88029999999999997</v>
      </c>
      <c r="BA161">
        <v>277.39</v>
      </c>
      <c r="BB161">
        <v>0.98140000000000005</v>
      </c>
      <c r="BC161">
        <v>0.89174705251875674</v>
      </c>
      <c r="BD161">
        <v>0.86950000000000005</v>
      </c>
      <c r="BE161">
        <v>0.76100000000000001</v>
      </c>
    </row>
    <row r="162" spans="1:57" x14ac:dyDescent="0.35">
      <c r="A162" t="s">
        <v>904</v>
      </c>
      <c r="B162" t="s">
        <v>905</v>
      </c>
      <c r="C162" t="s">
        <v>606</v>
      </c>
      <c r="D162" t="s">
        <v>556</v>
      </c>
      <c r="E162" t="s">
        <v>557</v>
      </c>
      <c r="F162" t="s">
        <v>123</v>
      </c>
      <c r="G162" t="s">
        <v>551</v>
      </c>
      <c r="H162">
        <v>2357</v>
      </c>
      <c r="I162">
        <v>7.1467939796581406E-2</v>
      </c>
      <c r="J162">
        <v>2525</v>
      </c>
      <c r="K162">
        <v>4727</v>
      </c>
      <c r="L162">
        <v>929</v>
      </c>
      <c r="M162" t="s">
        <v>649</v>
      </c>
      <c r="N162">
        <v>4.72</v>
      </c>
      <c r="O162">
        <v>5.54</v>
      </c>
      <c r="P162">
        <v>36.4</v>
      </c>
      <c r="Q162">
        <v>36.5</v>
      </c>
      <c r="R162">
        <v>1</v>
      </c>
      <c r="S162">
        <v>3.8399999999999997E-2</v>
      </c>
      <c r="T162">
        <v>5.1000000000000004E-3</v>
      </c>
      <c r="U162">
        <v>0.80740000000000001</v>
      </c>
      <c r="AH162">
        <v>892.09</v>
      </c>
      <c r="AI162">
        <v>12.33</v>
      </c>
      <c r="AJ162">
        <v>157.12</v>
      </c>
      <c r="AK162">
        <v>113.06</v>
      </c>
      <c r="AL162">
        <v>1174.5999999999999</v>
      </c>
      <c r="AM162">
        <v>0.35947709371295089</v>
      </c>
      <c r="AN162">
        <v>1833.81</v>
      </c>
      <c r="AO162">
        <v>659.21</v>
      </c>
      <c r="AP162">
        <v>0.35949999999999999</v>
      </c>
      <c r="AQ162">
        <v>0.64049999999999996</v>
      </c>
      <c r="AR162">
        <v>40234</v>
      </c>
      <c r="AS162">
        <v>3353</v>
      </c>
      <c r="AT162">
        <v>0.20979999999999999</v>
      </c>
      <c r="AU162">
        <v>36436</v>
      </c>
      <c r="AV162">
        <v>36436</v>
      </c>
      <c r="AW162">
        <v>36623</v>
      </c>
      <c r="AX162">
        <v>1012</v>
      </c>
      <c r="AY162">
        <v>93.44</v>
      </c>
      <c r="AZ162">
        <v>0.85880000000000001</v>
      </c>
      <c r="BA162">
        <v>38.86</v>
      </c>
      <c r="BB162">
        <v>0.99490000000000001</v>
      </c>
      <c r="BC162">
        <v>0.8519855595667869</v>
      </c>
      <c r="BD162">
        <v>0.84340000000000004</v>
      </c>
      <c r="BE162">
        <v>0.71489999999999998</v>
      </c>
    </row>
    <row r="163" spans="1:57" x14ac:dyDescent="0.35">
      <c r="A163" t="s">
        <v>906</v>
      </c>
      <c r="B163" t="s">
        <v>907</v>
      </c>
      <c r="C163" t="s">
        <v>555</v>
      </c>
      <c r="D163" t="s">
        <v>556</v>
      </c>
      <c r="E163" t="s">
        <v>550</v>
      </c>
      <c r="F163" t="s">
        <v>123</v>
      </c>
      <c r="G163" t="s">
        <v>551</v>
      </c>
      <c r="H163">
        <v>919</v>
      </c>
      <c r="I163">
        <v>0.12940894647715739</v>
      </c>
      <c r="J163">
        <v>1038</v>
      </c>
      <c r="K163">
        <v>3388</v>
      </c>
      <c r="L163">
        <v>272</v>
      </c>
      <c r="M163" t="s">
        <v>609</v>
      </c>
      <c r="N163">
        <v>8.08</v>
      </c>
      <c r="O163">
        <v>8.7899999999999991</v>
      </c>
      <c r="P163">
        <v>96.7</v>
      </c>
      <c r="Q163">
        <v>81.8</v>
      </c>
      <c r="R163">
        <v>4</v>
      </c>
      <c r="S163">
        <v>0.1696</v>
      </c>
      <c r="T163">
        <v>2.4400000000000002E-2</v>
      </c>
      <c r="U163">
        <v>0.86250000000000004</v>
      </c>
      <c r="AH163">
        <v>659.44</v>
      </c>
      <c r="AI163">
        <v>72.62</v>
      </c>
      <c r="AJ163">
        <v>137.13</v>
      </c>
      <c r="AK163">
        <v>50.77</v>
      </c>
      <c r="AL163">
        <v>919.96</v>
      </c>
      <c r="AM163">
        <v>0.36469106983736799</v>
      </c>
      <c r="AN163">
        <v>1448.05</v>
      </c>
      <c r="AO163">
        <v>528.09</v>
      </c>
      <c r="AP163">
        <v>0.36470000000000002</v>
      </c>
      <c r="AQ163">
        <v>0.63529999999999998</v>
      </c>
      <c r="AR163">
        <v>22010</v>
      </c>
      <c r="AS163">
        <v>1834</v>
      </c>
      <c r="AT163">
        <v>9.8500000000000004E-2</v>
      </c>
      <c r="AU163">
        <v>18894</v>
      </c>
      <c r="AV163">
        <v>18894</v>
      </c>
      <c r="AW163">
        <v>19367</v>
      </c>
      <c r="AX163">
        <v>1920</v>
      </c>
      <c r="AY163">
        <v>281.27999999999997</v>
      </c>
      <c r="AZ163">
        <v>0.83089999999999997</v>
      </c>
      <c r="BA163">
        <v>325.63</v>
      </c>
      <c r="BB163">
        <v>0.97560000000000002</v>
      </c>
      <c r="BC163">
        <v>0.91922639362912406</v>
      </c>
      <c r="BD163">
        <v>0.91039999999999999</v>
      </c>
      <c r="BE163">
        <v>0.81640000000000001</v>
      </c>
    </row>
    <row r="164" spans="1:57" x14ac:dyDescent="0.35">
      <c r="A164" t="s">
        <v>908</v>
      </c>
      <c r="B164" t="s">
        <v>909</v>
      </c>
      <c r="C164" t="s">
        <v>573</v>
      </c>
      <c r="D164" t="s">
        <v>549</v>
      </c>
      <c r="E164" t="s">
        <v>551</v>
      </c>
      <c r="F164" t="s">
        <v>123</v>
      </c>
      <c r="G164" t="s">
        <v>566</v>
      </c>
      <c r="H164">
        <v>138</v>
      </c>
      <c r="I164">
        <v>8.1290845916765039E-2</v>
      </c>
      <c r="J164">
        <v>149</v>
      </c>
      <c r="K164">
        <v>3686</v>
      </c>
      <c r="L164">
        <v>551</v>
      </c>
      <c r="M164" t="s">
        <v>590</v>
      </c>
      <c r="N164">
        <v>7.36</v>
      </c>
      <c r="O164">
        <v>8.4700000000000006</v>
      </c>
      <c r="P164">
        <v>89.8</v>
      </c>
      <c r="Q164">
        <v>37.1</v>
      </c>
      <c r="R164">
        <v>3</v>
      </c>
      <c r="S164">
        <v>5.2499999999999998E-2</v>
      </c>
      <c r="T164">
        <v>5.5999999999999999E-3</v>
      </c>
      <c r="U164">
        <v>0.84770000000000001</v>
      </c>
      <c r="AH164">
        <v>913.44</v>
      </c>
      <c r="AI164">
        <v>18.02</v>
      </c>
      <c r="AJ164">
        <v>230.1</v>
      </c>
      <c r="AK164">
        <v>79.67</v>
      </c>
      <c r="AL164">
        <v>1241.23</v>
      </c>
      <c r="AM164">
        <v>0.33708896341643491</v>
      </c>
      <c r="AN164">
        <v>1872.39</v>
      </c>
      <c r="AO164">
        <v>631.16</v>
      </c>
      <c r="AP164">
        <v>0.33710000000000001</v>
      </c>
      <c r="AQ164">
        <v>0.66290000000000004</v>
      </c>
      <c r="AR164">
        <v>23044</v>
      </c>
      <c r="AS164">
        <v>1920</v>
      </c>
      <c r="AT164">
        <v>0.24679999999999999</v>
      </c>
      <c r="AU164">
        <v>19909</v>
      </c>
      <c r="AV164">
        <v>19909</v>
      </c>
      <c r="AW164">
        <v>20021</v>
      </c>
      <c r="AX164">
        <v>789</v>
      </c>
      <c r="AY164">
        <v>111.38</v>
      </c>
      <c r="AZ164">
        <v>0.84340000000000004</v>
      </c>
      <c r="BA164">
        <v>41.42</v>
      </c>
      <c r="BB164">
        <v>0.99439999999999995</v>
      </c>
      <c r="BC164">
        <v>0.8689492325855962</v>
      </c>
      <c r="BD164">
        <v>0.8498</v>
      </c>
      <c r="BE164">
        <v>0.73429999999999995</v>
      </c>
    </row>
    <row r="165" spans="1:57" x14ac:dyDescent="0.35">
      <c r="A165" t="s">
        <v>910</v>
      </c>
      <c r="B165" t="s">
        <v>911</v>
      </c>
      <c r="C165" t="s">
        <v>548</v>
      </c>
      <c r="D165" t="s">
        <v>556</v>
      </c>
      <c r="E165" t="s">
        <v>557</v>
      </c>
      <c r="F165" t="s">
        <v>123</v>
      </c>
      <c r="G165" t="s">
        <v>558</v>
      </c>
      <c r="H165">
        <v>1274</v>
      </c>
      <c r="I165">
        <v>0.15393716087607021</v>
      </c>
      <c r="J165">
        <v>1470</v>
      </c>
      <c r="K165">
        <v>8254</v>
      </c>
      <c r="L165">
        <v>980</v>
      </c>
      <c r="M165" t="s">
        <v>649</v>
      </c>
      <c r="N165">
        <v>3.41</v>
      </c>
      <c r="O165">
        <v>4.09</v>
      </c>
      <c r="P165">
        <v>20</v>
      </c>
      <c r="Q165">
        <v>11.1</v>
      </c>
      <c r="R165">
        <v>2</v>
      </c>
      <c r="S165">
        <v>7.3899999999999993E-2</v>
      </c>
      <c r="T165">
        <v>8.8999999999999999E-3</v>
      </c>
      <c r="U165">
        <v>0.92349999999999999</v>
      </c>
      <c r="AH165">
        <v>313.02999999999997</v>
      </c>
      <c r="AI165">
        <v>31.33</v>
      </c>
      <c r="AJ165">
        <v>64.8</v>
      </c>
      <c r="AK165">
        <v>20.96</v>
      </c>
      <c r="AL165">
        <v>430.12</v>
      </c>
      <c r="AM165">
        <v>0.25980265031242927</v>
      </c>
      <c r="AN165">
        <v>581.09</v>
      </c>
      <c r="AO165">
        <v>150.97</v>
      </c>
      <c r="AP165">
        <v>0.25979999999999998</v>
      </c>
      <c r="AQ165">
        <v>0.74019999999999997</v>
      </c>
      <c r="AR165">
        <v>41410</v>
      </c>
      <c r="AS165">
        <v>3451</v>
      </c>
      <c r="AT165">
        <v>0.1449</v>
      </c>
      <c r="AU165">
        <v>34136</v>
      </c>
      <c r="AV165">
        <v>34136</v>
      </c>
      <c r="AW165">
        <v>34443</v>
      </c>
      <c r="AX165">
        <v>952</v>
      </c>
      <c r="AY165">
        <v>64.89</v>
      </c>
      <c r="AZ165">
        <v>0.85880000000000001</v>
      </c>
      <c r="BA165">
        <v>70.349999999999994</v>
      </c>
      <c r="BB165">
        <v>0.99109999999999998</v>
      </c>
      <c r="BC165">
        <v>0.83374083129584353</v>
      </c>
      <c r="BD165">
        <v>0.84340000000000004</v>
      </c>
      <c r="BE165">
        <v>0.69689999999999996</v>
      </c>
    </row>
    <row r="166" spans="1:57" x14ac:dyDescent="0.35">
      <c r="A166" t="s">
        <v>912</v>
      </c>
      <c r="B166" t="s">
        <v>913</v>
      </c>
      <c r="C166" t="s">
        <v>562</v>
      </c>
      <c r="D166" t="s">
        <v>556</v>
      </c>
      <c r="E166" t="s">
        <v>557</v>
      </c>
      <c r="F166" t="s">
        <v>123</v>
      </c>
      <c r="G166" t="s">
        <v>551</v>
      </c>
      <c r="H166">
        <v>719</v>
      </c>
      <c r="I166">
        <v>7.0199429872331159E-3</v>
      </c>
      <c r="J166">
        <v>724</v>
      </c>
      <c r="K166">
        <v>8513</v>
      </c>
      <c r="L166">
        <v>2988</v>
      </c>
      <c r="M166" t="s">
        <v>714</v>
      </c>
      <c r="N166">
        <v>4.21</v>
      </c>
      <c r="O166">
        <v>4.5599999999999996</v>
      </c>
      <c r="P166">
        <v>47.7</v>
      </c>
      <c r="Q166">
        <v>40.6</v>
      </c>
      <c r="R166">
        <v>2</v>
      </c>
      <c r="S166">
        <v>6.7400000000000002E-2</v>
      </c>
      <c r="T166">
        <v>7.7000000000000002E-3</v>
      </c>
      <c r="U166">
        <v>0.9708</v>
      </c>
      <c r="AH166">
        <v>649.17999999999995</v>
      </c>
      <c r="AI166">
        <v>28.98</v>
      </c>
      <c r="AJ166">
        <v>128.66</v>
      </c>
      <c r="AK166">
        <v>56.91</v>
      </c>
      <c r="AL166">
        <v>863.73</v>
      </c>
      <c r="AM166">
        <v>0.30263668875385608</v>
      </c>
      <c r="AN166">
        <v>1238.57</v>
      </c>
      <c r="AO166">
        <v>374.84</v>
      </c>
      <c r="AP166">
        <v>0.30259999999999998</v>
      </c>
      <c r="AQ166">
        <v>0.69740000000000002</v>
      </c>
      <c r="AR166">
        <v>91413</v>
      </c>
      <c r="AS166">
        <v>7618</v>
      </c>
      <c r="AT166">
        <v>0.21179999999999999</v>
      </c>
      <c r="AU166">
        <v>85888</v>
      </c>
      <c r="AV166">
        <v>85888</v>
      </c>
      <c r="AW166">
        <v>86554</v>
      </c>
      <c r="AX166">
        <v>18139</v>
      </c>
      <c r="AY166">
        <v>1378.56</v>
      </c>
      <c r="AZ166">
        <v>0.82769999999999999</v>
      </c>
      <c r="BA166">
        <v>1222.57</v>
      </c>
      <c r="BB166">
        <v>0.99229999999999996</v>
      </c>
      <c r="BC166">
        <v>0.92324561403508776</v>
      </c>
      <c r="BD166">
        <v>0.89029999999999987</v>
      </c>
      <c r="BE166">
        <v>0.81559999999999999</v>
      </c>
    </row>
    <row r="167" spans="1:57" x14ac:dyDescent="0.35">
      <c r="A167" t="s">
        <v>914</v>
      </c>
      <c r="B167" t="s">
        <v>915</v>
      </c>
      <c r="C167" t="s">
        <v>562</v>
      </c>
      <c r="D167" t="s">
        <v>556</v>
      </c>
      <c r="E167" t="s">
        <v>550</v>
      </c>
      <c r="F167" t="s">
        <v>123</v>
      </c>
      <c r="G167" t="s">
        <v>558</v>
      </c>
      <c r="H167">
        <v>653</v>
      </c>
      <c r="I167">
        <v>1.3911249452318071E-2</v>
      </c>
      <c r="J167">
        <v>662</v>
      </c>
      <c r="K167">
        <v>808</v>
      </c>
      <c r="L167">
        <v>133</v>
      </c>
      <c r="M167" t="s">
        <v>629</v>
      </c>
      <c r="N167">
        <v>1.41</v>
      </c>
      <c r="O167">
        <v>1.61</v>
      </c>
      <c r="P167">
        <v>61.6</v>
      </c>
      <c r="Q167">
        <v>39.5</v>
      </c>
      <c r="R167">
        <v>3</v>
      </c>
      <c r="S167">
        <v>0.42220000000000002</v>
      </c>
      <c r="T167">
        <v>1.21E-2</v>
      </c>
      <c r="U167">
        <v>0.84819999999999995</v>
      </c>
      <c r="AH167">
        <v>1280.1199999999999</v>
      </c>
      <c r="AI167">
        <v>139.5</v>
      </c>
      <c r="AJ167">
        <v>40.380000000000003</v>
      </c>
      <c r="AK167">
        <v>152.01</v>
      </c>
      <c r="AL167">
        <v>1612.01</v>
      </c>
      <c r="AM167">
        <v>0.19009135152993581</v>
      </c>
      <c r="AN167">
        <v>1990.36</v>
      </c>
      <c r="AO167">
        <v>378.35</v>
      </c>
      <c r="AP167">
        <v>0.19009999999999999</v>
      </c>
      <c r="AQ167">
        <v>0.80989999999999995</v>
      </c>
      <c r="AR167">
        <v>6181</v>
      </c>
      <c r="AS167">
        <v>515</v>
      </c>
      <c r="AT167">
        <v>0.13819999999999999</v>
      </c>
      <c r="AU167">
        <v>5506</v>
      </c>
      <c r="AV167">
        <v>5506</v>
      </c>
      <c r="AW167">
        <v>5573</v>
      </c>
      <c r="AX167">
        <v>3411</v>
      </c>
      <c r="AY167">
        <v>91.53</v>
      </c>
      <c r="AZ167">
        <v>0.83360000000000001</v>
      </c>
      <c r="BA167">
        <v>1440.12</v>
      </c>
      <c r="BB167">
        <v>0.9879</v>
      </c>
      <c r="BC167">
        <v>0.87577639751552783</v>
      </c>
      <c r="BD167">
        <v>0.88049999999999995</v>
      </c>
      <c r="BE167">
        <v>0.76180000000000003</v>
      </c>
    </row>
    <row r="168" spans="1:57" x14ac:dyDescent="0.35">
      <c r="A168" t="s">
        <v>916</v>
      </c>
      <c r="B168" t="s">
        <v>917</v>
      </c>
      <c r="C168" t="s">
        <v>606</v>
      </c>
      <c r="D168" t="s">
        <v>549</v>
      </c>
      <c r="E168" t="s">
        <v>551</v>
      </c>
      <c r="F168" t="s">
        <v>123</v>
      </c>
      <c r="G168" t="s">
        <v>558</v>
      </c>
      <c r="H168">
        <v>341</v>
      </c>
      <c r="I168">
        <v>-1.175404979285934E-2</v>
      </c>
      <c r="J168">
        <v>337</v>
      </c>
      <c r="K168">
        <v>2675</v>
      </c>
      <c r="L168">
        <v>450</v>
      </c>
      <c r="M168" t="s">
        <v>596</v>
      </c>
      <c r="N168">
        <v>9.93</v>
      </c>
      <c r="O168">
        <v>11.65</v>
      </c>
      <c r="P168">
        <v>33.700000000000003</v>
      </c>
      <c r="Q168">
        <v>52.9</v>
      </c>
      <c r="R168">
        <v>2</v>
      </c>
      <c r="S168">
        <v>8.9800000000000005E-2</v>
      </c>
      <c r="T168">
        <v>7.9000000000000008E-3</v>
      </c>
      <c r="U168">
        <v>0.94610000000000005</v>
      </c>
      <c r="AH168">
        <v>922.22</v>
      </c>
      <c r="AI168">
        <v>28.04</v>
      </c>
      <c r="AJ168">
        <v>304.04000000000002</v>
      </c>
      <c r="AK168">
        <v>108.19</v>
      </c>
      <c r="AL168">
        <v>1362.49</v>
      </c>
      <c r="AM168">
        <v>0.31841135436872692</v>
      </c>
      <c r="AN168">
        <v>1998.99</v>
      </c>
      <c r="AO168">
        <v>636.5</v>
      </c>
      <c r="AP168">
        <v>0.31840000000000002</v>
      </c>
      <c r="AQ168">
        <v>0.68159999999999998</v>
      </c>
      <c r="AR168">
        <v>20581</v>
      </c>
      <c r="AS168">
        <v>1715</v>
      </c>
      <c r="AT168">
        <v>0.1867</v>
      </c>
      <c r="AU168">
        <v>18356</v>
      </c>
      <c r="AV168">
        <v>18356</v>
      </c>
      <c r="AW168">
        <v>18502</v>
      </c>
      <c r="AX168">
        <v>853</v>
      </c>
      <c r="AY168">
        <v>165.62</v>
      </c>
      <c r="AZ168">
        <v>0.94630000000000003</v>
      </c>
      <c r="BA168">
        <v>76.599999999999994</v>
      </c>
      <c r="BB168">
        <v>0.99209999999999998</v>
      </c>
      <c r="BC168">
        <v>0.85236051502145915</v>
      </c>
      <c r="BD168">
        <v>0.87060000000000004</v>
      </c>
      <c r="BE168">
        <v>0.73619999999999997</v>
      </c>
    </row>
    <row r="169" spans="1:57" x14ac:dyDescent="0.35">
      <c r="A169" t="s">
        <v>918</v>
      </c>
      <c r="B169" t="s">
        <v>919</v>
      </c>
      <c r="C169" t="s">
        <v>573</v>
      </c>
      <c r="D169" t="s">
        <v>556</v>
      </c>
      <c r="E169" t="s">
        <v>551</v>
      </c>
      <c r="F169" t="s">
        <v>123</v>
      </c>
      <c r="G169" t="s">
        <v>566</v>
      </c>
      <c r="H169">
        <v>918</v>
      </c>
      <c r="I169">
        <v>0.1017735090221952</v>
      </c>
      <c r="J169">
        <v>1011</v>
      </c>
      <c r="K169">
        <v>5518</v>
      </c>
      <c r="L169">
        <v>823</v>
      </c>
      <c r="M169" t="s">
        <v>601</v>
      </c>
      <c r="N169">
        <v>6.12</v>
      </c>
      <c r="O169">
        <v>7.26</v>
      </c>
      <c r="P169">
        <v>48.7</v>
      </c>
      <c r="Q169">
        <v>36.1</v>
      </c>
      <c r="R169">
        <v>3</v>
      </c>
      <c r="S169">
        <v>0.15179999999999999</v>
      </c>
      <c r="T169">
        <v>1.32E-2</v>
      </c>
      <c r="U169">
        <v>0.81</v>
      </c>
      <c r="AH169">
        <v>645.15</v>
      </c>
      <c r="AI169">
        <v>69.239999999999995</v>
      </c>
      <c r="AJ169">
        <v>75.209999999999994</v>
      </c>
      <c r="AK169">
        <v>58.72</v>
      </c>
      <c r="AL169">
        <v>848.32</v>
      </c>
      <c r="AM169">
        <v>0.19481331393482021</v>
      </c>
      <c r="AN169">
        <v>1053.57</v>
      </c>
      <c r="AO169">
        <v>205.25</v>
      </c>
      <c r="AP169">
        <v>0.1948</v>
      </c>
      <c r="AQ169">
        <v>0.80520000000000003</v>
      </c>
      <c r="AR169">
        <v>49782</v>
      </c>
      <c r="AS169">
        <v>4148</v>
      </c>
      <c r="AT169">
        <v>0.11260000000000001</v>
      </c>
      <c r="AU169">
        <v>45087</v>
      </c>
      <c r="AV169">
        <v>45087</v>
      </c>
      <c r="AW169">
        <v>45690</v>
      </c>
      <c r="AX169">
        <v>1511</v>
      </c>
      <c r="AY169">
        <v>182.83</v>
      </c>
      <c r="AZ169">
        <v>0.85140000000000005</v>
      </c>
      <c r="BA169">
        <v>229.37</v>
      </c>
      <c r="BB169">
        <v>0.98680000000000001</v>
      </c>
      <c r="BC169">
        <v>0.84297520661157033</v>
      </c>
      <c r="BD169">
        <v>0.86569999999999991</v>
      </c>
      <c r="BE169">
        <v>0.72009999999999996</v>
      </c>
    </row>
    <row r="170" spans="1:57" x14ac:dyDescent="0.35">
      <c r="A170" t="s">
        <v>920</v>
      </c>
      <c r="B170" t="s">
        <v>921</v>
      </c>
      <c r="C170" t="s">
        <v>555</v>
      </c>
      <c r="D170" t="s">
        <v>556</v>
      </c>
      <c r="E170" t="s">
        <v>551</v>
      </c>
      <c r="F170" t="s">
        <v>123</v>
      </c>
      <c r="G170" t="s">
        <v>551</v>
      </c>
      <c r="H170">
        <v>390</v>
      </c>
      <c r="I170">
        <v>9.9261729223922915E-2</v>
      </c>
      <c r="J170">
        <v>429</v>
      </c>
      <c r="K170">
        <v>2651</v>
      </c>
      <c r="L170">
        <v>351</v>
      </c>
      <c r="M170" t="s">
        <v>677</v>
      </c>
      <c r="N170">
        <v>13.86</v>
      </c>
      <c r="O170">
        <v>15.97</v>
      </c>
      <c r="P170">
        <v>60.2</v>
      </c>
      <c r="Q170">
        <v>53.6</v>
      </c>
      <c r="R170">
        <v>2</v>
      </c>
      <c r="S170">
        <v>6.2600000000000003E-2</v>
      </c>
      <c r="T170">
        <v>1.14E-2</v>
      </c>
      <c r="U170">
        <v>0.89690000000000003</v>
      </c>
      <c r="AH170">
        <v>582.42999999999995</v>
      </c>
      <c r="AI170">
        <v>24.54</v>
      </c>
      <c r="AJ170">
        <v>467.22</v>
      </c>
      <c r="AK170">
        <v>81.66</v>
      </c>
      <c r="AL170">
        <v>1155.8499999999999</v>
      </c>
      <c r="AM170">
        <v>0.3234873976275392</v>
      </c>
      <c r="AN170">
        <v>1708.54</v>
      </c>
      <c r="AO170">
        <v>552.69000000000005</v>
      </c>
      <c r="AP170">
        <v>0.32350000000000001</v>
      </c>
      <c r="AQ170">
        <v>0.67649999999999999</v>
      </c>
      <c r="AR170">
        <v>35173</v>
      </c>
      <c r="AS170">
        <v>2931</v>
      </c>
      <c r="AT170">
        <v>0.1048</v>
      </c>
      <c r="AU170">
        <v>32873</v>
      </c>
      <c r="AV170">
        <v>32873</v>
      </c>
      <c r="AW170">
        <v>33252</v>
      </c>
      <c r="AX170">
        <v>1802</v>
      </c>
      <c r="AY170">
        <v>479.63</v>
      </c>
      <c r="AZ170">
        <v>0.88029999999999997</v>
      </c>
      <c r="BA170">
        <v>112.81</v>
      </c>
      <c r="BB170">
        <v>0.98860000000000003</v>
      </c>
      <c r="BC170">
        <v>0.86787726988102687</v>
      </c>
      <c r="BD170">
        <v>0.86950000000000005</v>
      </c>
      <c r="BE170">
        <v>0.746</v>
      </c>
    </row>
    <row r="171" spans="1:57" x14ac:dyDescent="0.35">
      <c r="A171" t="s">
        <v>922</v>
      </c>
      <c r="B171" t="s">
        <v>923</v>
      </c>
      <c r="C171" t="s">
        <v>562</v>
      </c>
      <c r="D171" t="s">
        <v>556</v>
      </c>
      <c r="E171" t="s">
        <v>551</v>
      </c>
      <c r="F171" t="s">
        <v>123</v>
      </c>
      <c r="G171" t="s">
        <v>628</v>
      </c>
      <c r="H171">
        <v>801</v>
      </c>
      <c r="I171">
        <v>-2.3972587653958419E-2</v>
      </c>
      <c r="J171">
        <v>782</v>
      </c>
      <c r="K171">
        <v>5505</v>
      </c>
      <c r="L171">
        <v>564</v>
      </c>
      <c r="M171" t="s">
        <v>567</v>
      </c>
      <c r="N171">
        <v>0.77</v>
      </c>
      <c r="O171">
        <v>0.83</v>
      </c>
      <c r="P171">
        <v>69</v>
      </c>
      <c r="Q171">
        <v>44.6</v>
      </c>
      <c r="R171">
        <v>3</v>
      </c>
      <c r="S171">
        <v>0.16930000000000001</v>
      </c>
      <c r="T171">
        <v>2.47E-2</v>
      </c>
      <c r="U171">
        <v>0.81269999999999998</v>
      </c>
      <c r="AH171">
        <v>516.30999999999995</v>
      </c>
      <c r="AI171">
        <v>52.76</v>
      </c>
      <c r="AJ171">
        <v>20.36</v>
      </c>
      <c r="AK171">
        <v>29.53</v>
      </c>
      <c r="AL171">
        <v>618.96</v>
      </c>
      <c r="AM171">
        <v>0.20739954018849219</v>
      </c>
      <c r="AN171">
        <v>780.92</v>
      </c>
      <c r="AO171">
        <v>161.96</v>
      </c>
      <c r="AP171">
        <v>0.2074</v>
      </c>
      <c r="AQ171">
        <v>0.79259999999999997</v>
      </c>
      <c r="AR171">
        <v>27997</v>
      </c>
      <c r="AS171">
        <v>2333</v>
      </c>
      <c r="AT171">
        <v>0.23949999999999999</v>
      </c>
      <c r="AU171">
        <v>23056</v>
      </c>
      <c r="AV171">
        <v>23056</v>
      </c>
      <c r="AW171">
        <v>23640</v>
      </c>
      <c r="AX171">
        <v>6865</v>
      </c>
      <c r="AY171">
        <v>94.97</v>
      </c>
      <c r="AZ171">
        <v>0.91639999999999999</v>
      </c>
      <c r="BA171">
        <v>1162.24</v>
      </c>
      <c r="BB171">
        <v>0.97530000000000006</v>
      </c>
      <c r="BC171">
        <v>0.92771084337349408</v>
      </c>
      <c r="BD171">
        <v>0.90759999999999996</v>
      </c>
      <c r="BE171">
        <v>0.82120000000000004</v>
      </c>
    </row>
    <row r="172" spans="1:57" x14ac:dyDescent="0.35">
      <c r="A172" t="s">
        <v>924</v>
      </c>
      <c r="B172" t="s">
        <v>925</v>
      </c>
      <c r="C172" t="s">
        <v>562</v>
      </c>
      <c r="D172" t="s">
        <v>556</v>
      </c>
      <c r="E172" t="s">
        <v>557</v>
      </c>
      <c r="F172" t="s">
        <v>123</v>
      </c>
      <c r="G172" t="s">
        <v>628</v>
      </c>
      <c r="H172">
        <v>486</v>
      </c>
      <c r="I172">
        <v>5.0296978509745668E-2</v>
      </c>
      <c r="J172">
        <v>510</v>
      </c>
      <c r="K172">
        <v>15466</v>
      </c>
      <c r="L172">
        <v>1743</v>
      </c>
      <c r="M172" t="s">
        <v>567</v>
      </c>
      <c r="N172">
        <v>2.72</v>
      </c>
      <c r="O172">
        <v>2.95</v>
      </c>
      <c r="P172">
        <v>22.9</v>
      </c>
      <c r="Q172">
        <v>28</v>
      </c>
      <c r="R172">
        <v>2</v>
      </c>
      <c r="S172">
        <v>7.9200000000000007E-2</v>
      </c>
      <c r="T172">
        <v>3.3E-3</v>
      </c>
      <c r="U172">
        <v>0.96809999999999996</v>
      </c>
      <c r="AH172">
        <v>844.5</v>
      </c>
      <c r="AI172">
        <v>39.520000000000003</v>
      </c>
      <c r="AJ172">
        <v>47.48</v>
      </c>
      <c r="AK172">
        <v>66.12</v>
      </c>
      <c r="AL172">
        <v>997.62</v>
      </c>
      <c r="AM172">
        <v>0.17938782503755499</v>
      </c>
      <c r="AN172">
        <v>1215.7</v>
      </c>
      <c r="AO172">
        <v>218.08</v>
      </c>
      <c r="AP172">
        <v>0.1794</v>
      </c>
      <c r="AQ172">
        <v>0.8206</v>
      </c>
      <c r="AR172">
        <v>86889</v>
      </c>
      <c r="AS172">
        <v>7241</v>
      </c>
      <c r="AT172">
        <v>0.23599999999999999</v>
      </c>
      <c r="AU172">
        <v>73166</v>
      </c>
      <c r="AV172">
        <v>73166</v>
      </c>
      <c r="AW172">
        <v>73408</v>
      </c>
      <c r="AX172">
        <v>21317</v>
      </c>
      <c r="AY172">
        <v>1048.0899999999999</v>
      </c>
      <c r="AZ172">
        <v>0.91639999999999999</v>
      </c>
      <c r="BA172">
        <v>1688.31</v>
      </c>
      <c r="BB172">
        <v>0.99670000000000003</v>
      </c>
      <c r="BC172">
        <v>0.92203389830508475</v>
      </c>
      <c r="BD172">
        <v>0.90759999999999996</v>
      </c>
      <c r="BE172">
        <v>0.83409999999999995</v>
      </c>
    </row>
    <row r="173" spans="1:57" x14ac:dyDescent="0.35">
      <c r="A173" t="s">
        <v>926</v>
      </c>
      <c r="B173" t="s">
        <v>927</v>
      </c>
      <c r="C173" t="s">
        <v>555</v>
      </c>
      <c r="D173" t="s">
        <v>549</v>
      </c>
      <c r="E173" t="s">
        <v>551</v>
      </c>
      <c r="F173" t="s">
        <v>123</v>
      </c>
      <c r="G173" t="s">
        <v>558</v>
      </c>
      <c r="H173">
        <v>927</v>
      </c>
      <c r="I173">
        <v>8.4280204776082529E-3</v>
      </c>
      <c r="J173">
        <v>935</v>
      </c>
      <c r="K173">
        <v>2763</v>
      </c>
      <c r="L173">
        <v>676</v>
      </c>
      <c r="M173" t="s">
        <v>735</v>
      </c>
      <c r="N173">
        <v>5.29</v>
      </c>
      <c r="O173">
        <v>5.47</v>
      </c>
      <c r="P173">
        <v>72.900000000000006</v>
      </c>
      <c r="Q173">
        <v>58.9</v>
      </c>
      <c r="R173">
        <v>2</v>
      </c>
      <c r="S173">
        <v>0.19470000000000001</v>
      </c>
      <c r="T173">
        <v>6.6E-3</v>
      </c>
      <c r="U173">
        <v>0.93789999999999996</v>
      </c>
      <c r="AH173">
        <v>331.81</v>
      </c>
      <c r="AI173">
        <v>60.66</v>
      </c>
      <c r="AJ173">
        <v>145.44</v>
      </c>
      <c r="AK173">
        <v>51.24</v>
      </c>
      <c r="AL173">
        <v>589.15</v>
      </c>
      <c r="AM173">
        <v>0.19132112253573941</v>
      </c>
      <c r="AN173">
        <v>728.53</v>
      </c>
      <c r="AO173">
        <v>139.38</v>
      </c>
      <c r="AP173">
        <v>0.1913</v>
      </c>
      <c r="AQ173">
        <v>0.80869999999999997</v>
      </c>
      <c r="AR173">
        <v>22148</v>
      </c>
      <c r="AS173">
        <v>1846</v>
      </c>
      <c r="AT173">
        <v>0.23089999999999999</v>
      </c>
      <c r="AU173">
        <v>20061</v>
      </c>
      <c r="AV173">
        <v>20061</v>
      </c>
      <c r="AW173">
        <v>20194</v>
      </c>
      <c r="AX173">
        <v>1485</v>
      </c>
      <c r="AY173">
        <v>135.38</v>
      </c>
      <c r="AZ173">
        <v>0.89449999999999996</v>
      </c>
      <c r="BA173">
        <v>289.13</v>
      </c>
      <c r="BB173">
        <v>0.99339999999999995</v>
      </c>
      <c r="BC173">
        <v>0.96709323583180995</v>
      </c>
      <c r="BD173">
        <v>0.87180000000000002</v>
      </c>
      <c r="BE173">
        <v>0.83750000000000002</v>
      </c>
    </row>
    <row r="174" spans="1:57" x14ac:dyDescent="0.35">
      <c r="A174" t="s">
        <v>928</v>
      </c>
      <c r="B174" t="s">
        <v>929</v>
      </c>
      <c r="C174" t="s">
        <v>573</v>
      </c>
      <c r="D174" t="s">
        <v>549</v>
      </c>
      <c r="E174" t="s">
        <v>551</v>
      </c>
      <c r="F174" t="s">
        <v>123</v>
      </c>
      <c r="G174" t="s">
        <v>566</v>
      </c>
      <c r="H174">
        <v>1337</v>
      </c>
      <c r="I174">
        <v>-3.6915281053372932E-2</v>
      </c>
      <c r="J174">
        <v>1288</v>
      </c>
      <c r="K174">
        <v>4741</v>
      </c>
      <c r="L174">
        <v>762</v>
      </c>
      <c r="M174" t="s">
        <v>590</v>
      </c>
      <c r="N174">
        <v>6.15</v>
      </c>
      <c r="O174">
        <v>7.13</v>
      </c>
      <c r="P174">
        <v>42.1</v>
      </c>
      <c r="Q174">
        <v>20.399999999999999</v>
      </c>
      <c r="R174">
        <v>2</v>
      </c>
      <c r="S174">
        <v>9.4899999999999998E-2</v>
      </c>
      <c r="T174">
        <v>3.2000000000000002E-3</v>
      </c>
      <c r="U174">
        <v>0.91839999999999999</v>
      </c>
      <c r="AH174">
        <v>1288.8</v>
      </c>
      <c r="AI174">
        <v>41.66</v>
      </c>
      <c r="AJ174">
        <v>111.44</v>
      </c>
      <c r="AK174">
        <v>170.42</v>
      </c>
      <c r="AL174">
        <v>1612.32</v>
      </c>
      <c r="AM174">
        <v>0.15049803380476759</v>
      </c>
      <c r="AN174">
        <v>1897.96</v>
      </c>
      <c r="AO174">
        <v>285.64</v>
      </c>
      <c r="AP174">
        <v>0.15049999999999999</v>
      </c>
      <c r="AQ174">
        <v>0.84950000000000003</v>
      </c>
      <c r="AR174">
        <v>33748</v>
      </c>
      <c r="AS174">
        <v>2812</v>
      </c>
      <c r="AT174">
        <v>0.18629999999999999</v>
      </c>
      <c r="AU174">
        <v>29769</v>
      </c>
      <c r="AV174">
        <v>29769</v>
      </c>
      <c r="AW174">
        <v>29865</v>
      </c>
      <c r="AX174">
        <v>1177</v>
      </c>
      <c r="AY174">
        <v>139.87</v>
      </c>
      <c r="AZ174">
        <v>0.84340000000000004</v>
      </c>
      <c r="BA174">
        <v>111.7</v>
      </c>
      <c r="BB174">
        <v>0.99680000000000002</v>
      </c>
      <c r="BC174">
        <v>0.86255259467040679</v>
      </c>
      <c r="BD174">
        <v>0.8498</v>
      </c>
      <c r="BE174">
        <v>0.73070000000000002</v>
      </c>
    </row>
    <row r="175" spans="1:57" x14ac:dyDescent="0.35">
      <c r="A175" t="s">
        <v>930</v>
      </c>
      <c r="B175" t="s">
        <v>931</v>
      </c>
      <c r="C175" t="s">
        <v>555</v>
      </c>
      <c r="D175" t="s">
        <v>549</v>
      </c>
      <c r="E175" t="s">
        <v>551</v>
      </c>
      <c r="F175" t="s">
        <v>123</v>
      </c>
      <c r="G175" t="s">
        <v>566</v>
      </c>
      <c r="H175">
        <v>941</v>
      </c>
      <c r="I175">
        <v>0.18940632112634501</v>
      </c>
      <c r="J175">
        <v>1119</v>
      </c>
      <c r="K175">
        <v>2440</v>
      </c>
      <c r="L175">
        <v>798</v>
      </c>
      <c r="M175" t="s">
        <v>649</v>
      </c>
      <c r="N175">
        <v>7.4</v>
      </c>
      <c r="O175">
        <v>7.68</v>
      </c>
      <c r="P175">
        <v>34.5</v>
      </c>
      <c r="Q175">
        <v>35</v>
      </c>
      <c r="R175">
        <v>3</v>
      </c>
      <c r="S175">
        <v>8.2000000000000003E-2</v>
      </c>
      <c r="T175">
        <v>1.6400000000000001E-2</v>
      </c>
      <c r="U175">
        <v>0.94830000000000003</v>
      </c>
      <c r="AH175">
        <v>1247.22</v>
      </c>
      <c r="AI175">
        <v>40.729999999999997</v>
      </c>
      <c r="AJ175">
        <v>210.85</v>
      </c>
      <c r="AK175">
        <v>163.81</v>
      </c>
      <c r="AL175">
        <v>1662.61</v>
      </c>
      <c r="AM175">
        <v>0.32968490446338261</v>
      </c>
      <c r="AN175">
        <v>2480.34</v>
      </c>
      <c r="AO175">
        <v>817.73</v>
      </c>
      <c r="AP175">
        <v>0.32969999999999999</v>
      </c>
      <c r="AQ175">
        <v>0.67030000000000001</v>
      </c>
      <c r="AR175">
        <v>29022</v>
      </c>
      <c r="AS175">
        <v>2418</v>
      </c>
      <c r="AT175">
        <v>0.21740000000000001</v>
      </c>
      <c r="AU175">
        <v>27380</v>
      </c>
      <c r="AV175">
        <v>27380</v>
      </c>
      <c r="AW175">
        <v>27837</v>
      </c>
      <c r="AX175">
        <v>769</v>
      </c>
      <c r="AY175">
        <v>98.43</v>
      </c>
      <c r="AZ175">
        <v>0.85880000000000001</v>
      </c>
      <c r="BA175">
        <v>63.06</v>
      </c>
      <c r="BB175">
        <v>0.98360000000000003</v>
      </c>
      <c r="BC175">
        <v>0.96354166666666674</v>
      </c>
      <c r="BD175">
        <v>0.84340000000000004</v>
      </c>
      <c r="BE175">
        <v>0.79930000000000001</v>
      </c>
    </row>
    <row r="176" spans="1:57" x14ac:dyDescent="0.35">
      <c r="A176" t="s">
        <v>932</v>
      </c>
      <c r="B176" t="s">
        <v>933</v>
      </c>
      <c r="C176" t="s">
        <v>606</v>
      </c>
      <c r="D176" t="s">
        <v>556</v>
      </c>
      <c r="E176" t="s">
        <v>551</v>
      </c>
      <c r="F176" t="s">
        <v>123</v>
      </c>
      <c r="G176" t="s">
        <v>628</v>
      </c>
      <c r="H176">
        <v>1411</v>
      </c>
      <c r="I176">
        <v>-4.9690830060147642E-2</v>
      </c>
      <c r="J176">
        <v>1341</v>
      </c>
      <c r="K176">
        <v>4607</v>
      </c>
      <c r="L176">
        <v>270</v>
      </c>
      <c r="M176" t="s">
        <v>617</v>
      </c>
      <c r="N176">
        <v>7.36</v>
      </c>
      <c r="O176">
        <v>8.66</v>
      </c>
      <c r="P176">
        <v>79.2</v>
      </c>
      <c r="Q176">
        <v>20.3</v>
      </c>
      <c r="R176">
        <v>2</v>
      </c>
      <c r="S176">
        <v>0.1724</v>
      </c>
      <c r="T176">
        <v>3.3E-3</v>
      </c>
      <c r="U176">
        <v>0.91659999999999997</v>
      </c>
      <c r="AH176">
        <v>917.41</v>
      </c>
      <c r="AI176">
        <v>59.97</v>
      </c>
      <c r="AJ176">
        <v>106.1</v>
      </c>
      <c r="AK176">
        <v>55.96</v>
      </c>
      <c r="AL176">
        <v>1139.44</v>
      </c>
      <c r="AM176">
        <v>0.33310026226459483</v>
      </c>
      <c r="AN176">
        <v>1708.56</v>
      </c>
      <c r="AO176">
        <v>569.12</v>
      </c>
      <c r="AP176">
        <v>0.33310000000000001</v>
      </c>
      <c r="AQ176">
        <v>0.66690000000000005</v>
      </c>
      <c r="AR176">
        <v>35013</v>
      </c>
      <c r="AS176">
        <v>2918</v>
      </c>
      <c r="AT176">
        <v>9.1700000000000004E-2</v>
      </c>
      <c r="AU176">
        <v>30676</v>
      </c>
      <c r="AV176">
        <v>30676</v>
      </c>
      <c r="AW176">
        <v>30778</v>
      </c>
      <c r="AX176">
        <v>4280</v>
      </c>
      <c r="AY176">
        <v>617.75</v>
      </c>
      <c r="AZ176">
        <v>0.88039999999999996</v>
      </c>
      <c r="BA176">
        <v>737.87</v>
      </c>
      <c r="BB176">
        <v>0.99670000000000003</v>
      </c>
      <c r="BC176">
        <v>0.84988452655889146</v>
      </c>
      <c r="BD176">
        <v>0.9052</v>
      </c>
      <c r="BE176">
        <v>0.76680000000000004</v>
      </c>
    </row>
    <row r="177" spans="1:57" x14ac:dyDescent="0.35">
      <c r="A177" t="s">
        <v>934</v>
      </c>
      <c r="B177" t="s">
        <v>935</v>
      </c>
      <c r="C177" t="s">
        <v>573</v>
      </c>
      <c r="D177" t="s">
        <v>556</v>
      </c>
      <c r="E177" t="s">
        <v>551</v>
      </c>
      <c r="F177" t="s">
        <v>123</v>
      </c>
      <c r="G177" t="s">
        <v>566</v>
      </c>
      <c r="H177">
        <v>217</v>
      </c>
      <c r="I177">
        <v>0.19812087553959379</v>
      </c>
      <c r="J177">
        <v>260</v>
      </c>
      <c r="K177">
        <v>8281</v>
      </c>
      <c r="L177">
        <v>871</v>
      </c>
      <c r="M177" t="s">
        <v>625</v>
      </c>
      <c r="N177">
        <v>1.59</v>
      </c>
      <c r="O177">
        <v>1.67</v>
      </c>
      <c r="P177">
        <v>57.4</v>
      </c>
      <c r="Q177">
        <v>33.200000000000003</v>
      </c>
      <c r="R177">
        <v>2</v>
      </c>
      <c r="S177">
        <v>8.9099999999999999E-2</v>
      </c>
      <c r="T177">
        <v>2.12E-2</v>
      </c>
      <c r="U177">
        <v>0.97440000000000004</v>
      </c>
      <c r="AH177">
        <v>1135.26</v>
      </c>
      <c r="AI177">
        <v>29.26</v>
      </c>
      <c r="AJ177">
        <v>40.200000000000003</v>
      </c>
      <c r="AK177">
        <v>136.01</v>
      </c>
      <c r="AL177">
        <v>1340.73</v>
      </c>
      <c r="AM177">
        <v>0.27873333747831491</v>
      </c>
      <c r="AN177">
        <v>1858.85</v>
      </c>
      <c r="AO177">
        <v>518.12</v>
      </c>
      <c r="AP177">
        <v>0.2787</v>
      </c>
      <c r="AQ177">
        <v>0.72130000000000005</v>
      </c>
      <c r="AR177">
        <v>53687</v>
      </c>
      <c r="AS177">
        <v>4474</v>
      </c>
      <c r="AT177">
        <v>0.13689999999999999</v>
      </c>
      <c r="AU177">
        <v>46277</v>
      </c>
      <c r="AV177">
        <v>46277</v>
      </c>
      <c r="AW177">
        <v>47279</v>
      </c>
      <c r="AX177">
        <v>13422</v>
      </c>
      <c r="AY177">
        <v>373.58</v>
      </c>
      <c r="AZ177">
        <v>0.91749999999999998</v>
      </c>
      <c r="BA177">
        <v>1195.9000000000001</v>
      </c>
      <c r="BB177">
        <v>0.9788</v>
      </c>
      <c r="BC177">
        <v>0.9520958083832336</v>
      </c>
      <c r="BD177">
        <v>0.88009999999999988</v>
      </c>
      <c r="BE177">
        <v>0.82020000000000004</v>
      </c>
    </row>
    <row r="178" spans="1:57" x14ac:dyDescent="0.35">
      <c r="A178" t="s">
        <v>936</v>
      </c>
      <c r="B178" t="s">
        <v>937</v>
      </c>
      <c r="C178" t="s">
        <v>562</v>
      </c>
      <c r="D178" t="s">
        <v>549</v>
      </c>
      <c r="E178" t="s">
        <v>551</v>
      </c>
      <c r="F178" t="s">
        <v>123</v>
      </c>
      <c r="G178" t="s">
        <v>551</v>
      </c>
      <c r="H178">
        <v>2766</v>
      </c>
      <c r="I178">
        <v>0.1661715480083851</v>
      </c>
      <c r="J178">
        <v>3226</v>
      </c>
      <c r="K178">
        <v>3931</v>
      </c>
      <c r="L178">
        <v>589</v>
      </c>
      <c r="M178" t="s">
        <v>735</v>
      </c>
      <c r="N178">
        <v>3.64</v>
      </c>
      <c r="O178">
        <v>3.86</v>
      </c>
      <c r="P178">
        <v>33.1</v>
      </c>
      <c r="Q178">
        <v>38</v>
      </c>
      <c r="R178">
        <v>2</v>
      </c>
      <c r="S178">
        <v>0.1013</v>
      </c>
      <c r="T178">
        <v>1.72E-2</v>
      </c>
      <c r="U178">
        <v>0.92849999999999999</v>
      </c>
      <c r="AH178">
        <v>441.69</v>
      </c>
      <c r="AI178">
        <v>32.85</v>
      </c>
      <c r="AJ178">
        <v>80.34</v>
      </c>
      <c r="AK178">
        <v>58.17</v>
      </c>
      <c r="AL178">
        <v>613.04999999999995</v>
      </c>
      <c r="AM178">
        <v>0.19034070026384589</v>
      </c>
      <c r="AN178">
        <v>757.17</v>
      </c>
      <c r="AO178">
        <v>144.12</v>
      </c>
      <c r="AP178">
        <v>0.1903</v>
      </c>
      <c r="AQ178">
        <v>0.80969999999999998</v>
      </c>
      <c r="AR178">
        <v>30886</v>
      </c>
      <c r="AS178">
        <v>2574</v>
      </c>
      <c r="AT178">
        <v>0.1333</v>
      </c>
      <c r="AU178">
        <v>27544</v>
      </c>
      <c r="AV178">
        <v>27544</v>
      </c>
      <c r="AW178">
        <v>28026</v>
      </c>
      <c r="AX178">
        <v>2061</v>
      </c>
      <c r="AY178">
        <v>132.59</v>
      </c>
      <c r="AZ178">
        <v>0.89449999999999996</v>
      </c>
      <c r="BA178">
        <v>208.78</v>
      </c>
      <c r="BB178">
        <v>0.98280000000000001</v>
      </c>
      <c r="BC178">
        <v>0.94300518134715028</v>
      </c>
      <c r="BD178">
        <v>0.87180000000000002</v>
      </c>
      <c r="BE178">
        <v>0.80800000000000005</v>
      </c>
    </row>
    <row r="179" spans="1:57" x14ac:dyDescent="0.35">
      <c r="A179" t="s">
        <v>938</v>
      </c>
      <c r="B179" t="s">
        <v>939</v>
      </c>
      <c r="C179" t="s">
        <v>562</v>
      </c>
      <c r="D179" t="s">
        <v>556</v>
      </c>
      <c r="E179" t="s">
        <v>557</v>
      </c>
      <c r="F179" t="s">
        <v>123</v>
      </c>
      <c r="G179" t="s">
        <v>566</v>
      </c>
      <c r="H179">
        <v>1248</v>
      </c>
      <c r="I179">
        <v>4.0034101867879771E-2</v>
      </c>
      <c r="J179">
        <v>1298</v>
      </c>
      <c r="K179">
        <v>6947</v>
      </c>
      <c r="L179">
        <v>791</v>
      </c>
      <c r="M179" t="s">
        <v>625</v>
      </c>
      <c r="N179">
        <v>1.45</v>
      </c>
      <c r="O179">
        <v>1.61</v>
      </c>
      <c r="P179">
        <v>26.5</v>
      </c>
      <c r="Q179">
        <v>22.3</v>
      </c>
      <c r="R179">
        <v>2</v>
      </c>
      <c r="S179">
        <v>3.9300000000000002E-2</v>
      </c>
      <c r="T179">
        <v>1.41E-2</v>
      </c>
      <c r="U179">
        <v>0.96640000000000004</v>
      </c>
      <c r="AH179">
        <v>164.87</v>
      </c>
      <c r="AI179">
        <v>14.17</v>
      </c>
      <c r="AJ179">
        <v>19.21</v>
      </c>
      <c r="AK179">
        <v>20.74</v>
      </c>
      <c r="AL179">
        <v>218.99</v>
      </c>
      <c r="AM179">
        <v>0.1708885843776724</v>
      </c>
      <c r="AN179">
        <v>264.13</v>
      </c>
      <c r="AO179">
        <v>45.14</v>
      </c>
      <c r="AP179">
        <v>0.1709</v>
      </c>
      <c r="AQ179">
        <v>0.82909999999999995</v>
      </c>
      <c r="AR179">
        <v>34992</v>
      </c>
      <c r="AS179">
        <v>2916</v>
      </c>
      <c r="AT179">
        <v>0.18809999999999999</v>
      </c>
      <c r="AU179">
        <v>28836</v>
      </c>
      <c r="AV179">
        <v>28836</v>
      </c>
      <c r="AW179">
        <v>29248</v>
      </c>
      <c r="AX179">
        <v>8303</v>
      </c>
      <c r="AY179">
        <v>222.8</v>
      </c>
      <c r="AZ179">
        <v>0.91749999999999998</v>
      </c>
      <c r="BA179">
        <v>326.31</v>
      </c>
      <c r="BB179">
        <v>0.9859</v>
      </c>
      <c r="BC179">
        <v>0.90062111801242228</v>
      </c>
      <c r="BD179">
        <v>0.88009999999999988</v>
      </c>
      <c r="BE179">
        <v>0.78149999999999997</v>
      </c>
    </row>
    <row r="180" spans="1:57" x14ac:dyDescent="0.35">
      <c r="A180" t="s">
        <v>940</v>
      </c>
      <c r="B180" t="s">
        <v>941</v>
      </c>
      <c r="C180" t="s">
        <v>573</v>
      </c>
      <c r="D180" t="s">
        <v>556</v>
      </c>
      <c r="E180" t="s">
        <v>557</v>
      </c>
      <c r="F180" t="s">
        <v>123</v>
      </c>
      <c r="G180" t="s">
        <v>551</v>
      </c>
      <c r="H180">
        <v>695</v>
      </c>
      <c r="I180">
        <v>0.168334165430962</v>
      </c>
      <c r="J180">
        <v>812</v>
      </c>
      <c r="K180">
        <v>4529</v>
      </c>
      <c r="L180">
        <v>648</v>
      </c>
      <c r="M180" t="s">
        <v>590</v>
      </c>
      <c r="N180">
        <v>2.52</v>
      </c>
      <c r="O180">
        <v>2.91</v>
      </c>
      <c r="P180">
        <v>46.8</v>
      </c>
      <c r="Q180">
        <v>28.3</v>
      </c>
      <c r="R180">
        <v>2</v>
      </c>
      <c r="S180">
        <v>3.9100000000000003E-2</v>
      </c>
      <c r="T180">
        <v>1.49E-2</v>
      </c>
      <c r="U180">
        <v>0.8931</v>
      </c>
      <c r="AH180">
        <v>696.13</v>
      </c>
      <c r="AI180">
        <v>12.52</v>
      </c>
      <c r="AJ180">
        <v>43.18</v>
      </c>
      <c r="AK180">
        <v>61.7</v>
      </c>
      <c r="AL180">
        <v>813.53</v>
      </c>
      <c r="AM180">
        <v>0.15478224160932169</v>
      </c>
      <c r="AN180">
        <v>962.51</v>
      </c>
      <c r="AO180">
        <v>148.97999999999999</v>
      </c>
      <c r="AP180">
        <v>0.15479999999999999</v>
      </c>
      <c r="AQ180">
        <v>0.84519999999999995</v>
      </c>
      <c r="AR180">
        <v>31961</v>
      </c>
      <c r="AS180">
        <v>2663</v>
      </c>
      <c r="AT180">
        <v>0.14050000000000001</v>
      </c>
      <c r="AU180">
        <v>28080</v>
      </c>
      <c r="AV180">
        <v>28080</v>
      </c>
      <c r="AW180">
        <v>28505</v>
      </c>
      <c r="AX180">
        <v>1123</v>
      </c>
      <c r="AY180">
        <v>54.47</v>
      </c>
      <c r="AZ180">
        <v>0.84340000000000004</v>
      </c>
      <c r="BA180">
        <v>43.91</v>
      </c>
      <c r="BB180">
        <v>0.98509999999999998</v>
      </c>
      <c r="BC180">
        <v>0.86597938144329889</v>
      </c>
      <c r="BD180">
        <v>0.8498</v>
      </c>
      <c r="BE180">
        <v>0.72489999999999999</v>
      </c>
    </row>
    <row r="181" spans="1:57" x14ac:dyDescent="0.35">
      <c r="A181" t="s">
        <v>942</v>
      </c>
      <c r="B181" t="s">
        <v>943</v>
      </c>
      <c r="C181" t="s">
        <v>606</v>
      </c>
      <c r="D181" t="s">
        <v>556</v>
      </c>
      <c r="E181" t="s">
        <v>551</v>
      </c>
      <c r="F181" t="s">
        <v>123</v>
      </c>
      <c r="G181" t="s">
        <v>551</v>
      </c>
      <c r="H181">
        <v>1060</v>
      </c>
      <c r="I181">
        <v>-2.090840052863098E-2</v>
      </c>
      <c r="J181">
        <v>1038</v>
      </c>
      <c r="K181">
        <v>2286</v>
      </c>
      <c r="L181">
        <v>234</v>
      </c>
      <c r="M181" t="s">
        <v>563</v>
      </c>
      <c r="N181">
        <v>3.29</v>
      </c>
      <c r="O181">
        <v>3.47</v>
      </c>
      <c r="P181">
        <v>37.5</v>
      </c>
      <c r="Q181">
        <v>58.5</v>
      </c>
      <c r="R181">
        <v>2</v>
      </c>
      <c r="S181">
        <v>0.18590000000000001</v>
      </c>
      <c r="T181">
        <v>5.8999999999999999E-3</v>
      </c>
      <c r="U181">
        <v>0.82110000000000005</v>
      </c>
      <c r="AH181">
        <v>753.2</v>
      </c>
      <c r="AI181">
        <v>81.5</v>
      </c>
      <c r="AJ181">
        <v>35.56</v>
      </c>
      <c r="AK181">
        <v>67.760000000000005</v>
      </c>
      <c r="AL181">
        <v>938.02</v>
      </c>
      <c r="AM181">
        <v>0.1914370442413052</v>
      </c>
      <c r="AN181">
        <v>1160.1099999999999</v>
      </c>
      <c r="AO181">
        <v>222.09</v>
      </c>
      <c r="AP181">
        <v>0.19139999999999999</v>
      </c>
      <c r="AQ181">
        <v>0.80859999999999999</v>
      </c>
      <c r="AR181">
        <v>21638</v>
      </c>
      <c r="AS181">
        <v>1803</v>
      </c>
      <c r="AT181">
        <v>0.1052</v>
      </c>
      <c r="AU181">
        <v>19586</v>
      </c>
      <c r="AV181">
        <v>19586</v>
      </c>
      <c r="AW181">
        <v>19702</v>
      </c>
      <c r="AX181">
        <v>1631</v>
      </c>
      <c r="AY181">
        <v>94.33</v>
      </c>
      <c r="AZ181">
        <v>0.92459999999999998</v>
      </c>
      <c r="BA181">
        <v>303.2</v>
      </c>
      <c r="BB181">
        <v>0.99409999999999998</v>
      </c>
      <c r="BC181">
        <v>0.94812680115273773</v>
      </c>
      <c r="BD181">
        <v>0.83379999999999999</v>
      </c>
      <c r="BE181">
        <v>0.78590000000000004</v>
      </c>
    </row>
    <row r="182" spans="1:57" x14ac:dyDescent="0.35">
      <c r="A182" t="s">
        <v>944</v>
      </c>
      <c r="B182" t="s">
        <v>945</v>
      </c>
      <c r="C182" t="s">
        <v>555</v>
      </c>
      <c r="D182" t="s">
        <v>549</v>
      </c>
      <c r="E182" t="s">
        <v>550</v>
      </c>
      <c r="F182" t="s">
        <v>123</v>
      </c>
      <c r="G182" t="s">
        <v>558</v>
      </c>
      <c r="H182">
        <v>113</v>
      </c>
      <c r="I182">
        <v>-2.9770179237186958E-2</v>
      </c>
      <c r="J182">
        <v>110</v>
      </c>
      <c r="K182">
        <v>3659</v>
      </c>
      <c r="L182">
        <v>605</v>
      </c>
      <c r="M182" t="s">
        <v>552</v>
      </c>
      <c r="N182">
        <v>6.52</v>
      </c>
      <c r="O182">
        <v>7.2</v>
      </c>
      <c r="P182">
        <v>92.7</v>
      </c>
      <c r="Q182">
        <v>76</v>
      </c>
      <c r="R182">
        <v>5</v>
      </c>
      <c r="S182">
        <v>0.42830000000000001</v>
      </c>
      <c r="T182">
        <v>7.4999999999999997E-3</v>
      </c>
      <c r="U182">
        <v>0.89510000000000001</v>
      </c>
      <c r="AH182">
        <v>1649.22</v>
      </c>
      <c r="AI182">
        <v>133.83000000000001</v>
      </c>
      <c r="AJ182">
        <v>139.5</v>
      </c>
      <c r="AK182">
        <v>136.88999999999999</v>
      </c>
      <c r="AL182">
        <v>2059.44</v>
      </c>
      <c r="AM182">
        <v>0.37271388374578668</v>
      </c>
      <c r="AN182">
        <v>3283.1</v>
      </c>
      <c r="AO182">
        <v>1223.6600000000001</v>
      </c>
      <c r="AP182">
        <v>0.37269999999999998</v>
      </c>
      <c r="AQ182">
        <v>0.62729999999999997</v>
      </c>
      <c r="AR182">
        <v>22065</v>
      </c>
      <c r="AS182">
        <v>1839</v>
      </c>
      <c r="AT182">
        <v>0.18140000000000001</v>
      </c>
      <c r="AU182">
        <v>19011</v>
      </c>
      <c r="AV182">
        <v>19011</v>
      </c>
      <c r="AW182">
        <v>19155</v>
      </c>
      <c r="AX182">
        <v>4487</v>
      </c>
      <c r="AY182">
        <v>538.44000000000005</v>
      </c>
      <c r="AZ182">
        <v>0.84030000000000005</v>
      </c>
      <c r="BA182">
        <v>1921.78</v>
      </c>
      <c r="BB182">
        <v>0.99250000000000005</v>
      </c>
      <c r="BC182">
        <v>0.90555555555555545</v>
      </c>
      <c r="BD182">
        <v>0.85919999999999996</v>
      </c>
      <c r="BE182">
        <v>0.7722</v>
      </c>
    </row>
    <row r="183" spans="1:57" x14ac:dyDescent="0.35">
      <c r="A183" t="s">
        <v>946</v>
      </c>
      <c r="B183" t="s">
        <v>947</v>
      </c>
      <c r="C183" t="s">
        <v>548</v>
      </c>
      <c r="D183" t="s">
        <v>549</v>
      </c>
      <c r="E183" t="s">
        <v>557</v>
      </c>
      <c r="F183" t="s">
        <v>123</v>
      </c>
      <c r="G183" t="s">
        <v>558</v>
      </c>
      <c r="H183">
        <v>1036</v>
      </c>
      <c r="I183">
        <v>9.3790837624156229E-2</v>
      </c>
      <c r="J183">
        <v>1133</v>
      </c>
      <c r="K183">
        <v>6480</v>
      </c>
      <c r="L183">
        <v>2479</v>
      </c>
      <c r="M183" t="s">
        <v>649</v>
      </c>
      <c r="N183">
        <v>2.09</v>
      </c>
      <c r="O183">
        <v>2.3199999999999998</v>
      </c>
      <c r="P183">
        <v>18.600000000000001</v>
      </c>
      <c r="Q183">
        <v>11.6</v>
      </c>
      <c r="R183">
        <v>1</v>
      </c>
      <c r="S183">
        <v>1.1299999999999999E-2</v>
      </c>
      <c r="T183">
        <v>9.2999999999999992E-3</v>
      </c>
      <c r="U183">
        <v>0.82279999999999998</v>
      </c>
      <c r="AH183">
        <v>627.11</v>
      </c>
      <c r="AI183">
        <v>4.54</v>
      </c>
      <c r="AJ183">
        <v>37.18</v>
      </c>
      <c r="AK183">
        <v>36.520000000000003</v>
      </c>
      <c r="AL183">
        <v>705.35</v>
      </c>
      <c r="AM183">
        <v>0.21038421042542041</v>
      </c>
      <c r="AN183">
        <v>893.28</v>
      </c>
      <c r="AO183">
        <v>187.93</v>
      </c>
      <c r="AP183">
        <v>0.2104</v>
      </c>
      <c r="AQ183">
        <v>0.78959999999999997</v>
      </c>
      <c r="AR183">
        <v>85755</v>
      </c>
      <c r="AS183">
        <v>7146</v>
      </c>
      <c r="AT183">
        <v>0.21840000000000001</v>
      </c>
      <c r="AU183">
        <v>81754</v>
      </c>
      <c r="AV183">
        <v>81754</v>
      </c>
      <c r="AW183">
        <v>82521</v>
      </c>
      <c r="AX183">
        <v>2281</v>
      </c>
      <c r="AY183">
        <v>88.2</v>
      </c>
      <c r="AZ183">
        <v>0.85880000000000001</v>
      </c>
      <c r="BA183">
        <v>25.78</v>
      </c>
      <c r="BB183">
        <v>0.99070000000000003</v>
      </c>
      <c r="BC183">
        <v>0.90086206896551724</v>
      </c>
      <c r="BD183">
        <v>0.84340000000000004</v>
      </c>
      <c r="BE183">
        <v>0.75270000000000004</v>
      </c>
    </row>
    <row r="184" spans="1:57" x14ac:dyDescent="0.35">
      <c r="A184" t="s">
        <v>948</v>
      </c>
      <c r="B184" t="s">
        <v>949</v>
      </c>
      <c r="C184" t="s">
        <v>555</v>
      </c>
      <c r="D184" t="s">
        <v>549</v>
      </c>
      <c r="E184" t="s">
        <v>557</v>
      </c>
      <c r="F184" t="s">
        <v>123</v>
      </c>
      <c r="G184" t="s">
        <v>558</v>
      </c>
      <c r="H184">
        <v>486</v>
      </c>
      <c r="I184">
        <v>0.18819938190032359</v>
      </c>
      <c r="J184">
        <v>577</v>
      </c>
      <c r="K184">
        <v>4658</v>
      </c>
      <c r="L184">
        <v>633</v>
      </c>
      <c r="M184" t="s">
        <v>632</v>
      </c>
      <c r="N184">
        <v>1.92</v>
      </c>
      <c r="O184">
        <v>2.0499999999999998</v>
      </c>
      <c r="P184">
        <v>15.9</v>
      </c>
      <c r="Q184">
        <v>16.600000000000001</v>
      </c>
      <c r="R184">
        <v>2</v>
      </c>
      <c r="S184">
        <v>1.4E-2</v>
      </c>
      <c r="T184">
        <v>1.9599999999999999E-2</v>
      </c>
      <c r="U184">
        <v>0.90659999999999996</v>
      </c>
      <c r="AH184">
        <v>479.06</v>
      </c>
      <c r="AI184">
        <v>6.99</v>
      </c>
      <c r="AJ184">
        <v>45.03</v>
      </c>
      <c r="AK184">
        <v>35.04</v>
      </c>
      <c r="AL184">
        <v>566.12</v>
      </c>
      <c r="AM184">
        <v>0.23856783180430391</v>
      </c>
      <c r="AN184">
        <v>743.49</v>
      </c>
      <c r="AO184">
        <v>177.37</v>
      </c>
      <c r="AP184">
        <v>0.23860000000000001</v>
      </c>
      <c r="AQ184">
        <v>0.76139999999999997</v>
      </c>
      <c r="AR184">
        <v>43255</v>
      </c>
      <c r="AS184">
        <v>3605</v>
      </c>
      <c r="AT184">
        <v>0.14499999999999999</v>
      </c>
      <c r="AU184">
        <v>39230</v>
      </c>
      <c r="AV184">
        <v>39230</v>
      </c>
      <c r="AW184">
        <v>40014</v>
      </c>
      <c r="AX184">
        <v>2901</v>
      </c>
      <c r="AY184">
        <v>99.12</v>
      </c>
      <c r="AZ184">
        <v>0.96220000000000006</v>
      </c>
      <c r="BA184">
        <v>40.61</v>
      </c>
      <c r="BB184">
        <v>0.98040000000000005</v>
      </c>
      <c r="BC184">
        <v>0.93658536585365859</v>
      </c>
      <c r="BD184">
        <v>0.86359999999999992</v>
      </c>
      <c r="BE184">
        <v>0.79300000000000004</v>
      </c>
    </row>
    <row r="185" spans="1:57" x14ac:dyDescent="0.35">
      <c r="A185" t="s">
        <v>950</v>
      </c>
      <c r="B185" t="s">
        <v>951</v>
      </c>
      <c r="C185" t="s">
        <v>606</v>
      </c>
      <c r="D185" t="s">
        <v>556</v>
      </c>
      <c r="E185" t="s">
        <v>551</v>
      </c>
      <c r="F185" t="s">
        <v>123</v>
      </c>
      <c r="G185" t="s">
        <v>551</v>
      </c>
      <c r="H185">
        <v>672</v>
      </c>
      <c r="I185">
        <v>8.7382383973754238E-2</v>
      </c>
      <c r="J185">
        <v>731</v>
      </c>
      <c r="K185">
        <v>5930</v>
      </c>
      <c r="L185">
        <v>614</v>
      </c>
      <c r="M185" t="s">
        <v>563</v>
      </c>
      <c r="N185">
        <v>9.14</v>
      </c>
      <c r="O185">
        <v>9.59</v>
      </c>
      <c r="P185">
        <v>54.9</v>
      </c>
      <c r="Q185">
        <v>57.4</v>
      </c>
      <c r="R185">
        <v>4</v>
      </c>
      <c r="S185">
        <v>0.1371</v>
      </c>
      <c r="T185">
        <v>6.7999999999999996E-3</v>
      </c>
      <c r="U185">
        <v>0.88680000000000003</v>
      </c>
      <c r="AH185">
        <v>361.71</v>
      </c>
      <c r="AI185">
        <v>63.45</v>
      </c>
      <c r="AJ185">
        <v>152.91</v>
      </c>
      <c r="AK185">
        <v>38.880000000000003</v>
      </c>
      <c r="AL185">
        <v>616.95000000000005</v>
      </c>
      <c r="AM185">
        <v>0.17633637112033329</v>
      </c>
      <c r="AN185">
        <v>749.03</v>
      </c>
      <c r="AO185">
        <v>132.08000000000001</v>
      </c>
      <c r="AP185">
        <v>0.17630000000000001</v>
      </c>
      <c r="AQ185">
        <v>0.82369999999999999</v>
      </c>
      <c r="AR185">
        <v>58116</v>
      </c>
      <c r="AS185">
        <v>4843</v>
      </c>
      <c r="AT185">
        <v>0.10249999999999999</v>
      </c>
      <c r="AU185">
        <v>52800</v>
      </c>
      <c r="AV185">
        <v>52800</v>
      </c>
      <c r="AW185">
        <v>53161</v>
      </c>
      <c r="AX185">
        <v>4401</v>
      </c>
      <c r="AY185">
        <v>703.43</v>
      </c>
      <c r="AZ185">
        <v>0.92459999999999998</v>
      </c>
      <c r="BA185">
        <v>603.38</v>
      </c>
      <c r="BB185">
        <v>0.99319999999999997</v>
      </c>
      <c r="BC185">
        <v>0.9530761209593327</v>
      </c>
      <c r="BD185">
        <v>0.83379999999999999</v>
      </c>
      <c r="BE185">
        <v>0.7893</v>
      </c>
    </row>
    <row r="186" spans="1:57" x14ac:dyDescent="0.35">
      <c r="A186" t="s">
        <v>952</v>
      </c>
      <c r="B186" t="s">
        <v>953</v>
      </c>
      <c r="C186" t="s">
        <v>555</v>
      </c>
      <c r="D186" t="s">
        <v>556</v>
      </c>
      <c r="E186" t="s">
        <v>551</v>
      </c>
      <c r="F186" t="s">
        <v>123</v>
      </c>
      <c r="G186" t="s">
        <v>551</v>
      </c>
      <c r="H186">
        <v>1389</v>
      </c>
      <c r="I186">
        <v>-4.9916873469877651E-2</v>
      </c>
      <c r="J186">
        <v>1320</v>
      </c>
      <c r="K186">
        <v>5926</v>
      </c>
      <c r="L186">
        <v>794</v>
      </c>
      <c r="M186" t="s">
        <v>784</v>
      </c>
      <c r="N186">
        <v>5.62</v>
      </c>
      <c r="O186">
        <v>6.59</v>
      </c>
      <c r="P186">
        <v>57.4</v>
      </c>
      <c r="Q186">
        <v>31.6</v>
      </c>
      <c r="R186">
        <v>3</v>
      </c>
      <c r="S186">
        <v>8.6599999999999996E-2</v>
      </c>
      <c r="T186">
        <v>5.7999999999999996E-3</v>
      </c>
      <c r="U186">
        <v>0.91210000000000002</v>
      </c>
      <c r="AH186">
        <v>321.83999999999997</v>
      </c>
      <c r="AI186">
        <v>36.64</v>
      </c>
      <c r="AJ186">
        <v>105.43</v>
      </c>
      <c r="AK186">
        <v>38.909999999999997</v>
      </c>
      <c r="AL186">
        <v>502.82</v>
      </c>
      <c r="AM186">
        <v>0.20559032618704259</v>
      </c>
      <c r="AN186">
        <v>632.95000000000005</v>
      </c>
      <c r="AO186">
        <v>130.13</v>
      </c>
      <c r="AP186">
        <v>0.2056</v>
      </c>
      <c r="AQ186">
        <v>0.7944</v>
      </c>
      <c r="AR186">
        <v>51634</v>
      </c>
      <c r="AS186">
        <v>4303</v>
      </c>
      <c r="AT186">
        <v>0.1134</v>
      </c>
      <c r="AU186">
        <v>46502</v>
      </c>
      <c r="AV186">
        <v>46502</v>
      </c>
      <c r="AW186">
        <v>46773</v>
      </c>
      <c r="AX186">
        <v>3710</v>
      </c>
      <c r="AY186">
        <v>407.48</v>
      </c>
      <c r="AZ186">
        <v>0.83850000000000002</v>
      </c>
      <c r="BA186">
        <v>321.29000000000002</v>
      </c>
      <c r="BB186">
        <v>0.99419999999999997</v>
      </c>
      <c r="BC186">
        <v>0.85280728376327775</v>
      </c>
      <c r="BD186">
        <v>0.84520000000000006</v>
      </c>
      <c r="BE186">
        <v>0.71660000000000001</v>
      </c>
    </row>
    <row r="187" spans="1:57" x14ac:dyDescent="0.35">
      <c r="A187" t="s">
        <v>954</v>
      </c>
      <c r="B187" t="s">
        <v>955</v>
      </c>
      <c r="C187" t="s">
        <v>562</v>
      </c>
      <c r="D187" t="s">
        <v>556</v>
      </c>
      <c r="E187" t="s">
        <v>551</v>
      </c>
      <c r="F187" t="s">
        <v>123</v>
      </c>
      <c r="G187" t="s">
        <v>551</v>
      </c>
      <c r="H187">
        <v>1344</v>
      </c>
      <c r="I187">
        <v>-3.5459051123631062E-2</v>
      </c>
      <c r="J187">
        <v>1296</v>
      </c>
      <c r="K187">
        <v>5312</v>
      </c>
      <c r="L187">
        <v>583</v>
      </c>
      <c r="M187" t="s">
        <v>622</v>
      </c>
      <c r="N187">
        <v>3.63</v>
      </c>
      <c r="O187">
        <v>4.05</v>
      </c>
      <c r="P187">
        <v>63.7</v>
      </c>
      <c r="Q187">
        <v>24.5</v>
      </c>
      <c r="R187">
        <v>2</v>
      </c>
      <c r="S187">
        <v>0.1764</v>
      </c>
      <c r="T187">
        <v>2.4299999999999999E-2</v>
      </c>
      <c r="U187">
        <v>0.80179999999999996</v>
      </c>
      <c r="AH187">
        <v>322.48</v>
      </c>
      <c r="AI187">
        <v>63.72</v>
      </c>
      <c r="AJ187">
        <v>100.7</v>
      </c>
      <c r="AK187">
        <v>49.82</v>
      </c>
      <c r="AL187">
        <v>536.72</v>
      </c>
      <c r="AM187">
        <v>0.27980614269505127</v>
      </c>
      <c r="AN187">
        <v>745.24</v>
      </c>
      <c r="AO187">
        <v>208.52</v>
      </c>
      <c r="AP187">
        <v>0.27979999999999999</v>
      </c>
      <c r="AQ187">
        <v>0.72019999999999995</v>
      </c>
      <c r="AR187">
        <v>31755</v>
      </c>
      <c r="AS187">
        <v>2646</v>
      </c>
      <c r="AT187">
        <v>0.12039999999999999</v>
      </c>
      <c r="AU187">
        <v>27026</v>
      </c>
      <c r="AV187">
        <v>27026</v>
      </c>
      <c r="AW187">
        <v>27699</v>
      </c>
      <c r="AX187">
        <v>1462</v>
      </c>
      <c r="AY187">
        <v>98.68</v>
      </c>
      <c r="AZ187">
        <v>0.95799999999999996</v>
      </c>
      <c r="BA187">
        <v>257.89999999999998</v>
      </c>
      <c r="BB187">
        <v>0.97570000000000001</v>
      </c>
      <c r="BC187">
        <v>0.89629629629629626</v>
      </c>
      <c r="BD187">
        <v>0.8538</v>
      </c>
      <c r="BE187">
        <v>0.74670000000000003</v>
      </c>
    </row>
    <row r="188" spans="1:57" x14ac:dyDescent="0.35">
      <c r="A188" t="s">
        <v>956</v>
      </c>
      <c r="B188" t="s">
        <v>957</v>
      </c>
      <c r="C188" t="s">
        <v>548</v>
      </c>
      <c r="D188" t="s">
        <v>549</v>
      </c>
      <c r="E188" t="s">
        <v>550</v>
      </c>
      <c r="F188" t="s">
        <v>123</v>
      </c>
      <c r="G188" t="s">
        <v>566</v>
      </c>
      <c r="H188">
        <v>2352</v>
      </c>
      <c r="I188">
        <v>0.14567401018603729</v>
      </c>
      <c r="J188">
        <v>2695</v>
      </c>
      <c r="K188">
        <v>1786</v>
      </c>
      <c r="L188">
        <v>225</v>
      </c>
      <c r="M188" t="s">
        <v>632</v>
      </c>
      <c r="N188">
        <v>8.5299999999999994</v>
      </c>
      <c r="O188">
        <v>8.81</v>
      </c>
      <c r="P188">
        <v>90.7</v>
      </c>
      <c r="Q188">
        <v>64.099999999999994</v>
      </c>
      <c r="R188">
        <v>4</v>
      </c>
      <c r="S188">
        <v>0.12529999999999999</v>
      </c>
      <c r="T188">
        <v>3.5999999999999999E-3</v>
      </c>
      <c r="U188">
        <v>0.83509999999999995</v>
      </c>
      <c r="AH188">
        <v>766.7</v>
      </c>
      <c r="AI188">
        <v>53.22</v>
      </c>
      <c r="AJ188">
        <v>96.58</v>
      </c>
      <c r="AK188">
        <v>76.22</v>
      </c>
      <c r="AL188">
        <v>992.72</v>
      </c>
      <c r="AM188">
        <v>0.30193817077391322</v>
      </c>
      <c r="AN188">
        <v>1422.11</v>
      </c>
      <c r="AO188">
        <v>429.39</v>
      </c>
      <c r="AP188">
        <v>0.3019</v>
      </c>
      <c r="AQ188">
        <v>0.69810000000000005</v>
      </c>
      <c r="AR188">
        <v>14562</v>
      </c>
      <c r="AS188">
        <v>1214</v>
      </c>
      <c r="AT188">
        <v>0.13100000000000001</v>
      </c>
      <c r="AU188">
        <v>13001</v>
      </c>
      <c r="AV188">
        <v>13001</v>
      </c>
      <c r="AW188">
        <v>13048</v>
      </c>
      <c r="AX188">
        <v>946</v>
      </c>
      <c r="AY188">
        <v>138.9</v>
      </c>
      <c r="AZ188">
        <v>0.96220000000000006</v>
      </c>
      <c r="BA188">
        <v>118.53</v>
      </c>
      <c r="BB188">
        <v>0.99639999999999995</v>
      </c>
      <c r="BC188">
        <v>0.96821793416572066</v>
      </c>
      <c r="BD188">
        <v>0.86359999999999992</v>
      </c>
      <c r="BE188">
        <v>0.83309999999999995</v>
      </c>
    </row>
    <row r="189" spans="1:57" x14ac:dyDescent="0.35">
      <c r="A189" t="s">
        <v>958</v>
      </c>
      <c r="B189" t="s">
        <v>959</v>
      </c>
      <c r="C189" t="s">
        <v>548</v>
      </c>
      <c r="D189" t="s">
        <v>549</v>
      </c>
      <c r="E189" t="s">
        <v>551</v>
      </c>
      <c r="F189" t="s">
        <v>123</v>
      </c>
      <c r="G189" t="s">
        <v>551</v>
      </c>
      <c r="H189">
        <v>600</v>
      </c>
      <c r="I189">
        <v>0.1038048595577527</v>
      </c>
      <c r="J189">
        <v>662</v>
      </c>
      <c r="K189">
        <v>6323</v>
      </c>
      <c r="L189">
        <v>742</v>
      </c>
      <c r="M189" t="s">
        <v>622</v>
      </c>
      <c r="N189">
        <v>10.35</v>
      </c>
      <c r="O189">
        <v>12.07</v>
      </c>
      <c r="P189">
        <v>77.5</v>
      </c>
      <c r="Q189">
        <v>59.5</v>
      </c>
      <c r="R189">
        <v>3</v>
      </c>
      <c r="S189">
        <v>0.1598</v>
      </c>
      <c r="T189">
        <v>2.0500000000000001E-2</v>
      </c>
      <c r="U189">
        <v>0.88839999999999997</v>
      </c>
      <c r="AH189">
        <v>540.97</v>
      </c>
      <c r="AI189">
        <v>64.78</v>
      </c>
      <c r="AJ189">
        <v>338.66</v>
      </c>
      <c r="AK189">
        <v>51.04</v>
      </c>
      <c r="AL189">
        <v>995.45</v>
      </c>
      <c r="AM189">
        <v>0.21133807854155279</v>
      </c>
      <c r="AN189">
        <v>1262.2</v>
      </c>
      <c r="AO189">
        <v>266.75</v>
      </c>
      <c r="AP189">
        <v>0.21129999999999999</v>
      </c>
      <c r="AQ189">
        <v>0.78869999999999996</v>
      </c>
      <c r="AR189">
        <v>37394</v>
      </c>
      <c r="AS189">
        <v>3116</v>
      </c>
      <c r="AT189">
        <v>0.1893</v>
      </c>
      <c r="AU189">
        <v>31813</v>
      </c>
      <c r="AV189">
        <v>31813</v>
      </c>
      <c r="AW189">
        <v>32479</v>
      </c>
      <c r="AX189">
        <v>1714</v>
      </c>
      <c r="AY189">
        <v>344.8</v>
      </c>
      <c r="AZ189">
        <v>0.95799999999999996</v>
      </c>
      <c r="BA189">
        <v>273.89999999999998</v>
      </c>
      <c r="BB189">
        <v>0.97950000000000004</v>
      </c>
      <c r="BC189">
        <v>0.85749792874896436</v>
      </c>
      <c r="BD189">
        <v>0.8538</v>
      </c>
      <c r="BE189">
        <v>0.71709999999999996</v>
      </c>
    </row>
    <row r="190" spans="1:57" x14ac:dyDescent="0.35">
      <c r="A190" t="s">
        <v>960</v>
      </c>
      <c r="B190" t="s">
        <v>961</v>
      </c>
      <c r="C190" t="s">
        <v>562</v>
      </c>
      <c r="D190" t="s">
        <v>556</v>
      </c>
      <c r="E190" t="s">
        <v>551</v>
      </c>
      <c r="F190" t="s">
        <v>123</v>
      </c>
      <c r="G190" t="s">
        <v>566</v>
      </c>
      <c r="H190">
        <v>161</v>
      </c>
      <c r="I190">
        <v>0.1135189488429995</v>
      </c>
      <c r="J190">
        <v>179</v>
      </c>
      <c r="K190">
        <v>2355</v>
      </c>
      <c r="L190">
        <v>489</v>
      </c>
      <c r="M190" t="s">
        <v>587</v>
      </c>
      <c r="N190">
        <v>3.48</v>
      </c>
      <c r="O190">
        <v>4.16</v>
      </c>
      <c r="P190">
        <v>45.1</v>
      </c>
      <c r="Q190">
        <v>40.4</v>
      </c>
      <c r="R190">
        <v>4</v>
      </c>
      <c r="S190">
        <v>0.1041</v>
      </c>
      <c r="T190">
        <v>2.01E-2</v>
      </c>
      <c r="U190">
        <v>0.97109999999999996</v>
      </c>
      <c r="AH190">
        <v>699.22</v>
      </c>
      <c r="AI190">
        <v>40.1</v>
      </c>
      <c r="AJ190">
        <v>112.51</v>
      </c>
      <c r="AK190">
        <v>99.7</v>
      </c>
      <c r="AL190">
        <v>951.53</v>
      </c>
      <c r="AM190">
        <v>0.1644330398062793</v>
      </c>
      <c r="AN190">
        <v>1138.78</v>
      </c>
      <c r="AO190">
        <v>187.25</v>
      </c>
      <c r="AP190">
        <v>0.16439999999999999</v>
      </c>
      <c r="AQ190">
        <v>0.83560000000000001</v>
      </c>
      <c r="AR190">
        <v>17253</v>
      </c>
      <c r="AS190">
        <v>1438</v>
      </c>
      <c r="AT190">
        <v>0.1822</v>
      </c>
      <c r="AU190">
        <v>15387</v>
      </c>
      <c r="AV190">
        <v>15387</v>
      </c>
      <c r="AW190">
        <v>15703</v>
      </c>
      <c r="AX190">
        <v>2274</v>
      </c>
      <c r="AY190">
        <v>157.66</v>
      </c>
      <c r="AZ190">
        <v>0.92379999999999995</v>
      </c>
      <c r="BA190">
        <v>236.72</v>
      </c>
      <c r="BB190">
        <v>0.97989999999999999</v>
      </c>
      <c r="BC190">
        <v>0.83653846153846145</v>
      </c>
      <c r="BD190">
        <v>0.87459999999999993</v>
      </c>
      <c r="BE190">
        <v>0.71689999999999998</v>
      </c>
    </row>
    <row r="191" spans="1:57" x14ac:dyDescent="0.35">
      <c r="A191" t="s">
        <v>962</v>
      </c>
      <c r="B191" t="s">
        <v>963</v>
      </c>
      <c r="C191" t="s">
        <v>562</v>
      </c>
      <c r="D191" t="s">
        <v>556</v>
      </c>
      <c r="E191" t="s">
        <v>557</v>
      </c>
      <c r="F191" t="s">
        <v>123</v>
      </c>
      <c r="G191" t="s">
        <v>551</v>
      </c>
      <c r="H191">
        <v>282</v>
      </c>
      <c r="I191">
        <v>5.4038499544940367E-2</v>
      </c>
      <c r="J191">
        <v>297</v>
      </c>
      <c r="K191">
        <v>7489</v>
      </c>
      <c r="L191">
        <v>2039</v>
      </c>
      <c r="M191" t="s">
        <v>656</v>
      </c>
      <c r="N191">
        <v>5.21</v>
      </c>
      <c r="O191">
        <v>5.9</v>
      </c>
      <c r="P191">
        <v>55.9</v>
      </c>
      <c r="Q191">
        <v>37.5</v>
      </c>
      <c r="R191">
        <v>2</v>
      </c>
      <c r="S191">
        <v>5.4600000000000003E-2</v>
      </c>
      <c r="T191">
        <v>8.8000000000000005E-3</v>
      </c>
      <c r="U191">
        <v>0.86899999999999999</v>
      </c>
      <c r="AH191">
        <v>395.08</v>
      </c>
      <c r="AI191">
        <v>17.809999999999999</v>
      </c>
      <c r="AJ191">
        <v>137.80000000000001</v>
      </c>
      <c r="AK191">
        <v>63.87</v>
      </c>
      <c r="AL191">
        <v>614.55999999999995</v>
      </c>
      <c r="AM191">
        <v>0.24775821728184971</v>
      </c>
      <c r="AN191">
        <v>816.97</v>
      </c>
      <c r="AO191">
        <v>202.41</v>
      </c>
      <c r="AP191">
        <v>0.24779999999999999</v>
      </c>
      <c r="AQ191">
        <v>0.75219999999999998</v>
      </c>
      <c r="AR191">
        <v>73919</v>
      </c>
      <c r="AS191">
        <v>6160</v>
      </c>
      <c r="AT191">
        <v>0.1983</v>
      </c>
      <c r="AU191">
        <v>68469</v>
      </c>
      <c r="AV191">
        <v>68469</v>
      </c>
      <c r="AW191">
        <v>69077</v>
      </c>
      <c r="AX191">
        <v>4434</v>
      </c>
      <c r="AY191">
        <v>436.01</v>
      </c>
      <c r="AZ191">
        <v>0.87060000000000004</v>
      </c>
      <c r="BA191">
        <v>242.1</v>
      </c>
      <c r="BB191">
        <v>0.99119999999999997</v>
      </c>
      <c r="BC191">
        <v>0.88305084745762707</v>
      </c>
      <c r="BD191">
        <v>0.85910000000000009</v>
      </c>
      <c r="BE191">
        <v>0.752</v>
      </c>
    </row>
    <row r="192" spans="1:57" x14ac:dyDescent="0.35">
      <c r="A192" t="s">
        <v>964</v>
      </c>
      <c r="B192" t="s">
        <v>965</v>
      </c>
      <c r="C192" t="s">
        <v>548</v>
      </c>
      <c r="D192" t="s">
        <v>556</v>
      </c>
      <c r="E192" t="s">
        <v>551</v>
      </c>
      <c r="F192" t="s">
        <v>123</v>
      </c>
      <c r="G192" t="s">
        <v>566</v>
      </c>
      <c r="H192">
        <v>564</v>
      </c>
      <c r="I192">
        <v>3.0875098727868439E-2</v>
      </c>
      <c r="J192">
        <v>581</v>
      </c>
      <c r="K192">
        <v>2721</v>
      </c>
      <c r="L192">
        <v>271</v>
      </c>
      <c r="M192" t="s">
        <v>590</v>
      </c>
      <c r="N192">
        <v>3.58</v>
      </c>
      <c r="O192">
        <v>3.99</v>
      </c>
      <c r="P192">
        <v>59.2</v>
      </c>
      <c r="Q192">
        <v>57.8</v>
      </c>
      <c r="R192">
        <v>4</v>
      </c>
      <c r="S192">
        <v>6.9199999999999998E-2</v>
      </c>
      <c r="T192">
        <v>5.1000000000000004E-3</v>
      </c>
      <c r="U192">
        <v>0.87639999999999996</v>
      </c>
      <c r="AH192">
        <v>1071.06</v>
      </c>
      <c r="AI192">
        <v>33.03</v>
      </c>
      <c r="AJ192">
        <v>87.24</v>
      </c>
      <c r="AK192">
        <v>125.05</v>
      </c>
      <c r="AL192">
        <v>1316.38</v>
      </c>
      <c r="AM192">
        <v>0.2085508427315835</v>
      </c>
      <c r="AN192">
        <v>1663.25</v>
      </c>
      <c r="AO192">
        <v>346.87</v>
      </c>
      <c r="AP192">
        <v>0.20849999999999999</v>
      </c>
      <c r="AQ192">
        <v>0.79149999999999998</v>
      </c>
      <c r="AR192">
        <v>15864</v>
      </c>
      <c r="AS192">
        <v>1322</v>
      </c>
      <c r="AT192">
        <v>0.1416</v>
      </c>
      <c r="AU192">
        <v>13414</v>
      </c>
      <c r="AV192">
        <v>13414</v>
      </c>
      <c r="AW192">
        <v>13483</v>
      </c>
      <c r="AX192">
        <v>531</v>
      </c>
      <c r="AY192">
        <v>35.31</v>
      </c>
      <c r="AZ192">
        <v>0.84340000000000004</v>
      </c>
      <c r="BA192">
        <v>36.75</v>
      </c>
      <c r="BB192">
        <v>0.99490000000000001</v>
      </c>
      <c r="BC192">
        <v>0.89724310776942351</v>
      </c>
      <c r="BD192">
        <v>0.8498</v>
      </c>
      <c r="BE192">
        <v>0.75860000000000005</v>
      </c>
    </row>
    <row r="193" spans="1:57" x14ac:dyDescent="0.35">
      <c r="A193" t="s">
        <v>966</v>
      </c>
      <c r="B193" t="s">
        <v>967</v>
      </c>
      <c r="C193" t="s">
        <v>562</v>
      </c>
      <c r="D193" t="s">
        <v>556</v>
      </c>
      <c r="E193" t="s">
        <v>557</v>
      </c>
      <c r="F193" t="s">
        <v>123</v>
      </c>
      <c r="G193" t="s">
        <v>628</v>
      </c>
      <c r="H193">
        <v>996</v>
      </c>
      <c r="I193">
        <v>8.6989872243423236E-2</v>
      </c>
      <c r="J193">
        <v>1083</v>
      </c>
      <c r="K193">
        <v>3061</v>
      </c>
      <c r="L193">
        <v>974</v>
      </c>
      <c r="M193" t="s">
        <v>784</v>
      </c>
      <c r="N193">
        <v>5.91</v>
      </c>
      <c r="O193">
        <v>6.97</v>
      </c>
      <c r="P193">
        <v>17.600000000000001</v>
      </c>
      <c r="Q193">
        <v>42.6</v>
      </c>
      <c r="R193">
        <v>2</v>
      </c>
      <c r="S193">
        <v>4.7399999999999998E-2</v>
      </c>
      <c r="T193">
        <v>6.7000000000000002E-3</v>
      </c>
      <c r="U193">
        <v>0.92859999999999998</v>
      </c>
      <c r="AH193">
        <v>421.55</v>
      </c>
      <c r="AI193">
        <v>18.48</v>
      </c>
      <c r="AJ193">
        <v>194.09</v>
      </c>
      <c r="AK193">
        <v>75.709999999999994</v>
      </c>
      <c r="AL193">
        <v>709.83</v>
      </c>
      <c r="AM193">
        <v>0.20488848080745051</v>
      </c>
      <c r="AN193">
        <v>892.74</v>
      </c>
      <c r="AO193">
        <v>182.91</v>
      </c>
      <c r="AP193">
        <v>0.2049</v>
      </c>
      <c r="AQ193">
        <v>0.79510000000000003</v>
      </c>
      <c r="AR193">
        <v>35698</v>
      </c>
      <c r="AS193">
        <v>2975</v>
      </c>
      <c r="AT193">
        <v>0.22009999999999999</v>
      </c>
      <c r="AU193">
        <v>33611</v>
      </c>
      <c r="AV193">
        <v>33611</v>
      </c>
      <c r="AW193">
        <v>33838</v>
      </c>
      <c r="AX193">
        <v>2684</v>
      </c>
      <c r="AY193">
        <v>311.79000000000002</v>
      </c>
      <c r="AZ193">
        <v>0.83850000000000002</v>
      </c>
      <c r="BA193">
        <v>127.22</v>
      </c>
      <c r="BB193">
        <v>0.99329999999999996</v>
      </c>
      <c r="BC193">
        <v>0.847919655667145</v>
      </c>
      <c r="BD193">
        <v>0.84520000000000006</v>
      </c>
      <c r="BE193">
        <v>0.71189999999999998</v>
      </c>
    </row>
    <row r="194" spans="1:57" x14ac:dyDescent="0.35">
      <c r="A194" t="s">
        <v>968</v>
      </c>
      <c r="B194" t="s">
        <v>969</v>
      </c>
      <c r="C194" t="s">
        <v>573</v>
      </c>
      <c r="D194" t="s">
        <v>556</v>
      </c>
      <c r="E194" t="s">
        <v>551</v>
      </c>
      <c r="F194" t="s">
        <v>123</v>
      </c>
      <c r="G194" t="s">
        <v>566</v>
      </c>
      <c r="H194">
        <v>1263</v>
      </c>
      <c r="I194">
        <v>0.11292766197774209</v>
      </c>
      <c r="J194">
        <v>1406</v>
      </c>
      <c r="K194">
        <v>4620</v>
      </c>
      <c r="L194">
        <v>636</v>
      </c>
      <c r="M194" t="s">
        <v>714</v>
      </c>
      <c r="N194">
        <v>3.84</v>
      </c>
      <c r="O194">
        <v>4.58</v>
      </c>
      <c r="P194">
        <v>33</v>
      </c>
      <c r="Q194">
        <v>41.9</v>
      </c>
      <c r="R194">
        <v>2</v>
      </c>
      <c r="S194">
        <v>5.5199999999999999E-2</v>
      </c>
      <c r="T194">
        <v>1.7999999999999999E-2</v>
      </c>
      <c r="U194">
        <v>0.90869999999999995</v>
      </c>
      <c r="AH194">
        <v>1007.43</v>
      </c>
      <c r="AI194">
        <v>18.71</v>
      </c>
      <c r="AJ194">
        <v>62.78</v>
      </c>
      <c r="AK194">
        <v>95.95</v>
      </c>
      <c r="AL194">
        <v>1184.8699999999999</v>
      </c>
      <c r="AM194">
        <v>0.38996570067836378</v>
      </c>
      <c r="AN194">
        <v>1942.3</v>
      </c>
      <c r="AO194">
        <v>757.43</v>
      </c>
      <c r="AP194">
        <v>0.39</v>
      </c>
      <c r="AQ194">
        <v>0.61</v>
      </c>
      <c r="AR194">
        <v>55222</v>
      </c>
      <c r="AS194">
        <v>4602</v>
      </c>
      <c r="AT194">
        <v>0.1147</v>
      </c>
      <c r="AU194">
        <v>51238</v>
      </c>
      <c r="AV194">
        <v>51238</v>
      </c>
      <c r="AW194">
        <v>52177</v>
      </c>
      <c r="AX194">
        <v>10935</v>
      </c>
      <c r="AY194">
        <v>834.7</v>
      </c>
      <c r="AZ194">
        <v>0.82769999999999999</v>
      </c>
      <c r="BA194">
        <v>603.61</v>
      </c>
      <c r="BB194">
        <v>0.98199999999999998</v>
      </c>
      <c r="BC194">
        <v>0.83842794759825323</v>
      </c>
      <c r="BD194">
        <v>0.89029999999999987</v>
      </c>
      <c r="BE194">
        <v>0.73299999999999998</v>
      </c>
    </row>
    <row r="195" spans="1:57" x14ac:dyDescent="0.35">
      <c r="A195" t="s">
        <v>970</v>
      </c>
      <c r="B195" t="s">
        <v>971</v>
      </c>
      <c r="C195" t="s">
        <v>562</v>
      </c>
      <c r="D195" t="s">
        <v>549</v>
      </c>
      <c r="E195" t="s">
        <v>551</v>
      </c>
      <c r="F195" t="s">
        <v>123</v>
      </c>
      <c r="G195" t="s">
        <v>558</v>
      </c>
      <c r="H195">
        <v>1191</v>
      </c>
      <c r="I195">
        <v>0.14672584656382379</v>
      </c>
      <c r="J195">
        <v>1366</v>
      </c>
      <c r="K195">
        <v>3603</v>
      </c>
      <c r="L195">
        <v>621</v>
      </c>
      <c r="M195" t="s">
        <v>593</v>
      </c>
      <c r="N195">
        <v>5.39</v>
      </c>
      <c r="O195">
        <v>6.24</v>
      </c>
      <c r="P195">
        <v>83.4</v>
      </c>
      <c r="Q195">
        <v>30.5</v>
      </c>
      <c r="R195">
        <v>2</v>
      </c>
      <c r="S195">
        <v>0.1724</v>
      </c>
      <c r="T195">
        <v>1.6799999999999999E-2</v>
      </c>
      <c r="U195">
        <v>0.8538</v>
      </c>
      <c r="AH195">
        <v>1749.11</v>
      </c>
      <c r="AI195">
        <v>64.400000000000006</v>
      </c>
      <c r="AJ195">
        <v>72.260000000000005</v>
      </c>
      <c r="AK195">
        <v>221.38</v>
      </c>
      <c r="AL195">
        <v>2107.15</v>
      </c>
      <c r="AM195">
        <v>0.30407512148143101</v>
      </c>
      <c r="AN195">
        <v>3027.84</v>
      </c>
      <c r="AO195">
        <v>920.69</v>
      </c>
      <c r="AP195">
        <v>0.30409999999999998</v>
      </c>
      <c r="AQ195">
        <v>0.69589999999999996</v>
      </c>
      <c r="AR195">
        <v>28666</v>
      </c>
      <c r="AS195">
        <v>2389</v>
      </c>
      <c r="AT195">
        <v>0.15970000000000001</v>
      </c>
      <c r="AU195">
        <v>25684</v>
      </c>
      <c r="AV195">
        <v>25684</v>
      </c>
      <c r="AW195">
        <v>26123</v>
      </c>
      <c r="AX195">
        <v>3889</v>
      </c>
      <c r="AY195">
        <v>404.46</v>
      </c>
      <c r="AZ195">
        <v>0.85650000000000004</v>
      </c>
      <c r="BA195">
        <v>670.46</v>
      </c>
      <c r="BB195">
        <v>0.98319999999999996</v>
      </c>
      <c r="BC195">
        <v>0.86378205128205121</v>
      </c>
      <c r="BD195">
        <v>0.87629999999999997</v>
      </c>
      <c r="BE195">
        <v>0.74419999999999997</v>
      </c>
    </row>
    <row r="196" spans="1:57" x14ac:dyDescent="0.35">
      <c r="A196" t="s">
        <v>972</v>
      </c>
      <c r="B196" t="s">
        <v>973</v>
      </c>
      <c r="C196" t="s">
        <v>606</v>
      </c>
      <c r="D196" t="s">
        <v>556</v>
      </c>
      <c r="E196" t="s">
        <v>557</v>
      </c>
      <c r="F196" t="s">
        <v>123</v>
      </c>
      <c r="G196" t="s">
        <v>558</v>
      </c>
      <c r="H196">
        <v>2979</v>
      </c>
      <c r="I196">
        <v>0.1452926059467298</v>
      </c>
      <c r="J196">
        <v>3412</v>
      </c>
      <c r="K196">
        <v>5468</v>
      </c>
      <c r="L196">
        <v>1502</v>
      </c>
      <c r="M196" t="s">
        <v>609</v>
      </c>
      <c r="N196">
        <v>4.99</v>
      </c>
      <c r="O196">
        <v>5.52</v>
      </c>
      <c r="P196">
        <v>36.299999999999997</v>
      </c>
      <c r="Q196">
        <v>21.4</v>
      </c>
      <c r="R196">
        <v>1</v>
      </c>
      <c r="S196">
        <v>3.4099999999999998E-2</v>
      </c>
      <c r="T196">
        <v>0.02</v>
      </c>
      <c r="U196">
        <v>0.87390000000000001</v>
      </c>
      <c r="AH196">
        <v>409.34</v>
      </c>
      <c r="AI196">
        <v>13.05</v>
      </c>
      <c r="AJ196">
        <v>81.64</v>
      </c>
      <c r="AK196">
        <v>27.87</v>
      </c>
      <c r="AL196">
        <v>531.9</v>
      </c>
      <c r="AM196">
        <v>0.28921961079302388</v>
      </c>
      <c r="AN196">
        <v>748.33</v>
      </c>
      <c r="AO196">
        <v>216.43</v>
      </c>
      <c r="AP196">
        <v>0.28920000000000001</v>
      </c>
      <c r="AQ196">
        <v>0.71079999999999999</v>
      </c>
      <c r="AR196">
        <v>61349</v>
      </c>
      <c r="AS196">
        <v>5112</v>
      </c>
      <c r="AT196">
        <v>0.2162</v>
      </c>
      <c r="AU196">
        <v>57383</v>
      </c>
      <c r="AV196">
        <v>57383</v>
      </c>
      <c r="AW196">
        <v>58554</v>
      </c>
      <c r="AX196">
        <v>5805</v>
      </c>
      <c r="AY196">
        <v>534.05999999999995</v>
      </c>
      <c r="AZ196">
        <v>0.83089999999999997</v>
      </c>
      <c r="BA196">
        <v>197.95</v>
      </c>
      <c r="BB196">
        <v>0.98</v>
      </c>
      <c r="BC196">
        <v>0.90398550724637694</v>
      </c>
      <c r="BD196">
        <v>0.91039999999999999</v>
      </c>
      <c r="BE196">
        <v>0.80649999999999999</v>
      </c>
    </row>
    <row r="197" spans="1:57" x14ac:dyDescent="0.35">
      <c r="A197" t="s">
        <v>974</v>
      </c>
      <c r="B197" t="s">
        <v>975</v>
      </c>
      <c r="C197" t="s">
        <v>562</v>
      </c>
      <c r="D197" t="s">
        <v>556</v>
      </c>
      <c r="E197" t="s">
        <v>551</v>
      </c>
      <c r="F197" t="s">
        <v>123</v>
      </c>
      <c r="G197" t="s">
        <v>566</v>
      </c>
      <c r="H197">
        <v>442</v>
      </c>
      <c r="I197">
        <v>7.9602005486301017E-2</v>
      </c>
      <c r="J197">
        <v>477</v>
      </c>
      <c r="K197">
        <v>2722</v>
      </c>
      <c r="L197">
        <v>975</v>
      </c>
      <c r="M197" t="s">
        <v>784</v>
      </c>
      <c r="N197">
        <v>8.1199999999999992</v>
      </c>
      <c r="O197">
        <v>9.18</v>
      </c>
      <c r="P197">
        <v>87.1</v>
      </c>
      <c r="Q197">
        <v>52.9</v>
      </c>
      <c r="R197">
        <v>3</v>
      </c>
      <c r="S197">
        <v>0.1837</v>
      </c>
      <c r="T197">
        <v>2.9499999999999998E-2</v>
      </c>
      <c r="U197">
        <v>0.83919999999999995</v>
      </c>
      <c r="AH197">
        <v>635.80999999999995</v>
      </c>
      <c r="AI197">
        <v>85.51</v>
      </c>
      <c r="AJ197">
        <v>237.68</v>
      </c>
      <c r="AK197">
        <v>72.5</v>
      </c>
      <c r="AL197">
        <v>1031.5</v>
      </c>
      <c r="AM197">
        <v>0.2539437758808305</v>
      </c>
      <c r="AN197">
        <v>1382.6</v>
      </c>
      <c r="AO197">
        <v>351.1</v>
      </c>
      <c r="AP197">
        <v>0.25390000000000001</v>
      </c>
      <c r="AQ197">
        <v>0.74609999999999999</v>
      </c>
      <c r="AR197">
        <v>52997</v>
      </c>
      <c r="AS197">
        <v>4416</v>
      </c>
      <c r="AT197">
        <v>0.1106</v>
      </c>
      <c r="AU197">
        <v>51250</v>
      </c>
      <c r="AV197">
        <v>51250</v>
      </c>
      <c r="AW197">
        <v>52808</v>
      </c>
      <c r="AX197">
        <v>4188</v>
      </c>
      <c r="AY197">
        <v>640.76</v>
      </c>
      <c r="AZ197">
        <v>0.83850000000000002</v>
      </c>
      <c r="BA197">
        <v>769.34</v>
      </c>
      <c r="BB197">
        <v>0.97050000000000003</v>
      </c>
      <c r="BC197">
        <v>0.88453159041394325</v>
      </c>
      <c r="BD197">
        <v>0.84520000000000006</v>
      </c>
      <c r="BE197">
        <v>0.72560000000000002</v>
      </c>
    </row>
    <row r="198" spans="1:57" x14ac:dyDescent="0.35">
      <c r="A198" t="s">
        <v>976</v>
      </c>
      <c r="B198" t="s">
        <v>977</v>
      </c>
      <c r="C198" t="s">
        <v>606</v>
      </c>
      <c r="D198" t="s">
        <v>556</v>
      </c>
      <c r="E198" t="s">
        <v>551</v>
      </c>
      <c r="F198" t="s">
        <v>123</v>
      </c>
      <c r="G198" t="s">
        <v>628</v>
      </c>
      <c r="H198">
        <v>1042</v>
      </c>
      <c r="I198">
        <v>0.1147588835509202</v>
      </c>
      <c r="J198">
        <v>1162</v>
      </c>
      <c r="K198">
        <v>4610</v>
      </c>
      <c r="L198">
        <v>381</v>
      </c>
      <c r="M198" t="s">
        <v>570</v>
      </c>
      <c r="N198">
        <v>1.83</v>
      </c>
      <c r="O198">
        <v>2.1</v>
      </c>
      <c r="P198">
        <v>72.5</v>
      </c>
      <c r="Q198">
        <v>43.5</v>
      </c>
      <c r="R198">
        <v>2</v>
      </c>
      <c r="S198">
        <v>0.15720000000000001</v>
      </c>
      <c r="T198">
        <v>2.24E-2</v>
      </c>
      <c r="U198">
        <v>0.97389999999999999</v>
      </c>
      <c r="AH198">
        <v>466.45</v>
      </c>
      <c r="AI198">
        <v>70.22</v>
      </c>
      <c r="AJ198">
        <v>22.46</v>
      </c>
      <c r="AK198">
        <v>36.78</v>
      </c>
      <c r="AL198">
        <v>595.91</v>
      </c>
      <c r="AM198">
        <v>0.25723608335753612</v>
      </c>
      <c r="AN198">
        <v>802.29</v>
      </c>
      <c r="AO198">
        <v>206.38</v>
      </c>
      <c r="AP198">
        <v>0.25719999999999998</v>
      </c>
      <c r="AQ198">
        <v>0.74280000000000002</v>
      </c>
      <c r="AR198">
        <v>31309</v>
      </c>
      <c r="AS198">
        <v>2609</v>
      </c>
      <c r="AT198">
        <v>9.8699999999999996E-2</v>
      </c>
      <c r="AU198">
        <v>27080</v>
      </c>
      <c r="AV198">
        <v>27080</v>
      </c>
      <c r="AW198">
        <v>27700</v>
      </c>
      <c r="AX198">
        <v>8438</v>
      </c>
      <c r="AY198">
        <v>295.33</v>
      </c>
      <c r="AZ198">
        <v>0.93740000000000001</v>
      </c>
      <c r="BA198">
        <v>1326.45</v>
      </c>
      <c r="BB198">
        <v>0.97760000000000002</v>
      </c>
      <c r="BC198">
        <v>0.87142857142857144</v>
      </c>
      <c r="BD198">
        <v>0.87450000000000006</v>
      </c>
      <c r="BE198">
        <v>0.745</v>
      </c>
    </row>
    <row r="199" spans="1:57" x14ac:dyDescent="0.35">
      <c r="A199" t="s">
        <v>978</v>
      </c>
      <c r="B199" t="s">
        <v>979</v>
      </c>
      <c r="C199" t="s">
        <v>548</v>
      </c>
      <c r="D199" t="s">
        <v>556</v>
      </c>
      <c r="E199" t="s">
        <v>551</v>
      </c>
      <c r="F199" t="s">
        <v>123</v>
      </c>
      <c r="G199" t="s">
        <v>551</v>
      </c>
      <c r="H199">
        <v>727</v>
      </c>
      <c r="I199">
        <v>3.7425807436462392E-2</v>
      </c>
      <c r="J199">
        <v>754</v>
      </c>
      <c r="K199">
        <v>2413</v>
      </c>
      <c r="L199">
        <v>543</v>
      </c>
      <c r="M199" t="s">
        <v>656</v>
      </c>
      <c r="N199">
        <v>4.5599999999999996</v>
      </c>
      <c r="O199">
        <v>4.8499999999999996</v>
      </c>
      <c r="P199">
        <v>79.2</v>
      </c>
      <c r="Q199">
        <v>35.700000000000003</v>
      </c>
      <c r="R199">
        <v>4</v>
      </c>
      <c r="S199">
        <v>0.14449999999999999</v>
      </c>
      <c r="T199">
        <v>5.5999999999999999E-3</v>
      </c>
      <c r="U199">
        <v>0.82350000000000001</v>
      </c>
      <c r="AH199">
        <v>934.99</v>
      </c>
      <c r="AI199">
        <v>65.58</v>
      </c>
      <c r="AJ199">
        <v>105.03</v>
      </c>
      <c r="AK199">
        <v>70.44</v>
      </c>
      <c r="AL199">
        <v>1176.04</v>
      </c>
      <c r="AM199">
        <v>0.2852262509595202</v>
      </c>
      <c r="AN199">
        <v>1645.33</v>
      </c>
      <c r="AO199">
        <v>469.29</v>
      </c>
      <c r="AP199">
        <v>0.28520000000000001</v>
      </c>
      <c r="AQ199">
        <v>0.71479999999999999</v>
      </c>
      <c r="AR199">
        <v>19054</v>
      </c>
      <c r="AS199">
        <v>1588</v>
      </c>
      <c r="AT199">
        <v>0.23019999999999999</v>
      </c>
      <c r="AU199">
        <v>17184</v>
      </c>
      <c r="AV199">
        <v>17184</v>
      </c>
      <c r="AW199">
        <v>17281</v>
      </c>
      <c r="AX199">
        <v>1109</v>
      </c>
      <c r="AY199">
        <v>89.64</v>
      </c>
      <c r="AZ199">
        <v>0.87060000000000004</v>
      </c>
      <c r="BA199">
        <v>160.25</v>
      </c>
      <c r="BB199">
        <v>0.99439999999999995</v>
      </c>
      <c r="BC199">
        <v>0.9402061855670103</v>
      </c>
      <c r="BD199">
        <v>0.85910000000000009</v>
      </c>
      <c r="BE199">
        <v>0.80320000000000003</v>
      </c>
    </row>
    <row r="200" spans="1:57" x14ac:dyDescent="0.35">
      <c r="A200" t="s">
        <v>980</v>
      </c>
      <c r="B200" t="s">
        <v>981</v>
      </c>
      <c r="C200" t="s">
        <v>606</v>
      </c>
      <c r="D200" t="s">
        <v>556</v>
      </c>
      <c r="E200" t="s">
        <v>557</v>
      </c>
      <c r="F200" t="s">
        <v>123</v>
      </c>
      <c r="G200" t="s">
        <v>628</v>
      </c>
      <c r="H200">
        <v>851</v>
      </c>
      <c r="I200">
        <v>-3.2821791870433062E-2</v>
      </c>
      <c r="J200">
        <v>823</v>
      </c>
      <c r="K200">
        <v>4440</v>
      </c>
      <c r="L200">
        <v>686</v>
      </c>
      <c r="M200" t="s">
        <v>784</v>
      </c>
      <c r="N200">
        <v>3.96</v>
      </c>
      <c r="O200">
        <v>4.38</v>
      </c>
      <c r="P200">
        <v>35.1</v>
      </c>
      <c r="Q200">
        <v>35.6</v>
      </c>
      <c r="R200">
        <v>2</v>
      </c>
      <c r="S200">
        <v>2.0799999999999999E-2</v>
      </c>
      <c r="T200">
        <v>9.4999999999999998E-3</v>
      </c>
      <c r="U200">
        <v>0.8669</v>
      </c>
      <c r="AH200">
        <v>508.39</v>
      </c>
      <c r="AI200">
        <v>6.29</v>
      </c>
      <c r="AJ200">
        <v>131</v>
      </c>
      <c r="AK200">
        <v>38.65</v>
      </c>
      <c r="AL200">
        <v>684.33</v>
      </c>
      <c r="AM200">
        <v>0.32410745175902678</v>
      </c>
      <c r="AN200">
        <v>1012.48</v>
      </c>
      <c r="AO200">
        <v>328.15</v>
      </c>
      <c r="AP200">
        <v>0.3241</v>
      </c>
      <c r="AQ200">
        <v>0.67589999999999995</v>
      </c>
      <c r="AR200">
        <v>38002</v>
      </c>
      <c r="AS200">
        <v>3167</v>
      </c>
      <c r="AT200">
        <v>0.13830000000000001</v>
      </c>
      <c r="AU200">
        <v>34248</v>
      </c>
      <c r="AV200">
        <v>34248</v>
      </c>
      <c r="AW200">
        <v>34576</v>
      </c>
      <c r="AX200">
        <v>2742</v>
      </c>
      <c r="AY200">
        <v>200.17</v>
      </c>
      <c r="AZ200">
        <v>0.83850000000000002</v>
      </c>
      <c r="BA200">
        <v>57.03</v>
      </c>
      <c r="BB200">
        <v>0.99050000000000005</v>
      </c>
      <c r="BC200">
        <v>0.90410958904109595</v>
      </c>
      <c r="BD200">
        <v>0.84520000000000006</v>
      </c>
      <c r="BE200">
        <v>0.75690000000000002</v>
      </c>
    </row>
    <row r="201" spans="1:57" x14ac:dyDescent="0.35">
      <c r="A201" t="s">
        <v>982</v>
      </c>
      <c r="B201" t="s">
        <v>983</v>
      </c>
      <c r="C201" t="s">
        <v>548</v>
      </c>
      <c r="D201" t="s">
        <v>556</v>
      </c>
      <c r="E201" t="s">
        <v>550</v>
      </c>
      <c r="F201" t="s">
        <v>123</v>
      </c>
      <c r="G201" t="s">
        <v>551</v>
      </c>
      <c r="H201">
        <v>828</v>
      </c>
      <c r="I201">
        <v>4.5484909913223973E-2</v>
      </c>
      <c r="J201">
        <v>866</v>
      </c>
      <c r="K201">
        <v>3320</v>
      </c>
      <c r="L201">
        <v>534</v>
      </c>
      <c r="M201" t="s">
        <v>617</v>
      </c>
      <c r="N201">
        <v>2.8</v>
      </c>
      <c r="O201">
        <v>3.28</v>
      </c>
      <c r="P201">
        <v>71.8</v>
      </c>
      <c r="Q201">
        <v>33.799999999999997</v>
      </c>
      <c r="R201">
        <v>6</v>
      </c>
      <c r="S201">
        <v>0.13739999999999999</v>
      </c>
      <c r="T201">
        <v>2.46E-2</v>
      </c>
      <c r="U201">
        <v>0.80469999999999997</v>
      </c>
      <c r="AH201">
        <v>531.66</v>
      </c>
      <c r="AI201">
        <v>52.66</v>
      </c>
      <c r="AJ201">
        <v>88.93</v>
      </c>
      <c r="AK201">
        <v>63</v>
      </c>
      <c r="AL201">
        <v>736.25</v>
      </c>
      <c r="AM201">
        <v>0.32553652404545741</v>
      </c>
      <c r="AN201">
        <v>1091.6099999999999</v>
      </c>
      <c r="AO201">
        <v>355.36</v>
      </c>
      <c r="AP201">
        <v>0.32550000000000001</v>
      </c>
      <c r="AQ201">
        <v>0.67449999999999999</v>
      </c>
      <c r="AR201">
        <v>17021</v>
      </c>
      <c r="AS201">
        <v>1418</v>
      </c>
      <c r="AT201">
        <v>0.1963</v>
      </c>
      <c r="AU201">
        <v>14235</v>
      </c>
      <c r="AV201">
        <v>14235</v>
      </c>
      <c r="AW201">
        <v>14594</v>
      </c>
      <c r="AX201">
        <v>2029</v>
      </c>
      <c r="AY201">
        <v>110.92</v>
      </c>
      <c r="AZ201">
        <v>0.88039999999999996</v>
      </c>
      <c r="BA201">
        <v>278.77999999999997</v>
      </c>
      <c r="BB201">
        <v>0.97540000000000004</v>
      </c>
      <c r="BC201">
        <v>0.85365853658536583</v>
      </c>
      <c r="BD201">
        <v>0.9052</v>
      </c>
      <c r="BE201">
        <v>0.75370000000000004</v>
      </c>
    </row>
    <row r="202" spans="1:57" x14ac:dyDescent="0.35">
      <c r="A202" t="s">
        <v>984</v>
      </c>
      <c r="B202" t="s">
        <v>985</v>
      </c>
      <c r="C202" t="s">
        <v>548</v>
      </c>
      <c r="D202" t="s">
        <v>549</v>
      </c>
      <c r="E202" t="s">
        <v>551</v>
      </c>
      <c r="F202" t="s">
        <v>123</v>
      </c>
      <c r="G202" t="s">
        <v>551</v>
      </c>
      <c r="H202">
        <v>689</v>
      </c>
      <c r="I202">
        <v>0.1739536493429705</v>
      </c>
      <c r="J202">
        <v>809</v>
      </c>
      <c r="K202">
        <v>5126</v>
      </c>
      <c r="L202">
        <v>478</v>
      </c>
      <c r="M202" t="s">
        <v>578</v>
      </c>
      <c r="N202">
        <v>2.27</v>
      </c>
      <c r="O202">
        <v>2.59</v>
      </c>
      <c r="P202">
        <v>34.5</v>
      </c>
      <c r="Q202">
        <v>24.6</v>
      </c>
      <c r="R202">
        <v>3</v>
      </c>
      <c r="S202">
        <v>0.14660000000000001</v>
      </c>
      <c r="T202">
        <v>6.7999999999999996E-3</v>
      </c>
      <c r="U202">
        <v>0.83989999999999998</v>
      </c>
      <c r="AH202">
        <v>1201.95</v>
      </c>
      <c r="AI202">
        <v>58.09</v>
      </c>
      <c r="AJ202">
        <v>52.91</v>
      </c>
      <c r="AK202">
        <v>137.46</v>
      </c>
      <c r="AL202">
        <v>1450.41</v>
      </c>
      <c r="AM202">
        <v>0.19292347692636241</v>
      </c>
      <c r="AN202">
        <v>1797.12</v>
      </c>
      <c r="AO202">
        <v>346.71</v>
      </c>
      <c r="AP202">
        <v>0.19289999999999999</v>
      </c>
      <c r="AQ202">
        <v>0.80710000000000004</v>
      </c>
      <c r="AR202">
        <v>37778</v>
      </c>
      <c r="AS202">
        <v>3148</v>
      </c>
      <c r="AT202">
        <v>8.43E-2</v>
      </c>
      <c r="AU202">
        <v>33130</v>
      </c>
      <c r="AV202">
        <v>33130</v>
      </c>
      <c r="AW202">
        <v>33357</v>
      </c>
      <c r="AX202">
        <v>7508</v>
      </c>
      <c r="AY202">
        <v>324.10000000000002</v>
      </c>
      <c r="AZ202">
        <v>0.96060000000000001</v>
      </c>
      <c r="BA202">
        <v>1100.67</v>
      </c>
      <c r="BB202">
        <v>0.99319999999999997</v>
      </c>
      <c r="BC202">
        <v>0.87644787644787647</v>
      </c>
      <c r="BD202">
        <v>0.86430000000000007</v>
      </c>
      <c r="BE202">
        <v>0.75239999999999996</v>
      </c>
    </row>
    <row r="203" spans="1:57" x14ac:dyDescent="0.35">
      <c r="A203" t="s">
        <v>986</v>
      </c>
      <c r="B203" t="s">
        <v>987</v>
      </c>
      <c r="C203" t="s">
        <v>548</v>
      </c>
      <c r="D203" t="s">
        <v>556</v>
      </c>
      <c r="E203" t="s">
        <v>557</v>
      </c>
      <c r="F203" t="s">
        <v>123</v>
      </c>
      <c r="G203" t="s">
        <v>551</v>
      </c>
      <c r="H203">
        <v>499</v>
      </c>
      <c r="I203">
        <v>0.1529424470225344</v>
      </c>
      <c r="J203">
        <v>575</v>
      </c>
      <c r="K203">
        <v>7307</v>
      </c>
      <c r="L203">
        <v>971</v>
      </c>
      <c r="M203" t="s">
        <v>601</v>
      </c>
      <c r="N203">
        <v>9.2100000000000009</v>
      </c>
      <c r="O203">
        <v>10.130000000000001</v>
      </c>
      <c r="P203">
        <v>54.1</v>
      </c>
      <c r="Q203">
        <v>26.5</v>
      </c>
      <c r="R203">
        <v>1</v>
      </c>
      <c r="S203">
        <v>2.6599999999999999E-2</v>
      </c>
      <c r="T203">
        <v>3.7000000000000002E-3</v>
      </c>
      <c r="U203">
        <v>0.9405</v>
      </c>
      <c r="AH203">
        <v>414.81</v>
      </c>
      <c r="AI203">
        <v>8.08</v>
      </c>
      <c r="AJ203">
        <v>114.19</v>
      </c>
      <c r="AK203">
        <v>48.6</v>
      </c>
      <c r="AL203">
        <v>585.67999999999995</v>
      </c>
      <c r="AM203">
        <v>0.27502818801915668</v>
      </c>
      <c r="AN203">
        <v>807.87</v>
      </c>
      <c r="AO203">
        <v>222.19</v>
      </c>
      <c r="AP203">
        <v>0.27500000000000002</v>
      </c>
      <c r="AQ203">
        <v>0.72499999999999998</v>
      </c>
      <c r="AR203">
        <v>40703</v>
      </c>
      <c r="AS203">
        <v>3392</v>
      </c>
      <c r="AT203">
        <v>0.1973</v>
      </c>
      <c r="AU203">
        <v>34367</v>
      </c>
      <c r="AV203">
        <v>34367</v>
      </c>
      <c r="AW203">
        <v>34495</v>
      </c>
      <c r="AX203">
        <v>1141</v>
      </c>
      <c r="AY203">
        <v>192.64</v>
      </c>
      <c r="AZ203">
        <v>0.85140000000000005</v>
      </c>
      <c r="BA203">
        <v>30.35</v>
      </c>
      <c r="BB203">
        <v>0.99629999999999996</v>
      </c>
      <c r="BC203">
        <v>0.90918065153010863</v>
      </c>
      <c r="BD203">
        <v>0.86569999999999991</v>
      </c>
      <c r="BE203">
        <v>0.78420000000000001</v>
      </c>
    </row>
    <row r="204" spans="1:57" x14ac:dyDescent="0.35">
      <c r="A204" t="s">
        <v>988</v>
      </c>
      <c r="B204" t="s">
        <v>989</v>
      </c>
      <c r="C204" t="s">
        <v>548</v>
      </c>
      <c r="D204" t="s">
        <v>556</v>
      </c>
      <c r="E204" t="s">
        <v>550</v>
      </c>
      <c r="F204" t="s">
        <v>123</v>
      </c>
      <c r="G204" t="s">
        <v>566</v>
      </c>
      <c r="H204">
        <v>1326</v>
      </c>
      <c r="I204">
        <v>8.7522985114539001E-2</v>
      </c>
      <c r="J204">
        <v>1442</v>
      </c>
      <c r="K204">
        <v>1182</v>
      </c>
      <c r="L204">
        <v>319</v>
      </c>
      <c r="M204" t="s">
        <v>590</v>
      </c>
      <c r="N204">
        <v>9.1</v>
      </c>
      <c r="O204">
        <v>10.4</v>
      </c>
      <c r="P204">
        <v>98.5</v>
      </c>
      <c r="Q204">
        <v>53.6</v>
      </c>
      <c r="R204">
        <v>4</v>
      </c>
      <c r="S204">
        <v>0.23810000000000001</v>
      </c>
      <c r="T204">
        <v>2.0899999999999998E-2</v>
      </c>
      <c r="U204">
        <v>0.83620000000000005</v>
      </c>
      <c r="AH204">
        <v>972.99</v>
      </c>
      <c r="AI204">
        <v>83.8</v>
      </c>
      <c r="AJ204">
        <v>276.93</v>
      </c>
      <c r="AK204">
        <v>80.41</v>
      </c>
      <c r="AL204">
        <v>1414.13</v>
      </c>
      <c r="AM204">
        <v>0.25298952375852551</v>
      </c>
      <c r="AN204">
        <v>1893.05</v>
      </c>
      <c r="AO204">
        <v>478.92</v>
      </c>
      <c r="AP204">
        <v>0.253</v>
      </c>
      <c r="AQ204">
        <v>0.747</v>
      </c>
      <c r="AR204">
        <v>16664</v>
      </c>
      <c r="AS204">
        <v>1389</v>
      </c>
      <c r="AT204">
        <v>0.13370000000000001</v>
      </c>
      <c r="AU204">
        <v>15801</v>
      </c>
      <c r="AV204">
        <v>15801</v>
      </c>
      <c r="AW204">
        <v>16138</v>
      </c>
      <c r="AX204">
        <v>636</v>
      </c>
      <c r="AY204">
        <v>110.24</v>
      </c>
      <c r="AZ204">
        <v>0.84340000000000004</v>
      </c>
      <c r="BA204">
        <v>151.43</v>
      </c>
      <c r="BB204">
        <v>0.97909999999999997</v>
      </c>
      <c r="BC204">
        <v>0.87499999999999989</v>
      </c>
      <c r="BD204">
        <v>0.8498</v>
      </c>
      <c r="BE204">
        <v>0.72799999999999998</v>
      </c>
    </row>
    <row r="205" spans="1:57" x14ac:dyDescent="0.35">
      <c r="A205" t="s">
        <v>990</v>
      </c>
      <c r="B205" t="s">
        <v>991</v>
      </c>
      <c r="C205" t="s">
        <v>548</v>
      </c>
      <c r="D205" t="s">
        <v>556</v>
      </c>
      <c r="E205" t="s">
        <v>550</v>
      </c>
      <c r="F205" t="s">
        <v>123</v>
      </c>
      <c r="G205" t="s">
        <v>551</v>
      </c>
      <c r="H205">
        <v>612</v>
      </c>
      <c r="I205">
        <v>0.1114527031638015</v>
      </c>
      <c r="J205">
        <v>680</v>
      </c>
      <c r="K205">
        <v>1790</v>
      </c>
      <c r="L205">
        <v>156</v>
      </c>
      <c r="M205" t="s">
        <v>609</v>
      </c>
      <c r="N205">
        <v>5.27</v>
      </c>
      <c r="O205">
        <v>5.53</v>
      </c>
      <c r="P205">
        <v>64.400000000000006</v>
      </c>
      <c r="Q205">
        <v>50.8</v>
      </c>
      <c r="R205">
        <v>3</v>
      </c>
      <c r="S205">
        <v>0.22800000000000001</v>
      </c>
      <c r="T205">
        <v>1.29E-2</v>
      </c>
      <c r="U205">
        <v>0.81440000000000001</v>
      </c>
      <c r="AH205">
        <v>1487.42</v>
      </c>
      <c r="AI205">
        <v>103.07</v>
      </c>
      <c r="AJ205">
        <v>121.55</v>
      </c>
      <c r="AK205">
        <v>182.81</v>
      </c>
      <c r="AL205">
        <v>1894.85</v>
      </c>
      <c r="AM205">
        <v>0.36763174156734602</v>
      </c>
      <c r="AN205">
        <v>2996.43</v>
      </c>
      <c r="AO205">
        <v>1101.58</v>
      </c>
      <c r="AP205">
        <v>0.36759999999999998</v>
      </c>
      <c r="AQ205">
        <v>0.63239999999999996</v>
      </c>
      <c r="AR205">
        <v>13219</v>
      </c>
      <c r="AS205">
        <v>1102</v>
      </c>
      <c r="AT205">
        <v>8.9499999999999996E-2</v>
      </c>
      <c r="AU205">
        <v>11585</v>
      </c>
      <c r="AV205">
        <v>11585</v>
      </c>
      <c r="AW205">
        <v>11736</v>
      </c>
      <c r="AX205">
        <v>1163</v>
      </c>
      <c r="AY205">
        <v>107.19</v>
      </c>
      <c r="AZ205">
        <v>0.83089999999999997</v>
      </c>
      <c r="BA205">
        <v>265.16000000000003</v>
      </c>
      <c r="BB205">
        <v>0.98709999999999998</v>
      </c>
      <c r="BC205">
        <v>0.95298372513562379</v>
      </c>
      <c r="BD205">
        <v>0.91039999999999999</v>
      </c>
      <c r="BE205">
        <v>0.85640000000000005</v>
      </c>
    </row>
    <row r="206" spans="1:57" x14ac:dyDescent="0.35">
      <c r="A206" t="s">
        <v>992</v>
      </c>
      <c r="B206" t="s">
        <v>993</v>
      </c>
      <c r="C206" t="s">
        <v>606</v>
      </c>
      <c r="D206" t="s">
        <v>549</v>
      </c>
      <c r="E206" t="s">
        <v>550</v>
      </c>
      <c r="F206" t="s">
        <v>123</v>
      </c>
      <c r="G206" t="s">
        <v>558</v>
      </c>
      <c r="H206">
        <v>896</v>
      </c>
      <c r="I206">
        <v>5.2658428634321103E-3</v>
      </c>
      <c r="J206">
        <v>901</v>
      </c>
      <c r="K206">
        <v>5129</v>
      </c>
      <c r="L206">
        <v>650</v>
      </c>
      <c r="M206" t="s">
        <v>632</v>
      </c>
      <c r="N206">
        <v>16.5</v>
      </c>
      <c r="O206">
        <v>18.12</v>
      </c>
      <c r="P206">
        <v>104.6</v>
      </c>
      <c r="Q206">
        <v>67.5</v>
      </c>
      <c r="R206">
        <v>6</v>
      </c>
      <c r="S206">
        <v>0.45279999999999998</v>
      </c>
      <c r="T206">
        <v>3.3300000000000003E-2</v>
      </c>
      <c r="U206">
        <v>0.88539999999999996</v>
      </c>
      <c r="AH206">
        <v>1601.96</v>
      </c>
      <c r="AI206">
        <v>148.26</v>
      </c>
      <c r="AJ206">
        <v>222.85</v>
      </c>
      <c r="AK206">
        <v>186.49</v>
      </c>
      <c r="AL206">
        <v>2159.56</v>
      </c>
      <c r="AM206">
        <v>0.30785473030459409</v>
      </c>
      <c r="AN206">
        <v>3120.1</v>
      </c>
      <c r="AO206">
        <v>960.54</v>
      </c>
      <c r="AP206">
        <v>0.30790000000000001</v>
      </c>
      <c r="AQ206">
        <v>0.69210000000000005</v>
      </c>
      <c r="AR206">
        <v>28464</v>
      </c>
      <c r="AS206">
        <v>2372</v>
      </c>
      <c r="AT206">
        <v>0.1837</v>
      </c>
      <c r="AU206">
        <v>23985</v>
      </c>
      <c r="AV206">
        <v>23985</v>
      </c>
      <c r="AW206">
        <v>24811</v>
      </c>
      <c r="AX206">
        <v>1799</v>
      </c>
      <c r="AY206">
        <v>543.29999999999995</v>
      </c>
      <c r="AZ206">
        <v>0.96220000000000006</v>
      </c>
      <c r="BA206">
        <v>814.59</v>
      </c>
      <c r="BB206">
        <v>0.9667</v>
      </c>
      <c r="BC206">
        <v>0.91059602649006621</v>
      </c>
      <c r="BD206">
        <v>0.86359999999999992</v>
      </c>
      <c r="BE206">
        <v>0.76019999999999999</v>
      </c>
    </row>
    <row r="207" spans="1:57" x14ac:dyDescent="0.35">
      <c r="A207" t="s">
        <v>994</v>
      </c>
      <c r="B207" t="s">
        <v>995</v>
      </c>
      <c r="C207" t="s">
        <v>606</v>
      </c>
      <c r="D207" t="s">
        <v>556</v>
      </c>
      <c r="E207" t="s">
        <v>557</v>
      </c>
      <c r="F207" t="s">
        <v>123</v>
      </c>
      <c r="G207" t="s">
        <v>628</v>
      </c>
      <c r="H207">
        <v>1161</v>
      </c>
      <c r="I207">
        <v>0.19616743488112701</v>
      </c>
      <c r="J207">
        <v>1389</v>
      </c>
      <c r="K207">
        <v>10272</v>
      </c>
      <c r="L207">
        <v>898</v>
      </c>
      <c r="M207" t="s">
        <v>677</v>
      </c>
      <c r="N207">
        <v>7.25</v>
      </c>
      <c r="O207">
        <v>8.4499999999999993</v>
      </c>
      <c r="P207">
        <v>57.2</v>
      </c>
      <c r="Q207">
        <v>33.799999999999997</v>
      </c>
      <c r="R207">
        <v>1</v>
      </c>
      <c r="S207">
        <v>7.7200000000000005E-2</v>
      </c>
      <c r="T207">
        <v>1.7000000000000001E-2</v>
      </c>
      <c r="U207">
        <v>0.80179999999999996</v>
      </c>
      <c r="AH207">
        <v>204.56</v>
      </c>
      <c r="AI207">
        <v>31.43</v>
      </c>
      <c r="AJ207">
        <v>100.36</v>
      </c>
      <c r="AK207">
        <v>25.96</v>
      </c>
      <c r="AL207">
        <v>362.31</v>
      </c>
      <c r="AM207">
        <v>0.28312601660399539</v>
      </c>
      <c r="AN207">
        <v>505.4</v>
      </c>
      <c r="AO207">
        <v>143.09</v>
      </c>
      <c r="AP207">
        <v>0.28310000000000002</v>
      </c>
      <c r="AQ207">
        <v>0.71689999999999998</v>
      </c>
      <c r="AR207">
        <v>74724</v>
      </c>
      <c r="AS207">
        <v>6227</v>
      </c>
      <c r="AT207">
        <v>0.12089999999999999</v>
      </c>
      <c r="AU207">
        <v>65350</v>
      </c>
      <c r="AV207">
        <v>65350</v>
      </c>
      <c r="AW207">
        <v>66480</v>
      </c>
      <c r="AX207">
        <v>3602</v>
      </c>
      <c r="AY207">
        <v>507.28</v>
      </c>
      <c r="AZ207">
        <v>0.88029999999999997</v>
      </c>
      <c r="BA207">
        <v>278.07</v>
      </c>
      <c r="BB207">
        <v>0.98299999999999998</v>
      </c>
      <c r="BC207">
        <v>0.85798816568047342</v>
      </c>
      <c r="BD207">
        <v>0.86950000000000005</v>
      </c>
      <c r="BE207">
        <v>0.73329999999999995</v>
      </c>
    </row>
    <row r="208" spans="1:57" x14ac:dyDescent="0.35">
      <c r="A208" t="s">
        <v>996</v>
      </c>
      <c r="B208" t="s">
        <v>997</v>
      </c>
      <c r="C208" t="s">
        <v>548</v>
      </c>
      <c r="D208" t="s">
        <v>556</v>
      </c>
      <c r="E208" t="s">
        <v>557</v>
      </c>
      <c r="F208" t="s">
        <v>123</v>
      </c>
      <c r="G208" t="s">
        <v>551</v>
      </c>
      <c r="H208">
        <v>194</v>
      </c>
      <c r="I208">
        <v>7.2098532516234895E-2</v>
      </c>
      <c r="J208">
        <v>208</v>
      </c>
      <c r="K208">
        <v>9825</v>
      </c>
      <c r="L208">
        <v>1108</v>
      </c>
      <c r="M208" t="s">
        <v>714</v>
      </c>
      <c r="N208">
        <v>1.2</v>
      </c>
      <c r="O208">
        <v>1.28</v>
      </c>
      <c r="P208">
        <v>40.700000000000003</v>
      </c>
      <c r="Q208">
        <v>31.4</v>
      </c>
      <c r="R208">
        <v>2</v>
      </c>
      <c r="S208">
        <v>6.0199999999999997E-2</v>
      </c>
      <c r="T208">
        <v>4.1000000000000003E-3</v>
      </c>
      <c r="U208">
        <v>0.81530000000000002</v>
      </c>
      <c r="AH208">
        <v>852.62</v>
      </c>
      <c r="AI208">
        <v>20.65</v>
      </c>
      <c r="AJ208">
        <v>36.090000000000003</v>
      </c>
      <c r="AK208">
        <v>88.38</v>
      </c>
      <c r="AL208">
        <v>997.74</v>
      </c>
      <c r="AM208">
        <v>0.17884866054472931</v>
      </c>
      <c r="AN208">
        <v>1215.05</v>
      </c>
      <c r="AO208">
        <v>217.31</v>
      </c>
      <c r="AP208">
        <v>0.17879999999999999</v>
      </c>
      <c r="AQ208">
        <v>0.82120000000000004</v>
      </c>
      <c r="AR208">
        <v>62299</v>
      </c>
      <c r="AS208">
        <v>5192</v>
      </c>
      <c r="AT208">
        <v>0.14580000000000001</v>
      </c>
      <c r="AU208">
        <v>53582</v>
      </c>
      <c r="AV208">
        <v>53582</v>
      </c>
      <c r="AW208">
        <v>53803</v>
      </c>
      <c r="AX208">
        <v>11275</v>
      </c>
      <c r="AY208">
        <v>240.53</v>
      </c>
      <c r="AZ208">
        <v>0.82769999999999999</v>
      </c>
      <c r="BA208">
        <v>678.76</v>
      </c>
      <c r="BB208">
        <v>0.99590000000000001</v>
      </c>
      <c r="BC208">
        <v>0.9375</v>
      </c>
      <c r="BD208">
        <v>0.89029999999999987</v>
      </c>
      <c r="BE208">
        <v>0.83120000000000005</v>
      </c>
    </row>
    <row r="209" spans="1:57" x14ac:dyDescent="0.35">
      <c r="A209" t="s">
        <v>998</v>
      </c>
      <c r="B209" t="s">
        <v>999</v>
      </c>
      <c r="C209" t="s">
        <v>555</v>
      </c>
      <c r="D209" t="s">
        <v>556</v>
      </c>
      <c r="E209" t="s">
        <v>551</v>
      </c>
      <c r="F209" t="s">
        <v>123</v>
      </c>
      <c r="G209" t="s">
        <v>551</v>
      </c>
      <c r="H209">
        <v>1129</v>
      </c>
      <c r="I209">
        <v>9.1255498214754024E-2</v>
      </c>
      <c r="J209">
        <v>1232</v>
      </c>
      <c r="K209">
        <v>3095</v>
      </c>
      <c r="L209">
        <v>285</v>
      </c>
      <c r="M209" t="s">
        <v>677</v>
      </c>
      <c r="N209">
        <v>12.81</v>
      </c>
      <c r="O209">
        <v>13.6</v>
      </c>
      <c r="P209">
        <v>86.5</v>
      </c>
      <c r="Q209">
        <v>51.5</v>
      </c>
      <c r="R209">
        <v>4</v>
      </c>
      <c r="S209">
        <v>0.111</v>
      </c>
      <c r="T209">
        <v>2.3800000000000002E-2</v>
      </c>
      <c r="U209">
        <v>0.94540000000000002</v>
      </c>
      <c r="AH209">
        <v>809.09</v>
      </c>
      <c r="AI209">
        <v>33.57</v>
      </c>
      <c r="AJ209">
        <v>318.02</v>
      </c>
      <c r="AK209">
        <v>79.150000000000006</v>
      </c>
      <c r="AL209">
        <v>1239.83</v>
      </c>
      <c r="AM209">
        <v>0.30140947233085291</v>
      </c>
      <c r="AN209">
        <v>1774.76</v>
      </c>
      <c r="AO209">
        <v>534.92999999999995</v>
      </c>
      <c r="AP209">
        <v>0.3014</v>
      </c>
      <c r="AQ209">
        <v>0.6986</v>
      </c>
      <c r="AR209">
        <v>29252</v>
      </c>
      <c r="AS209">
        <v>2438</v>
      </c>
      <c r="AT209">
        <v>9.3700000000000006E-2</v>
      </c>
      <c r="AU209">
        <v>26442</v>
      </c>
      <c r="AV209">
        <v>26442</v>
      </c>
      <c r="AW209">
        <v>27087</v>
      </c>
      <c r="AX209">
        <v>1467</v>
      </c>
      <c r="AY209">
        <v>332.52</v>
      </c>
      <c r="AZ209">
        <v>0.88029999999999997</v>
      </c>
      <c r="BA209">
        <v>162.84</v>
      </c>
      <c r="BB209">
        <v>0.97619999999999996</v>
      </c>
      <c r="BC209">
        <v>0.94191176470588245</v>
      </c>
      <c r="BD209">
        <v>0.86950000000000005</v>
      </c>
      <c r="BE209">
        <v>0.79949999999999999</v>
      </c>
    </row>
    <row r="210" spans="1:57" x14ac:dyDescent="0.35">
      <c r="A210" t="s">
        <v>1000</v>
      </c>
      <c r="B210" t="s">
        <v>1001</v>
      </c>
      <c r="C210" t="s">
        <v>573</v>
      </c>
      <c r="D210" t="s">
        <v>549</v>
      </c>
      <c r="E210" t="s">
        <v>551</v>
      </c>
      <c r="F210" t="s">
        <v>123</v>
      </c>
      <c r="G210" t="s">
        <v>566</v>
      </c>
      <c r="H210">
        <v>1155</v>
      </c>
      <c r="I210">
        <v>0.1529380542164275</v>
      </c>
      <c r="J210">
        <v>1332</v>
      </c>
      <c r="K210">
        <v>2319</v>
      </c>
      <c r="L210">
        <v>608</v>
      </c>
      <c r="M210" t="s">
        <v>632</v>
      </c>
      <c r="N210">
        <v>5.19</v>
      </c>
      <c r="O210">
        <v>6.18</v>
      </c>
      <c r="P210">
        <v>31.4</v>
      </c>
      <c r="Q210">
        <v>41.4</v>
      </c>
      <c r="R210">
        <v>4</v>
      </c>
      <c r="S210">
        <v>5.2900000000000003E-2</v>
      </c>
      <c r="T210">
        <v>9.9000000000000008E-3</v>
      </c>
      <c r="U210">
        <v>0.93889999999999996</v>
      </c>
      <c r="AH210">
        <v>400.3</v>
      </c>
      <c r="AI210">
        <v>18.420000000000002</v>
      </c>
      <c r="AJ210">
        <v>164.3</v>
      </c>
      <c r="AK210">
        <v>43.24</v>
      </c>
      <c r="AL210">
        <v>626.26</v>
      </c>
      <c r="AM210">
        <v>0.17930097642005841</v>
      </c>
      <c r="AN210">
        <v>763.08</v>
      </c>
      <c r="AO210">
        <v>136.82</v>
      </c>
      <c r="AP210">
        <v>0.17929999999999999</v>
      </c>
      <c r="AQ210">
        <v>0.82069999999999999</v>
      </c>
      <c r="AR210">
        <v>36316</v>
      </c>
      <c r="AS210">
        <v>3026</v>
      </c>
      <c r="AT210">
        <v>0.105</v>
      </c>
      <c r="AU210">
        <v>34605</v>
      </c>
      <c r="AV210">
        <v>34605</v>
      </c>
      <c r="AW210">
        <v>34951</v>
      </c>
      <c r="AX210">
        <v>2534</v>
      </c>
      <c r="AY210">
        <v>261</v>
      </c>
      <c r="AZ210">
        <v>0.96220000000000006</v>
      </c>
      <c r="BA210">
        <v>134.05000000000001</v>
      </c>
      <c r="BB210">
        <v>0.99009999999999998</v>
      </c>
      <c r="BC210">
        <v>0.83980582524271852</v>
      </c>
      <c r="BD210">
        <v>0.86359999999999992</v>
      </c>
      <c r="BE210">
        <v>0.71809999999999996</v>
      </c>
    </row>
    <row r="211" spans="1:57" x14ac:dyDescent="0.35">
      <c r="A211" t="s">
        <v>1002</v>
      </c>
      <c r="B211" t="s">
        <v>1003</v>
      </c>
      <c r="C211" t="s">
        <v>573</v>
      </c>
      <c r="D211" t="s">
        <v>556</v>
      </c>
      <c r="E211" t="s">
        <v>557</v>
      </c>
      <c r="F211" t="s">
        <v>123</v>
      </c>
      <c r="G211" t="s">
        <v>558</v>
      </c>
      <c r="H211">
        <v>972</v>
      </c>
      <c r="I211">
        <v>8.8771237325571559E-2</v>
      </c>
      <c r="J211">
        <v>1058</v>
      </c>
      <c r="K211">
        <v>5790</v>
      </c>
      <c r="L211">
        <v>709</v>
      </c>
      <c r="M211" t="s">
        <v>656</v>
      </c>
      <c r="N211">
        <v>6.92</v>
      </c>
      <c r="O211">
        <v>7.37</v>
      </c>
      <c r="P211">
        <v>46</v>
      </c>
      <c r="Q211">
        <v>36.200000000000003</v>
      </c>
      <c r="R211">
        <v>1</v>
      </c>
      <c r="S211">
        <v>1.06E-2</v>
      </c>
      <c r="T211">
        <v>9.7999999999999997E-3</v>
      </c>
      <c r="U211">
        <v>0.9647</v>
      </c>
      <c r="AH211">
        <v>222.18</v>
      </c>
      <c r="AI211">
        <v>5.25</v>
      </c>
      <c r="AJ211">
        <v>203.26</v>
      </c>
      <c r="AK211">
        <v>49.19</v>
      </c>
      <c r="AL211">
        <v>479.88</v>
      </c>
      <c r="AM211">
        <v>0.23430164389143801</v>
      </c>
      <c r="AN211">
        <v>626.72</v>
      </c>
      <c r="AO211">
        <v>146.84</v>
      </c>
      <c r="AP211">
        <v>0.23430000000000001</v>
      </c>
      <c r="AQ211">
        <v>0.76570000000000005</v>
      </c>
      <c r="AR211">
        <v>48782</v>
      </c>
      <c r="AS211">
        <v>4065</v>
      </c>
      <c r="AT211">
        <v>0.13070000000000001</v>
      </c>
      <c r="AU211">
        <v>43701</v>
      </c>
      <c r="AV211">
        <v>43701</v>
      </c>
      <c r="AW211">
        <v>44134</v>
      </c>
      <c r="AX211">
        <v>2833</v>
      </c>
      <c r="AY211">
        <v>347.99</v>
      </c>
      <c r="AZ211">
        <v>0.87060000000000004</v>
      </c>
      <c r="BA211">
        <v>30.03</v>
      </c>
      <c r="BB211">
        <v>0.99019999999999997</v>
      </c>
      <c r="BC211">
        <v>0.93894165535956575</v>
      </c>
      <c r="BD211">
        <v>0.85910000000000009</v>
      </c>
      <c r="BE211">
        <v>0.79869999999999997</v>
      </c>
    </row>
    <row r="212" spans="1:57" x14ac:dyDescent="0.35">
      <c r="A212" t="s">
        <v>1004</v>
      </c>
      <c r="B212" t="s">
        <v>1005</v>
      </c>
      <c r="C212" t="s">
        <v>562</v>
      </c>
      <c r="D212" t="s">
        <v>556</v>
      </c>
      <c r="E212" t="s">
        <v>551</v>
      </c>
      <c r="F212" t="s">
        <v>123</v>
      </c>
      <c r="G212" t="s">
        <v>551</v>
      </c>
      <c r="H212">
        <v>1097</v>
      </c>
      <c r="I212">
        <v>0.16201194778269301</v>
      </c>
      <c r="J212">
        <v>1275</v>
      </c>
      <c r="K212">
        <v>3730</v>
      </c>
      <c r="L212">
        <v>530</v>
      </c>
      <c r="M212" t="s">
        <v>617</v>
      </c>
      <c r="N212">
        <v>6.41</v>
      </c>
      <c r="O212">
        <v>6.89</v>
      </c>
      <c r="P212">
        <v>42.8</v>
      </c>
      <c r="Q212">
        <v>54.7</v>
      </c>
      <c r="R212">
        <v>3</v>
      </c>
      <c r="S212">
        <v>0.1153</v>
      </c>
      <c r="T212">
        <v>1.1299999999999999E-2</v>
      </c>
      <c r="U212">
        <v>0.95379999999999998</v>
      </c>
      <c r="AH212">
        <v>983.73</v>
      </c>
      <c r="AI212">
        <v>53.07</v>
      </c>
      <c r="AJ212">
        <v>147.69</v>
      </c>
      <c r="AK212">
        <v>83.31</v>
      </c>
      <c r="AL212">
        <v>1267.8</v>
      </c>
      <c r="AM212">
        <v>0.18571049120358299</v>
      </c>
      <c r="AN212">
        <v>1556.94</v>
      </c>
      <c r="AO212">
        <v>289.14</v>
      </c>
      <c r="AP212">
        <v>0.1857</v>
      </c>
      <c r="AQ212">
        <v>0.81430000000000002</v>
      </c>
      <c r="AR212">
        <v>34162</v>
      </c>
      <c r="AS212">
        <v>2847</v>
      </c>
      <c r="AT212">
        <v>9.5299999999999996E-2</v>
      </c>
      <c r="AU212">
        <v>30962</v>
      </c>
      <c r="AV212">
        <v>30962</v>
      </c>
      <c r="AW212">
        <v>31316</v>
      </c>
      <c r="AX212">
        <v>4355</v>
      </c>
      <c r="AY212">
        <v>500.1</v>
      </c>
      <c r="AZ212">
        <v>0.88039999999999996</v>
      </c>
      <c r="BA212">
        <v>502.13</v>
      </c>
      <c r="BB212">
        <v>0.98870000000000002</v>
      </c>
      <c r="BC212">
        <v>0.93033381712627006</v>
      </c>
      <c r="BD212">
        <v>0.9052</v>
      </c>
      <c r="BE212">
        <v>0.83260000000000001</v>
      </c>
    </row>
    <row r="213" spans="1:57" x14ac:dyDescent="0.35">
      <c r="A213" t="s">
        <v>1006</v>
      </c>
      <c r="B213" t="s">
        <v>1007</v>
      </c>
      <c r="C213" t="s">
        <v>606</v>
      </c>
      <c r="D213" t="s">
        <v>556</v>
      </c>
      <c r="E213" t="s">
        <v>551</v>
      </c>
      <c r="F213" t="s">
        <v>123</v>
      </c>
      <c r="G213" t="s">
        <v>551</v>
      </c>
      <c r="H213">
        <v>1411</v>
      </c>
      <c r="I213">
        <v>-1.277798741688883E-2</v>
      </c>
      <c r="J213">
        <v>1393</v>
      </c>
      <c r="K213">
        <v>5575</v>
      </c>
      <c r="L213">
        <v>929</v>
      </c>
      <c r="M213" t="s">
        <v>609</v>
      </c>
      <c r="N213">
        <v>6</v>
      </c>
      <c r="O213">
        <v>7.17</v>
      </c>
      <c r="P213">
        <v>87.4</v>
      </c>
      <c r="Q213">
        <v>29.5</v>
      </c>
      <c r="R213">
        <v>4</v>
      </c>
      <c r="S213">
        <v>0.12770000000000001</v>
      </c>
      <c r="T213">
        <v>3.2000000000000002E-3</v>
      </c>
      <c r="U213">
        <v>0.92300000000000004</v>
      </c>
      <c r="AH213">
        <v>801.08</v>
      </c>
      <c r="AI213">
        <v>62.82</v>
      </c>
      <c r="AJ213">
        <v>145.9</v>
      </c>
      <c r="AK213">
        <v>83.71</v>
      </c>
      <c r="AL213">
        <v>1093.51</v>
      </c>
      <c r="AM213">
        <v>0.32301841175609219</v>
      </c>
      <c r="AN213">
        <v>1615.27</v>
      </c>
      <c r="AO213">
        <v>521.76</v>
      </c>
      <c r="AP213">
        <v>0.32300000000000001</v>
      </c>
      <c r="AQ213">
        <v>0.67700000000000005</v>
      </c>
      <c r="AR213">
        <v>30960</v>
      </c>
      <c r="AS213">
        <v>2580</v>
      </c>
      <c r="AT213">
        <v>0.23480000000000001</v>
      </c>
      <c r="AU213">
        <v>26314</v>
      </c>
      <c r="AV213">
        <v>26314</v>
      </c>
      <c r="AW213">
        <v>26398</v>
      </c>
      <c r="AX213">
        <v>2617</v>
      </c>
      <c r="AY213">
        <v>312.73</v>
      </c>
      <c r="AZ213">
        <v>0.83089999999999997</v>
      </c>
      <c r="BA213">
        <v>334.19</v>
      </c>
      <c r="BB213">
        <v>0.99680000000000002</v>
      </c>
      <c r="BC213">
        <v>0.83682008368200833</v>
      </c>
      <c r="BD213">
        <v>0.91039999999999999</v>
      </c>
      <c r="BE213">
        <v>0.75939999999999996</v>
      </c>
    </row>
    <row r="214" spans="1:57" x14ac:dyDescent="0.35">
      <c r="A214" t="s">
        <v>1008</v>
      </c>
      <c r="B214" t="s">
        <v>1009</v>
      </c>
      <c r="C214" t="s">
        <v>573</v>
      </c>
      <c r="D214" t="s">
        <v>549</v>
      </c>
      <c r="E214" t="s">
        <v>551</v>
      </c>
      <c r="F214" t="s">
        <v>123</v>
      </c>
      <c r="G214" t="s">
        <v>551</v>
      </c>
      <c r="H214">
        <v>123</v>
      </c>
      <c r="I214">
        <v>4.3022744228026349E-3</v>
      </c>
      <c r="J214">
        <v>124</v>
      </c>
      <c r="K214">
        <v>3965</v>
      </c>
      <c r="L214">
        <v>504</v>
      </c>
      <c r="M214" t="s">
        <v>791</v>
      </c>
      <c r="N214">
        <v>5.05</v>
      </c>
      <c r="O214">
        <v>5.83</v>
      </c>
      <c r="P214">
        <v>83</v>
      </c>
      <c r="Q214">
        <v>23.9</v>
      </c>
      <c r="R214">
        <v>3</v>
      </c>
      <c r="S214">
        <v>0.16259999999999999</v>
      </c>
      <c r="T214">
        <v>1.34E-2</v>
      </c>
      <c r="U214">
        <v>0.80940000000000001</v>
      </c>
      <c r="AH214">
        <v>986.55</v>
      </c>
      <c r="AI214">
        <v>64.650000000000006</v>
      </c>
      <c r="AJ214">
        <v>108.49</v>
      </c>
      <c r="AK214">
        <v>130.24</v>
      </c>
      <c r="AL214">
        <v>1289.93</v>
      </c>
      <c r="AM214">
        <v>0.20156302845903809</v>
      </c>
      <c r="AN214">
        <v>1615.57</v>
      </c>
      <c r="AO214">
        <v>325.64</v>
      </c>
      <c r="AP214">
        <v>0.2016</v>
      </c>
      <c r="AQ214">
        <v>0.7984</v>
      </c>
      <c r="AR214">
        <v>45791</v>
      </c>
      <c r="AS214">
        <v>3816</v>
      </c>
      <c r="AT214">
        <v>8.1000000000000003E-2</v>
      </c>
      <c r="AU214">
        <v>42330</v>
      </c>
      <c r="AV214">
        <v>42330</v>
      </c>
      <c r="AW214">
        <v>42905</v>
      </c>
      <c r="AX214">
        <v>9522</v>
      </c>
      <c r="AY214">
        <v>925.22</v>
      </c>
      <c r="AZ214">
        <v>0.88009999999999999</v>
      </c>
      <c r="BA214">
        <v>1548.28</v>
      </c>
      <c r="BB214">
        <v>0.98660000000000003</v>
      </c>
      <c r="BC214">
        <v>0.86620926243567753</v>
      </c>
      <c r="BD214">
        <v>0.87970000000000004</v>
      </c>
      <c r="BE214">
        <v>0.75180000000000002</v>
      </c>
    </row>
    <row r="215" spans="1:57" x14ac:dyDescent="0.35">
      <c r="A215" t="s">
        <v>1010</v>
      </c>
      <c r="B215" t="s">
        <v>1011</v>
      </c>
      <c r="C215" t="s">
        <v>606</v>
      </c>
      <c r="D215" t="s">
        <v>556</v>
      </c>
      <c r="E215" t="s">
        <v>557</v>
      </c>
      <c r="F215" t="s">
        <v>123</v>
      </c>
      <c r="G215" t="s">
        <v>628</v>
      </c>
      <c r="H215">
        <v>1187</v>
      </c>
      <c r="I215">
        <v>0.1485493328192711</v>
      </c>
      <c r="J215">
        <v>1363</v>
      </c>
      <c r="K215">
        <v>10955</v>
      </c>
      <c r="L215">
        <v>1172</v>
      </c>
      <c r="M215" t="s">
        <v>649</v>
      </c>
      <c r="N215">
        <v>1.64</v>
      </c>
      <c r="O215">
        <v>1.88</v>
      </c>
      <c r="P215">
        <v>17.5</v>
      </c>
      <c r="Q215">
        <v>14.5</v>
      </c>
      <c r="R215">
        <v>2</v>
      </c>
      <c r="S215">
        <v>6.0299999999999999E-2</v>
      </c>
      <c r="T215">
        <v>4.7999999999999996E-3</v>
      </c>
      <c r="U215">
        <v>0.94089999999999996</v>
      </c>
      <c r="AH215">
        <v>816.44</v>
      </c>
      <c r="AI215">
        <v>19.41</v>
      </c>
      <c r="AJ215">
        <v>30.72</v>
      </c>
      <c r="AK215">
        <v>86.26</v>
      </c>
      <c r="AL215">
        <v>952.83</v>
      </c>
      <c r="AM215">
        <v>0.24796484329700649</v>
      </c>
      <c r="AN215">
        <v>1267</v>
      </c>
      <c r="AO215">
        <v>314.17</v>
      </c>
      <c r="AP215">
        <v>0.248</v>
      </c>
      <c r="AQ215">
        <v>0.752</v>
      </c>
      <c r="AR215">
        <v>56177</v>
      </c>
      <c r="AS215">
        <v>4681</v>
      </c>
      <c r="AT215">
        <v>0.1623</v>
      </c>
      <c r="AU215">
        <v>46394</v>
      </c>
      <c r="AV215">
        <v>46394</v>
      </c>
      <c r="AW215">
        <v>46618</v>
      </c>
      <c r="AX215">
        <v>1288</v>
      </c>
      <c r="AY215">
        <v>40.36</v>
      </c>
      <c r="AZ215">
        <v>0.85880000000000001</v>
      </c>
      <c r="BA215">
        <v>77.67</v>
      </c>
      <c r="BB215">
        <v>0.99519999999999997</v>
      </c>
      <c r="BC215">
        <v>0.87234042553191493</v>
      </c>
      <c r="BD215">
        <v>0.84340000000000004</v>
      </c>
      <c r="BE215">
        <v>0.73219999999999996</v>
      </c>
    </row>
    <row r="216" spans="1:57" x14ac:dyDescent="0.35">
      <c r="A216" t="s">
        <v>1012</v>
      </c>
      <c r="B216" t="s">
        <v>1013</v>
      </c>
      <c r="C216" t="s">
        <v>562</v>
      </c>
      <c r="D216" t="s">
        <v>556</v>
      </c>
      <c r="E216" t="s">
        <v>551</v>
      </c>
      <c r="F216" t="s">
        <v>123</v>
      </c>
      <c r="G216" t="s">
        <v>628</v>
      </c>
      <c r="H216">
        <v>554</v>
      </c>
      <c r="I216">
        <v>0.12573586024466921</v>
      </c>
      <c r="J216">
        <v>624</v>
      </c>
      <c r="K216">
        <v>7791</v>
      </c>
      <c r="L216">
        <v>382</v>
      </c>
      <c r="M216" t="s">
        <v>629</v>
      </c>
      <c r="N216">
        <v>2.12</v>
      </c>
      <c r="O216">
        <v>2.4900000000000002</v>
      </c>
      <c r="P216">
        <v>33.5</v>
      </c>
      <c r="Q216">
        <v>53.8</v>
      </c>
      <c r="R216">
        <v>4</v>
      </c>
      <c r="S216">
        <v>0.1817</v>
      </c>
      <c r="T216">
        <v>1.12E-2</v>
      </c>
      <c r="U216">
        <v>0.95220000000000005</v>
      </c>
      <c r="AH216">
        <v>978.03</v>
      </c>
      <c r="AI216">
        <v>74.42</v>
      </c>
      <c r="AJ216">
        <v>46.54</v>
      </c>
      <c r="AK216">
        <v>59.73</v>
      </c>
      <c r="AL216">
        <v>1158.72</v>
      </c>
      <c r="AM216">
        <v>0.37391869440469472</v>
      </c>
      <c r="AN216">
        <v>1850.75</v>
      </c>
      <c r="AO216">
        <v>692.03</v>
      </c>
      <c r="AP216">
        <v>0.37390000000000001</v>
      </c>
      <c r="AQ216">
        <v>0.62609999999999999</v>
      </c>
      <c r="AR216">
        <v>40216</v>
      </c>
      <c r="AS216">
        <v>3351</v>
      </c>
      <c r="AT216">
        <v>0.10100000000000001</v>
      </c>
      <c r="AU216">
        <v>32807</v>
      </c>
      <c r="AV216">
        <v>32807</v>
      </c>
      <c r="AW216">
        <v>33179</v>
      </c>
      <c r="AX216">
        <v>20311</v>
      </c>
      <c r="AY216">
        <v>842.91</v>
      </c>
      <c r="AZ216">
        <v>0.83360000000000001</v>
      </c>
      <c r="BA216">
        <v>3690.51</v>
      </c>
      <c r="BB216">
        <v>0.98880000000000001</v>
      </c>
      <c r="BC216">
        <v>0.85140562248995977</v>
      </c>
      <c r="BD216">
        <v>0.88049999999999995</v>
      </c>
      <c r="BE216">
        <v>0.74129999999999996</v>
      </c>
    </row>
    <row r="217" spans="1:57" x14ac:dyDescent="0.35">
      <c r="A217" t="s">
        <v>1014</v>
      </c>
      <c r="B217" t="s">
        <v>1015</v>
      </c>
      <c r="C217" t="s">
        <v>562</v>
      </c>
      <c r="D217" t="s">
        <v>556</v>
      </c>
      <c r="E217" t="s">
        <v>551</v>
      </c>
      <c r="F217" t="s">
        <v>123</v>
      </c>
      <c r="G217" t="s">
        <v>628</v>
      </c>
      <c r="H217">
        <v>818</v>
      </c>
      <c r="I217">
        <v>-3.0735430216417212E-2</v>
      </c>
      <c r="J217">
        <v>793</v>
      </c>
      <c r="K217">
        <v>4136</v>
      </c>
      <c r="L217">
        <v>720</v>
      </c>
      <c r="M217" t="s">
        <v>617</v>
      </c>
      <c r="N217">
        <v>5.23</v>
      </c>
      <c r="O217">
        <v>5.49</v>
      </c>
      <c r="P217">
        <v>33.5</v>
      </c>
      <c r="Q217">
        <v>30.9</v>
      </c>
      <c r="R217">
        <v>2</v>
      </c>
      <c r="S217">
        <v>8.5000000000000006E-2</v>
      </c>
      <c r="T217">
        <v>1.01E-2</v>
      </c>
      <c r="U217">
        <v>0.94379999999999997</v>
      </c>
      <c r="AH217">
        <v>309.26</v>
      </c>
      <c r="AI217">
        <v>33.22</v>
      </c>
      <c r="AJ217">
        <v>139.87</v>
      </c>
      <c r="AK217">
        <v>29.09</v>
      </c>
      <c r="AL217">
        <v>511.44</v>
      </c>
      <c r="AM217">
        <v>0.2010790958497426</v>
      </c>
      <c r="AN217">
        <v>640.16</v>
      </c>
      <c r="AO217">
        <v>128.72</v>
      </c>
      <c r="AP217">
        <v>0.2011</v>
      </c>
      <c r="AQ217">
        <v>0.79890000000000005</v>
      </c>
      <c r="AR217">
        <v>47467</v>
      </c>
      <c r="AS217">
        <v>3956</v>
      </c>
      <c r="AT217">
        <v>0.1323</v>
      </c>
      <c r="AU217">
        <v>44051</v>
      </c>
      <c r="AV217">
        <v>44051</v>
      </c>
      <c r="AW217">
        <v>44500</v>
      </c>
      <c r="AX217">
        <v>6189</v>
      </c>
      <c r="AY217">
        <v>566.29</v>
      </c>
      <c r="AZ217">
        <v>0.88039999999999996</v>
      </c>
      <c r="BA217">
        <v>526.07000000000005</v>
      </c>
      <c r="BB217">
        <v>0.9899</v>
      </c>
      <c r="BC217">
        <v>0.95264116575591995</v>
      </c>
      <c r="BD217">
        <v>0.9052</v>
      </c>
      <c r="BE217">
        <v>0.85360000000000003</v>
      </c>
    </row>
    <row r="218" spans="1:57" x14ac:dyDescent="0.35">
      <c r="A218" t="s">
        <v>1016</v>
      </c>
      <c r="B218" t="s">
        <v>1017</v>
      </c>
      <c r="C218" t="s">
        <v>555</v>
      </c>
      <c r="D218" t="s">
        <v>549</v>
      </c>
      <c r="E218" t="s">
        <v>551</v>
      </c>
      <c r="F218" t="s">
        <v>123</v>
      </c>
      <c r="G218" t="s">
        <v>551</v>
      </c>
      <c r="H218">
        <v>931</v>
      </c>
      <c r="I218">
        <v>4.3365649036043348E-2</v>
      </c>
      <c r="J218">
        <v>971</v>
      </c>
      <c r="K218">
        <v>2326</v>
      </c>
      <c r="L218">
        <v>495</v>
      </c>
      <c r="M218" t="s">
        <v>622</v>
      </c>
      <c r="N218">
        <v>7.04</v>
      </c>
      <c r="O218">
        <v>8.1</v>
      </c>
      <c r="P218">
        <v>36.200000000000003</v>
      </c>
      <c r="Q218">
        <v>31.8</v>
      </c>
      <c r="R218">
        <v>4</v>
      </c>
      <c r="S218">
        <v>0.1074</v>
      </c>
      <c r="T218">
        <v>1.9800000000000002E-2</v>
      </c>
      <c r="U218">
        <v>0.89149999999999996</v>
      </c>
      <c r="AH218">
        <v>1476.09</v>
      </c>
      <c r="AI218">
        <v>50.36</v>
      </c>
      <c r="AJ218">
        <v>178.51</v>
      </c>
      <c r="AK218">
        <v>86.18</v>
      </c>
      <c r="AL218">
        <v>1791.14</v>
      </c>
      <c r="AM218">
        <v>0.27695126598969477</v>
      </c>
      <c r="AN218">
        <v>2477.21</v>
      </c>
      <c r="AO218">
        <v>686.07</v>
      </c>
      <c r="AP218">
        <v>0.27700000000000002</v>
      </c>
      <c r="AQ218">
        <v>0.72299999999999998</v>
      </c>
      <c r="AR218">
        <v>22754</v>
      </c>
      <c r="AS218">
        <v>1896</v>
      </c>
      <c r="AT218">
        <v>0.2374</v>
      </c>
      <c r="AU218">
        <v>20923</v>
      </c>
      <c r="AV218">
        <v>20923</v>
      </c>
      <c r="AW218">
        <v>21346</v>
      </c>
      <c r="AX218">
        <v>1126</v>
      </c>
      <c r="AY218">
        <v>152.01</v>
      </c>
      <c r="AZ218">
        <v>0.95799999999999996</v>
      </c>
      <c r="BA218">
        <v>120.93</v>
      </c>
      <c r="BB218">
        <v>0.98019999999999996</v>
      </c>
      <c r="BC218">
        <v>0.8691358024691358</v>
      </c>
      <c r="BD218">
        <v>0.8538</v>
      </c>
      <c r="BE218">
        <v>0.72740000000000005</v>
      </c>
    </row>
    <row r="219" spans="1:57" x14ac:dyDescent="0.35">
      <c r="A219" t="s">
        <v>1018</v>
      </c>
      <c r="B219" t="s">
        <v>1019</v>
      </c>
      <c r="C219" t="s">
        <v>606</v>
      </c>
      <c r="D219" t="s">
        <v>556</v>
      </c>
      <c r="E219" t="s">
        <v>551</v>
      </c>
      <c r="F219" t="s">
        <v>123</v>
      </c>
      <c r="G219" t="s">
        <v>628</v>
      </c>
      <c r="H219">
        <v>402</v>
      </c>
      <c r="I219">
        <v>0.19958687784823739</v>
      </c>
      <c r="J219">
        <v>482</v>
      </c>
      <c r="K219">
        <v>3517</v>
      </c>
      <c r="L219">
        <v>277</v>
      </c>
      <c r="M219" t="s">
        <v>649</v>
      </c>
      <c r="N219">
        <v>13.23</v>
      </c>
      <c r="O219">
        <v>14.76</v>
      </c>
      <c r="P219">
        <v>35.4</v>
      </c>
      <c r="Q219">
        <v>46.7</v>
      </c>
      <c r="R219">
        <v>2</v>
      </c>
      <c r="S219">
        <v>0.11600000000000001</v>
      </c>
      <c r="T219">
        <v>2.0500000000000001E-2</v>
      </c>
      <c r="U219">
        <v>0.84189999999999998</v>
      </c>
      <c r="AH219">
        <v>410.91</v>
      </c>
      <c r="AI219">
        <v>37.08</v>
      </c>
      <c r="AJ219">
        <v>411.07</v>
      </c>
      <c r="AK219">
        <v>80.89</v>
      </c>
      <c r="AL219">
        <v>939.95</v>
      </c>
      <c r="AM219">
        <v>0.25481791529150549</v>
      </c>
      <c r="AN219">
        <v>1261.3699999999999</v>
      </c>
      <c r="AO219">
        <v>321.42</v>
      </c>
      <c r="AP219">
        <v>0.25480000000000003</v>
      </c>
      <c r="AQ219">
        <v>0.74519999999999997</v>
      </c>
      <c r="AR219">
        <v>19078</v>
      </c>
      <c r="AS219">
        <v>1590</v>
      </c>
      <c r="AT219">
        <v>0.1075</v>
      </c>
      <c r="AU219">
        <v>15838</v>
      </c>
      <c r="AV219">
        <v>15838</v>
      </c>
      <c r="AW219">
        <v>16169</v>
      </c>
      <c r="AX219">
        <v>447</v>
      </c>
      <c r="AY219">
        <v>109.96</v>
      </c>
      <c r="AZ219">
        <v>0.85880000000000001</v>
      </c>
      <c r="BA219">
        <v>51.85</v>
      </c>
      <c r="BB219">
        <v>0.97950000000000004</v>
      </c>
      <c r="BC219">
        <v>0.89634146341463417</v>
      </c>
      <c r="BD219">
        <v>0.84340000000000004</v>
      </c>
      <c r="BE219">
        <v>0.74050000000000005</v>
      </c>
    </row>
    <row r="220" spans="1:57" x14ac:dyDescent="0.35">
      <c r="A220" t="s">
        <v>1020</v>
      </c>
      <c r="B220" t="s">
        <v>1021</v>
      </c>
      <c r="C220" t="s">
        <v>606</v>
      </c>
      <c r="D220" t="s">
        <v>556</v>
      </c>
      <c r="E220" t="s">
        <v>551</v>
      </c>
      <c r="F220" t="s">
        <v>123</v>
      </c>
      <c r="G220" t="s">
        <v>551</v>
      </c>
      <c r="H220">
        <v>2733</v>
      </c>
      <c r="I220">
        <v>0.1977816079553259</v>
      </c>
      <c r="J220">
        <v>3274</v>
      </c>
      <c r="K220">
        <v>5431</v>
      </c>
      <c r="L220">
        <v>820</v>
      </c>
      <c r="M220" t="s">
        <v>629</v>
      </c>
      <c r="N220">
        <v>1.89</v>
      </c>
      <c r="O220">
        <v>2.21</v>
      </c>
      <c r="P220">
        <v>38</v>
      </c>
      <c r="Q220">
        <v>54.1</v>
      </c>
      <c r="R220">
        <v>2</v>
      </c>
      <c r="S220">
        <v>0.17449999999999999</v>
      </c>
      <c r="T220">
        <v>5.4999999999999997E-3</v>
      </c>
      <c r="U220">
        <v>0.95220000000000005</v>
      </c>
      <c r="AH220">
        <v>931.14</v>
      </c>
      <c r="AI220">
        <v>69.39</v>
      </c>
      <c r="AJ220">
        <v>41.7</v>
      </c>
      <c r="AK220">
        <v>84.77</v>
      </c>
      <c r="AL220">
        <v>1127</v>
      </c>
      <c r="AM220">
        <v>0.1545310102614324</v>
      </c>
      <c r="AN220">
        <v>1332.99</v>
      </c>
      <c r="AO220">
        <v>205.99</v>
      </c>
      <c r="AP220">
        <v>0.1545</v>
      </c>
      <c r="AQ220">
        <v>0.84550000000000003</v>
      </c>
      <c r="AR220">
        <v>27853</v>
      </c>
      <c r="AS220">
        <v>2321</v>
      </c>
      <c r="AT220">
        <v>0.2442</v>
      </c>
      <c r="AU220">
        <v>23242</v>
      </c>
      <c r="AV220">
        <v>23242</v>
      </c>
      <c r="AW220">
        <v>23371</v>
      </c>
      <c r="AX220">
        <v>14306</v>
      </c>
      <c r="AY220">
        <v>526.94000000000005</v>
      </c>
      <c r="AZ220">
        <v>0.83360000000000001</v>
      </c>
      <c r="BA220">
        <v>2496.4</v>
      </c>
      <c r="BB220">
        <v>0.99450000000000005</v>
      </c>
      <c r="BC220">
        <v>0.85520361990950222</v>
      </c>
      <c r="BD220">
        <v>0.88049999999999995</v>
      </c>
      <c r="BE220">
        <v>0.74890000000000001</v>
      </c>
    </row>
    <row r="221" spans="1:57" x14ac:dyDescent="0.35">
      <c r="A221" t="s">
        <v>1022</v>
      </c>
      <c r="B221" t="s">
        <v>1023</v>
      </c>
      <c r="C221" t="s">
        <v>606</v>
      </c>
      <c r="D221" t="s">
        <v>549</v>
      </c>
      <c r="E221" t="s">
        <v>557</v>
      </c>
      <c r="F221" t="s">
        <v>123</v>
      </c>
      <c r="G221" t="s">
        <v>551</v>
      </c>
      <c r="H221">
        <v>358</v>
      </c>
      <c r="I221">
        <v>-4.3450822866983797E-2</v>
      </c>
      <c r="J221">
        <v>342</v>
      </c>
      <c r="K221">
        <v>11205</v>
      </c>
      <c r="L221">
        <v>1639</v>
      </c>
      <c r="M221" t="s">
        <v>593</v>
      </c>
      <c r="N221">
        <v>2.29</v>
      </c>
      <c r="O221">
        <v>2.56</v>
      </c>
      <c r="P221">
        <v>51.8</v>
      </c>
      <c r="Q221">
        <v>10.5</v>
      </c>
      <c r="R221">
        <v>2</v>
      </c>
      <c r="S221">
        <v>5.1799999999999999E-2</v>
      </c>
      <c r="T221">
        <v>1.04E-2</v>
      </c>
      <c r="U221">
        <v>0.93089999999999995</v>
      </c>
      <c r="AH221">
        <v>163.94</v>
      </c>
      <c r="AI221">
        <v>17.09</v>
      </c>
      <c r="AJ221">
        <v>56.68</v>
      </c>
      <c r="AK221">
        <v>14.12</v>
      </c>
      <c r="AL221">
        <v>251.83</v>
      </c>
      <c r="AM221">
        <v>0.34818952839320322</v>
      </c>
      <c r="AN221">
        <v>386.35</v>
      </c>
      <c r="AO221">
        <v>134.52000000000001</v>
      </c>
      <c r="AP221">
        <v>0.34820000000000001</v>
      </c>
      <c r="AQ221">
        <v>0.65180000000000005</v>
      </c>
      <c r="AR221">
        <v>96163</v>
      </c>
      <c r="AS221">
        <v>8014</v>
      </c>
      <c r="AT221">
        <v>0.115</v>
      </c>
      <c r="AU221">
        <v>86597</v>
      </c>
      <c r="AV221">
        <v>86597</v>
      </c>
      <c r="AW221">
        <v>87507</v>
      </c>
      <c r="AX221">
        <v>13030</v>
      </c>
      <c r="AY221">
        <v>555.95000000000005</v>
      </c>
      <c r="AZ221">
        <v>0.85650000000000004</v>
      </c>
      <c r="BA221">
        <v>674.95</v>
      </c>
      <c r="BB221">
        <v>0.98960000000000004</v>
      </c>
      <c r="BC221">
        <v>0.89453125</v>
      </c>
      <c r="BD221">
        <v>0.87629999999999997</v>
      </c>
      <c r="BE221">
        <v>0.77569999999999995</v>
      </c>
    </row>
    <row r="222" spans="1:57" x14ac:dyDescent="0.35">
      <c r="A222" t="s">
        <v>1024</v>
      </c>
      <c r="B222" t="s">
        <v>1025</v>
      </c>
      <c r="C222" t="s">
        <v>606</v>
      </c>
      <c r="D222" t="s">
        <v>556</v>
      </c>
      <c r="E222" t="s">
        <v>551</v>
      </c>
      <c r="F222" t="s">
        <v>123</v>
      </c>
      <c r="G222" t="s">
        <v>566</v>
      </c>
      <c r="H222">
        <v>134</v>
      </c>
      <c r="I222">
        <v>5.7414203184733767E-2</v>
      </c>
      <c r="J222">
        <v>142</v>
      </c>
      <c r="K222">
        <v>2885</v>
      </c>
      <c r="L222">
        <v>616</v>
      </c>
      <c r="M222" t="s">
        <v>714</v>
      </c>
      <c r="N222">
        <v>3.39</v>
      </c>
      <c r="O222">
        <v>3.85</v>
      </c>
      <c r="P222">
        <v>83.7</v>
      </c>
      <c r="Q222">
        <v>21.2</v>
      </c>
      <c r="R222">
        <v>4</v>
      </c>
      <c r="S222">
        <v>0.18010000000000001</v>
      </c>
      <c r="T222">
        <v>1.06E-2</v>
      </c>
      <c r="U222">
        <v>0.97650000000000003</v>
      </c>
      <c r="AH222">
        <v>748.38</v>
      </c>
      <c r="AI222">
        <v>65.72</v>
      </c>
      <c r="AJ222">
        <v>87.11</v>
      </c>
      <c r="AK222">
        <v>105.49</v>
      </c>
      <c r="AL222">
        <v>1006.7</v>
      </c>
      <c r="AM222">
        <v>0.1672614765786499</v>
      </c>
      <c r="AN222">
        <v>1208.9000000000001</v>
      </c>
      <c r="AO222">
        <v>202.2</v>
      </c>
      <c r="AP222">
        <v>0.1673</v>
      </c>
      <c r="AQ222">
        <v>0.8327</v>
      </c>
      <c r="AR222">
        <v>29389</v>
      </c>
      <c r="AS222">
        <v>2449</v>
      </c>
      <c r="AT222">
        <v>0.20610000000000001</v>
      </c>
      <c r="AU222">
        <v>27120</v>
      </c>
      <c r="AV222">
        <v>27120</v>
      </c>
      <c r="AW222">
        <v>27411</v>
      </c>
      <c r="AX222">
        <v>5744</v>
      </c>
      <c r="AY222">
        <v>368.57</v>
      </c>
      <c r="AZ222">
        <v>0.82769999999999999</v>
      </c>
      <c r="BA222">
        <v>1034.49</v>
      </c>
      <c r="BB222">
        <v>0.98939999999999995</v>
      </c>
      <c r="BC222">
        <v>0.88051948051948048</v>
      </c>
      <c r="BD222">
        <v>0.89029999999999987</v>
      </c>
      <c r="BE222">
        <v>0.77559999999999996</v>
      </c>
    </row>
    <row r="223" spans="1:57" x14ac:dyDescent="0.35">
      <c r="A223" t="s">
        <v>1026</v>
      </c>
      <c r="B223" t="s">
        <v>1027</v>
      </c>
      <c r="C223" t="s">
        <v>573</v>
      </c>
      <c r="D223" t="s">
        <v>556</v>
      </c>
      <c r="E223" t="s">
        <v>550</v>
      </c>
      <c r="F223" t="s">
        <v>123</v>
      </c>
      <c r="G223" t="s">
        <v>551</v>
      </c>
      <c r="H223">
        <v>1081</v>
      </c>
      <c r="I223">
        <v>0.1077926614891766</v>
      </c>
      <c r="J223">
        <v>1198</v>
      </c>
      <c r="K223">
        <v>822</v>
      </c>
      <c r="L223">
        <v>107</v>
      </c>
      <c r="M223" t="s">
        <v>714</v>
      </c>
      <c r="N223">
        <v>5.19</v>
      </c>
      <c r="O223">
        <v>5.77</v>
      </c>
      <c r="P223">
        <v>63</v>
      </c>
      <c r="Q223">
        <v>31.9</v>
      </c>
      <c r="R223">
        <v>3</v>
      </c>
      <c r="S223">
        <v>0.3165</v>
      </c>
      <c r="T223">
        <v>6.3E-3</v>
      </c>
      <c r="U223">
        <v>0.82799999999999996</v>
      </c>
      <c r="AH223">
        <v>1283.29</v>
      </c>
      <c r="AI223">
        <v>141.62</v>
      </c>
      <c r="AJ223">
        <v>125.98</v>
      </c>
      <c r="AK223">
        <v>135.05000000000001</v>
      </c>
      <c r="AL223">
        <v>1685.94</v>
      </c>
      <c r="AM223">
        <v>0.26856375524423842</v>
      </c>
      <c r="AN223">
        <v>2304.9699999999998</v>
      </c>
      <c r="AO223">
        <v>619.03</v>
      </c>
      <c r="AP223">
        <v>0.26860000000000001</v>
      </c>
      <c r="AQ223">
        <v>0.73140000000000005</v>
      </c>
      <c r="AR223">
        <v>6378</v>
      </c>
      <c r="AS223">
        <v>532</v>
      </c>
      <c r="AT223">
        <v>0.1729</v>
      </c>
      <c r="AU223">
        <v>5663</v>
      </c>
      <c r="AV223">
        <v>5663</v>
      </c>
      <c r="AW223">
        <v>5699</v>
      </c>
      <c r="AX223">
        <v>1194</v>
      </c>
      <c r="AY223">
        <v>114.82</v>
      </c>
      <c r="AZ223">
        <v>0.82769999999999999</v>
      </c>
      <c r="BA223">
        <v>377.9</v>
      </c>
      <c r="BB223">
        <v>0.99370000000000003</v>
      </c>
      <c r="BC223">
        <v>0.8994800693240903</v>
      </c>
      <c r="BD223">
        <v>0.89029999999999987</v>
      </c>
      <c r="BE223">
        <v>0.79579999999999995</v>
      </c>
    </row>
    <row r="224" spans="1:57" x14ac:dyDescent="0.35">
      <c r="A224" t="s">
        <v>1028</v>
      </c>
      <c r="B224" t="s">
        <v>1029</v>
      </c>
      <c r="C224" t="s">
        <v>573</v>
      </c>
      <c r="D224" t="s">
        <v>549</v>
      </c>
      <c r="E224" t="s">
        <v>551</v>
      </c>
      <c r="F224" t="s">
        <v>123</v>
      </c>
      <c r="G224" t="s">
        <v>628</v>
      </c>
      <c r="H224">
        <v>1685</v>
      </c>
      <c r="I224">
        <v>0.1025562873694103</v>
      </c>
      <c r="J224">
        <v>1858</v>
      </c>
      <c r="K224">
        <v>2692</v>
      </c>
      <c r="L224">
        <v>475</v>
      </c>
      <c r="M224" t="s">
        <v>578</v>
      </c>
      <c r="N224">
        <v>4.9000000000000004</v>
      </c>
      <c r="O224">
        <v>5.45</v>
      </c>
      <c r="P224">
        <v>50.2</v>
      </c>
      <c r="Q224">
        <v>40.6</v>
      </c>
      <c r="R224">
        <v>2</v>
      </c>
      <c r="S224">
        <v>0.1232</v>
      </c>
      <c r="T224">
        <v>2.0400000000000001E-2</v>
      </c>
      <c r="U224">
        <v>0.84060000000000001</v>
      </c>
      <c r="AH224">
        <v>967.9</v>
      </c>
      <c r="AI224">
        <v>48.69</v>
      </c>
      <c r="AJ224">
        <v>131.09</v>
      </c>
      <c r="AK224">
        <v>76.819999999999993</v>
      </c>
      <c r="AL224">
        <v>1224.5</v>
      </c>
      <c r="AM224">
        <v>0.29016957373473751</v>
      </c>
      <c r="AN224">
        <v>1725.06</v>
      </c>
      <c r="AO224">
        <v>500.56</v>
      </c>
      <c r="AP224">
        <v>0.29020000000000001</v>
      </c>
      <c r="AQ224">
        <v>0.70979999999999999</v>
      </c>
      <c r="AR224">
        <v>17575</v>
      </c>
      <c r="AS224">
        <v>1465</v>
      </c>
      <c r="AT224">
        <v>0.23039999999999999</v>
      </c>
      <c r="AU224">
        <v>15358</v>
      </c>
      <c r="AV224">
        <v>15358</v>
      </c>
      <c r="AW224">
        <v>15678</v>
      </c>
      <c r="AX224">
        <v>3528</v>
      </c>
      <c r="AY224">
        <v>320.45999999999998</v>
      </c>
      <c r="AZ224">
        <v>0.96060000000000001</v>
      </c>
      <c r="BA224">
        <v>434.65</v>
      </c>
      <c r="BB224">
        <v>0.97960000000000003</v>
      </c>
      <c r="BC224">
        <v>0.8990825688073395</v>
      </c>
      <c r="BD224">
        <v>0.86430000000000007</v>
      </c>
      <c r="BE224">
        <v>0.76119999999999999</v>
      </c>
    </row>
    <row r="225" spans="1:57" x14ac:dyDescent="0.35">
      <c r="A225" t="s">
        <v>1030</v>
      </c>
      <c r="B225" t="s">
        <v>1031</v>
      </c>
      <c r="C225" t="s">
        <v>606</v>
      </c>
      <c r="D225" t="s">
        <v>549</v>
      </c>
      <c r="E225" t="s">
        <v>550</v>
      </c>
      <c r="F225" t="s">
        <v>123</v>
      </c>
      <c r="G225" t="s">
        <v>628</v>
      </c>
      <c r="H225">
        <v>1413</v>
      </c>
      <c r="I225">
        <v>-4.0928094346624463E-2</v>
      </c>
      <c r="J225">
        <v>1355</v>
      </c>
      <c r="K225">
        <v>969</v>
      </c>
      <c r="L225">
        <v>298</v>
      </c>
      <c r="M225" t="s">
        <v>552</v>
      </c>
      <c r="N225">
        <v>7.73</v>
      </c>
      <c r="O225">
        <v>8.9700000000000006</v>
      </c>
      <c r="P225">
        <v>104.7</v>
      </c>
      <c r="Q225">
        <v>50.3</v>
      </c>
      <c r="R225">
        <v>4</v>
      </c>
      <c r="S225">
        <v>0.12230000000000001</v>
      </c>
      <c r="T225">
        <v>2.1000000000000001E-2</v>
      </c>
      <c r="U225">
        <v>0.83809999999999996</v>
      </c>
      <c r="AH225">
        <v>1566.04</v>
      </c>
      <c r="AI225">
        <v>45.88</v>
      </c>
      <c r="AJ225">
        <v>132.30000000000001</v>
      </c>
      <c r="AK225">
        <v>148.33000000000001</v>
      </c>
      <c r="AL225">
        <v>1892.55</v>
      </c>
      <c r="AM225">
        <v>0.30710661415364682</v>
      </c>
      <c r="AN225">
        <v>2731.37</v>
      </c>
      <c r="AO225">
        <v>838.82</v>
      </c>
      <c r="AP225">
        <v>0.30709999999999998</v>
      </c>
      <c r="AQ225">
        <v>0.69289999999999996</v>
      </c>
      <c r="AR225">
        <v>10650</v>
      </c>
      <c r="AS225">
        <v>888</v>
      </c>
      <c r="AT225">
        <v>0.17419999999999999</v>
      </c>
      <c r="AU225">
        <v>9979</v>
      </c>
      <c r="AV225">
        <v>9979</v>
      </c>
      <c r="AW225">
        <v>10193</v>
      </c>
      <c r="AX225">
        <v>2387</v>
      </c>
      <c r="AY225">
        <v>356.86</v>
      </c>
      <c r="AZ225">
        <v>0.84030000000000005</v>
      </c>
      <c r="BA225">
        <v>291.93</v>
      </c>
      <c r="BB225">
        <v>0.97899999999999998</v>
      </c>
      <c r="BC225">
        <v>0.8617614269788183</v>
      </c>
      <c r="BD225">
        <v>0.85919999999999996</v>
      </c>
      <c r="BE225">
        <v>0.72489999999999999</v>
      </c>
    </row>
    <row r="226" spans="1:57" x14ac:dyDescent="0.35">
      <c r="A226" t="s">
        <v>1032</v>
      </c>
      <c r="B226" t="s">
        <v>1033</v>
      </c>
      <c r="C226" t="s">
        <v>555</v>
      </c>
      <c r="D226" t="s">
        <v>549</v>
      </c>
      <c r="E226" t="s">
        <v>550</v>
      </c>
      <c r="F226" t="s">
        <v>123</v>
      </c>
      <c r="G226" t="s">
        <v>551</v>
      </c>
      <c r="H226">
        <v>1228</v>
      </c>
      <c r="I226">
        <v>0.14417763923879531</v>
      </c>
      <c r="J226">
        <v>1405</v>
      </c>
      <c r="K226">
        <v>2797</v>
      </c>
      <c r="L226">
        <v>425</v>
      </c>
      <c r="M226" t="s">
        <v>552</v>
      </c>
      <c r="N226">
        <v>7.33</v>
      </c>
      <c r="O226">
        <v>8.33</v>
      </c>
      <c r="P226">
        <v>97.9</v>
      </c>
      <c r="Q226">
        <v>41.3</v>
      </c>
      <c r="R226">
        <v>4</v>
      </c>
      <c r="S226">
        <v>0.24349999999999999</v>
      </c>
      <c r="T226">
        <v>7.3000000000000001E-3</v>
      </c>
      <c r="U226">
        <v>0.94269999999999998</v>
      </c>
      <c r="AH226">
        <v>899.99</v>
      </c>
      <c r="AI226">
        <v>92.26</v>
      </c>
      <c r="AJ226">
        <v>168.66</v>
      </c>
      <c r="AK226">
        <v>113.27</v>
      </c>
      <c r="AL226">
        <v>1274.18</v>
      </c>
      <c r="AM226">
        <v>0.32215790732696892</v>
      </c>
      <c r="AN226">
        <v>1879.76</v>
      </c>
      <c r="AO226">
        <v>605.58000000000004</v>
      </c>
      <c r="AP226">
        <v>0.32219999999999999</v>
      </c>
      <c r="AQ226">
        <v>0.67779999999999996</v>
      </c>
      <c r="AR226">
        <v>17433</v>
      </c>
      <c r="AS226">
        <v>1453</v>
      </c>
      <c r="AT226">
        <v>0.1709</v>
      </c>
      <c r="AU226">
        <v>15061</v>
      </c>
      <c r="AV226">
        <v>15061</v>
      </c>
      <c r="AW226">
        <v>15172</v>
      </c>
      <c r="AX226">
        <v>3554</v>
      </c>
      <c r="AY226">
        <v>493.41</v>
      </c>
      <c r="AZ226">
        <v>0.84030000000000005</v>
      </c>
      <c r="BA226">
        <v>865.4</v>
      </c>
      <c r="BB226">
        <v>0.99270000000000003</v>
      </c>
      <c r="BC226">
        <v>0.87995198079231696</v>
      </c>
      <c r="BD226">
        <v>0.85919999999999996</v>
      </c>
      <c r="BE226">
        <v>0.75049999999999994</v>
      </c>
    </row>
    <row r="227" spans="1:57" x14ac:dyDescent="0.35">
      <c r="A227" t="s">
        <v>1034</v>
      </c>
      <c r="B227" t="s">
        <v>1035</v>
      </c>
      <c r="C227" t="s">
        <v>562</v>
      </c>
      <c r="D227" t="s">
        <v>556</v>
      </c>
      <c r="E227" t="s">
        <v>557</v>
      </c>
      <c r="F227" t="s">
        <v>123</v>
      </c>
      <c r="G227" t="s">
        <v>558</v>
      </c>
      <c r="H227">
        <v>1195</v>
      </c>
      <c r="I227">
        <v>2.8797380274339739E-2</v>
      </c>
      <c r="J227">
        <v>1229</v>
      </c>
      <c r="K227">
        <v>4097</v>
      </c>
      <c r="L227">
        <v>950</v>
      </c>
      <c r="M227" t="s">
        <v>625</v>
      </c>
      <c r="N227">
        <v>3.1</v>
      </c>
      <c r="O227">
        <v>3.53</v>
      </c>
      <c r="P227">
        <v>48.8</v>
      </c>
      <c r="Q227">
        <v>18.3</v>
      </c>
      <c r="R227">
        <v>1</v>
      </c>
      <c r="S227">
        <v>4.5499999999999999E-2</v>
      </c>
      <c r="T227">
        <v>1.04E-2</v>
      </c>
      <c r="U227">
        <v>0.83360000000000001</v>
      </c>
      <c r="AH227">
        <v>199.62</v>
      </c>
      <c r="AI227">
        <v>17.829999999999998</v>
      </c>
      <c r="AJ227">
        <v>42.66</v>
      </c>
      <c r="AK227">
        <v>14.39</v>
      </c>
      <c r="AL227">
        <v>274.5</v>
      </c>
      <c r="AM227">
        <v>0.21331809588067879</v>
      </c>
      <c r="AN227">
        <v>348.93</v>
      </c>
      <c r="AO227">
        <v>74.430000000000007</v>
      </c>
      <c r="AP227">
        <v>0.21329999999999999</v>
      </c>
      <c r="AQ227">
        <v>0.78669999999999995</v>
      </c>
      <c r="AR227">
        <v>70953</v>
      </c>
      <c r="AS227">
        <v>5913</v>
      </c>
      <c r="AT227">
        <v>0.1132</v>
      </c>
      <c r="AU227">
        <v>67806</v>
      </c>
      <c r="AV227">
        <v>67806</v>
      </c>
      <c r="AW227">
        <v>68519</v>
      </c>
      <c r="AX227">
        <v>19452</v>
      </c>
      <c r="AY227">
        <v>1144.43</v>
      </c>
      <c r="AZ227">
        <v>0.91749999999999998</v>
      </c>
      <c r="BA227">
        <v>885.07</v>
      </c>
      <c r="BB227">
        <v>0.98960000000000004</v>
      </c>
      <c r="BC227">
        <v>0.87818696883852698</v>
      </c>
      <c r="BD227">
        <v>0.88009999999999988</v>
      </c>
      <c r="BE227">
        <v>0.76490000000000002</v>
      </c>
    </row>
    <row r="228" spans="1:57" x14ac:dyDescent="0.35">
      <c r="A228" t="s">
        <v>1036</v>
      </c>
      <c r="B228" t="s">
        <v>1037</v>
      </c>
      <c r="C228" t="s">
        <v>548</v>
      </c>
      <c r="D228" t="s">
        <v>556</v>
      </c>
      <c r="E228" t="s">
        <v>551</v>
      </c>
      <c r="F228" t="s">
        <v>123</v>
      </c>
      <c r="G228" t="s">
        <v>551</v>
      </c>
      <c r="H228">
        <v>1943</v>
      </c>
      <c r="I228">
        <v>0.184205615508273</v>
      </c>
      <c r="J228">
        <v>2301</v>
      </c>
      <c r="K228">
        <v>1930</v>
      </c>
      <c r="L228">
        <v>460</v>
      </c>
      <c r="M228" t="s">
        <v>587</v>
      </c>
      <c r="N228">
        <v>8.9700000000000006</v>
      </c>
      <c r="O228">
        <v>9.93</v>
      </c>
      <c r="P228">
        <v>38.6</v>
      </c>
      <c r="Q228">
        <v>27.4</v>
      </c>
      <c r="R228">
        <v>2</v>
      </c>
      <c r="S228">
        <v>6.9599999999999995E-2</v>
      </c>
      <c r="T228">
        <v>4.4000000000000003E-3</v>
      </c>
      <c r="U228">
        <v>0.81200000000000006</v>
      </c>
      <c r="AH228">
        <v>1038.77</v>
      </c>
      <c r="AI228">
        <v>31.81</v>
      </c>
      <c r="AJ228">
        <v>175.66</v>
      </c>
      <c r="AK228">
        <v>86.28</v>
      </c>
      <c r="AL228">
        <v>1332.52</v>
      </c>
      <c r="AM228">
        <v>0.15249469416461231</v>
      </c>
      <c r="AN228">
        <v>1572.29</v>
      </c>
      <c r="AO228">
        <v>239.77</v>
      </c>
      <c r="AP228">
        <v>0.1525</v>
      </c>
      <c r="AQ228">
        <v>0.84750000000000003</v>
      </c>
      <c r="AR228">
        <v>33624</v>
      </c>
      <c r="AS228">
        <v>2802</v>
      </c>
      <c r="AT228">
        <v>0.10829999999999999</v>
      </c>
      <c r="AU228">
        <v>32154</v>
      </c>
      <c r="AV228">
        <v>32154</v>
      </c>
      <c r="AW228">
        <v>32296</v>
      </c>
      <c r="AX228">
        <v>4677</v>
      </c>
      <c r="AY228">
        <v>774.04</v>
      </c>
      <c r="AZ228">
        <v>0.92379999999999995</v>
      </c>
      <c r="BA228">
        <v>325.52</v>
      </c>
      <c r="BB228">
        <v>0.99560000000000004</v>
      </c>
      <c r="BC228">
        <v>0.90332326283987929</v>
      </c>
      <c r="BD228">
        <v>0.87459999999999993</v>
      </c>
      <c r="BE228">
        <v>0.78659999999999997</v>
      </c>
    </row>
    <row r="229" spans="1:57" x14ac:dyDescent="0.35">
      <c r="A229" t="s">
        <v>1038</v>
      </c>
      <c r="B229" t="s">
        <v>1039</v>
      </c>
      <c r="C229" t="s">
        <v>555</v>
      </c>
      <c r="D229" t="s">
        <v>556</v>
      </c>
      <c r="E229" t="s">
        <v>551</v>
      </c>
      <c r="F229" t="s">
        <v>123</v>
      </c>
      <c r="G229" t="s">
        <v>558</v>
      </c>
      <c r="H229">
        <v>630</v>
      </c>
      <c r="I229">
        <v>0.13128893188777871</v>
      </c>
      <c r="J229">
        <v>713</v>
      </c>
      <c r="K229">
        <v>3816</v>
      </c>
      <c r="L229">
        <v>753</v>
      </c>
      <c r="M229" t="s">
        <v>649</v>
      </c>
      <c r="N229">
        <v>12.61</v>
      </c>
      <c r="O229">
        <v>14.13</v>
      </c>
      <c r="P229">
        <v>40.9</v>
      </c>
      <c r="Q229">
        <v>40.5</v>
      </c>
      <c r="R229">
        <v>3</v>
      </c>
      <c r="S229">
        <v>0.1875</v>
      </c>
      <c r="T229">
        <v>1.6400000000000001E-2</v>
      </c>
      <c r="U229">
        <v>0.97970000000000002</v>
      </c>
      <c r="AH229">
        <v>283.86</v>
      </c>
      <c r="AI229">
        <v>89.7</v>
      </c>
      <c r="AJ229">
        <v>279.11</v>
      </c>
      <c r="AK229">
        <v>69.5</v>
      </c>
      <c r="AL229">
        <v>722.17</v>
      </c>
      <c r="AM229">
        <v>0.33086091558872799</v>
      </c>
      <c r="AN229">
        <v>1079.25</v>
      </c>
      <c r="AO229">
        <v>357.08</v>
      </c>
      <c r="AP229">
        <v>0.33090000000000003</v>
      </c>
      <c r="AQ229">
        <v>0.66910000000000003</v>
      </c>
      <c r="AR229">
        <v>35350</v>
      </c>
      <c r="AS229">
        <v>2946</v>
      </c>
      <c r="AT229">
        <v>0.23580000000000001</v>
      </c>
      <c r="AU229">
        <v>32287</v>
      </c>
      <c r="AV229">
        <v>32287</v>
      </c>
      <c r="AW229">
        <v>32825</v>
      </c>
      <c r="AX229">
        <v>907</v>
      </c>
      <c r="AY229">
        <v>213.6</v>
      </c>
      <c r="AZ229">
        <v>0.85880000000000001</v>
      </c>
      <c r="BA229">
        <v>170.06</v>
      </c>
      <c r="BB229">
        <v>0.98360000000000003</v>
      </c>
      <c r="BC229">
        <v>0.89242745930644007</v>
      </c>
      <c r="BD229">
        <v>0.84340000000000004</v>
      </c>
      <c r="BE229">
        <v>0.74029999999999996</v>
      </c>
    </row>
    <row r="230" spans="1:57" x14ac:dyDescent="0.35">
      <c r="A230" t="s">
        <v>1040</v>
      </c>
      <c r="B230" t="s">
        <v>1041</v>
      </c>
      <c r="C230" t="s">
        <v>555</v>
      </c>
      <c r="D230" t="s">
        <v>556</v>
      </c>
      <c r="E230" t="s">
        <v>550</v>
      </c>
      <c r="F230" t="s">
        <v>123</v>
      </c>
      <c r="G230" t="s">
        <v>558</v>
      </c>
      <c r="H230">
        <v>1160</v>
      </c>
      <c r="I230">
        <v>-1.218829281626636E-2</v>
      </c>
      <c r="J230">
        <v>1146</v>
      </c>
      <c r="K230">
        <v>1183</v>
      </c>
      <c r="L230">
        <v>258</v>
      </c>
      <c r="M230" t="s">
        <v>601</v>
      </c>
      <c r="N230">
        <v>2.92</v>
      </c>
      <c r="O230">
        <v>3.38</v>
      </c>
      <c r="P230">
        <v>108.4</v>
      </c>
      <c r="Q230">
        <v>34.799999999999997</v>
      </c>
      <c r="R230">
        <v>4</v>
      </c>
      <c r="S230">
        <v>0.46179999999999999</v>
      </c>
      <c r="T230">
        <v>5.4999999999999997E-3</v>
      </c>
      <c r="U230">
        <v>0.80449999999999999</v>
      </c>
      <c r="AH230">
        <v>765.65</v>
      </c>
      <c r="AI230">
        <v>226.77</v>
      </c>
      <c r="AJ230">
        <v>77.89</v>
      </c>
      <c r="AK230">
        <v>87.96</v>
      </c>
      <c r="AL230">
        <v>1158.27</v>
      </c>
      <c r="AM230">
        <v>0.28391414983689472</v>
      </c>
      <c r="AN230">
        <v>1617.5</v>
      </c>
      <c r="AO230">
        <v>459.23</v>
      </c>
      <c r="AP230">
        <v>0.28389999999999999</v>
      </c>
      <c r="AQ230">
        <v>0.71609999999999996</v>
      </c>
      <c r="AR230">
        <v>11487</v>
      </c>
      <c r="AS230">
        <v>957</v>
      </c>
      <c r="AT230">
        <v>0.13569999999999999</v>
      </c>
      <c r="AU230">
        <v>10562</v>
      </c>
      <c r="AV230">
        <v>10562</v>
      </c>
      <c r="AW230">
        <v>10620</v>
      </c>
      <c r="AX230">
        <v>351</v>
      </c>
      <c r="AY230">
        <v>19.77</v>
      </c>
      <c r="AZ230">
        <v>0.85140000000000005</v>
      </c>
      <c r="BA230">
        <v>162.09</v>
      </c>
      <c r="BB230">
        <v>0.99450000000000005</v>
      </c>
      <c r="BC230">
        <v>0.86390532544378695</v>
      </c>
      <c r="BD230">
        <v>0.86569999999999991</v>
      </c>
      <c r="BE230">
        <v>0.74380000000000002</v>
      </c>
    </row>
    <row r="231" spans="1:57" x14ac:dyDescent="0.35">
      <c r="A231" t="s">
        <v>1042</v>
      </c>
      <c r="B231" t="s">
        <v>1043</v>
      </c>
      <c r="C231" t="s">
        <v>555</v>
      </c>
      <c r="D231" t="s">
        <v>549</v>
      </c>
      <c r="E231" t="s">
        <v>551</v>
      </c>
      <c r="F231" t="s">
        <v>123</v>
      </c>
      <c r="G231" t="s">
        <v>551</v>
      </c>
      <c r="H231">
        <v>2377</v>
      </c>
      <c r="I231">
        <v>5.0994469081637059E-2</v>
      </c>
      <c r="J231">
        <v>2498</v>
      </c>
      <c r="K231">
        <v>3795</v>
      </c>
      <c r="L231">
        <v>776</v>
      </c>
      <c r="M231" t="s">
        <v>601</v>
      </c>
      <c r="N231">
        <v>11.57</v>
      </c>
      <c r="O231">
        <v>13.54</v>
      </c>
      <c r="P231">
        <v>72.400000000000006</v>
      </c>
      <c r="Q231">
        <v>46.2</v>
      </c>
      <c r="R231">
        <v>3</v>
      </c>
      <c r="S231">
        <v>0.1578</v>
      </c>
      <c r="T231">
        <v>2.47E-2</v>
      </c>
      <c r="U231">
        <v>0.95030000000000003</v>
      </c>
      <c r="AH231">
        <v>968.81</v>
      </c>
      <c r="AI231">
        <v>72.17</v>
      </c>
      <c r="AJ231">
        <v>392.8</v>
      </c>
      <c r="AK231">
        <v>126.55</v>
      </c>
      <c r="AL231">
        <v>1560.33</v>
      </c>
      <c r="AM231">
        <v>0.35902942580181219</v>
      </c>
      <c r="AN231">
        <v>2434.3200000000002</v>
      </c>
      <c r="AO231">
        <v>873.99</v>
      </c>
      <c r="AP231">
        <v>0.35899999999999999</v>
      </c>
      <c r="AQ231">
        <v>0.64100000000000001</v>
      </c>
      <c r="AR231">
        <v>38988</v>
      </c>
      <c r="AS231">
        <v>3249</v>
      </c>
      <c r="AT231">
        <v>0.14330000000000001</v>
      </c>
      <c r="AU231">
        <v>35969</v>
      </c>
      <c r="AV231">
        <v>35969</v>
      </c>
      <c r="AW231">
        <v>36880</v>
      </c>
      <c r="AX231">
        <v>1220</v>
      </c>
      <c r="AY231">
        <v>275.31</v>
      </c>
      <c r="AZ231">
        <v>0.85140000000000005</v>
      </c>
      <c r="BA231">
        <v>192.52</v>
      </c>
      <c r="BB231">
        <v>0.97530000000000006</v>
      </c>
      <c r="BC231">
        <v>0.8545051698670606</v>
      </c>
      <c r="BD231">
        <v>0.86569999999999991</v>
      </c>
      <c r="BE231">
        <v>0.72150000000000003</v>
      </c>
    </row>
    <row r="232" spans="1:57" x14ac:dyDescent="0.35">
      <c r="A232" t="s">
        <v>1044</v>
      </c>
      <c r="B232" t="s">
        <v>1045</v>
      </c>
      <c r="C232" t="s">
        <v>606</v>
      </c>
      <c r="D232" t="s">
        <v>556</v>
      </c>
      <c r="E232" t="s">
        <v>551</v>
      </c>
      <c r="F232" t="s">
        <v>123</v>
      </c>
      <c r="G232" t="s">
        <v>566</v>
      </c>
      <c r="H232">
        <v>429</v>
      </c>
      <c r="I232">
        <v>-8.5563649591810648E-3</v>
      </c>
      <c r="J232">
        <v>425</v>
      </c>
      <c r="K232">
        <v>3768</v>
      </c>
      <c r="L232">
        <v>683</v>
      </c>
      <c r="M232" t="s">
        <v>563</v>
      </c>
      <c r="N232">
        <v>4.08</v>
      </c>
      <c r="O232">
        <v>4.6900000000000004</v>
      </c>
      <c r="P232">
        <v>82.4</v>
      </c>
      <c r="Q232">
        <v>29.8</v>
      </c>
      <c r="R232">
        <v>4</v>
      </c>
      <c r="S232">
        <v>0.15790000000000001</v>
      </c>
      <c r="T232">
        <v>0.02</v>
      </c>
      <c r="U232">
        <v>0.86580000000000001</v>
      </c>
      <c r="AH232">
        <v>307.41000000000003</v>
      </c>
      <c r="AI232">
        <v>57.33</v>
      </c>
      <c r="AJ232">
        <v>103.24</v>
      </c>
      <c r="AK232">
        <v>37.58</v>
      </c>
      <c r="AL232">
        <v>505.56</v>
      </c>
      <c r="AM232">
        <v>0.35534709072517362</v>
      </c>
      <c r="AN232">
        <v>784.24</v>
      </c>
      <c r="AO232">
        <v>278.68</v>
      </c>
      <c r="AP232">
        <v>0.35539999999999999</v>
      </c>
      <c r="AQ232">
        <v>0.64459999999999995</v>
      </c>
      <c r="AR232">
        <v>30470</v>
      </c>
      <c r="AS232">
        <v>2539</v>
      </c>
      <c r="AT232">
        <v>0.2092</v>
      </c>
      <c r="AU232">
        <v>27385</v>
      </c>
      <c r="AV232">
        <v>27385</v>
      </c>
      <c r="AW232">
        <v>27944</v>
      </c>
      <c r="AX232">
        <v>2313</v>
      </c>
      <c r="AY232">
        <v>180.8</v>
      </c>
      <c r="AZ232">
        <v>0.92459999999999998</v>
      </c>
      <c r="BA232">
        <v>365.22</v>
      </c>
      <c r="BB232">
        <v>0.98</v>
      </c>
      <c r="BC232">
        <v>0.86993603411513853</v>
      </c>
      <c r="BD232">
        <v>0.83379999999999999</v>
      </c>
      <c r="BE232">
        <v>0.71079999999999999</v>
      </c>
    </row>
    <row r="233" spans="1:57" x14ac:dyDescent="0.35">
      <c r="A233" t="s">
        <v>1046</v>
      </c>
      <c r="B233" t="s">
        <v>1047</v>
      </c>
      <c r="C233" t="s">
        <v>573</v>
      </c>
      <c r="D233" t="s">
        <v>549</v>
      </c>
      <c r="E233" t="s">
        <v>551</v>
      </c>
      <c r="F233" t="s">
        <v>123</v>
      </c>
      <c r="G233" t="s">
        <v>551</v>
      </c>
      <c r="H233">
        <v>585</v>
      </c>
      <c r="I233">
        <v>2.2646889951588769E-2</v>
      </c>
      <c r="J233">
        <v>598</v>
      </c>
      <c r="K233">
        <v>3895</v>
      </c>
      <c r="L233">
        <v>722</v>
      </c>
      <c r="M233" t="s">
        <v>622</v>
      </c>
      <c r="N233">
        <v>3.73</v>
      </c>
      <c r="O233">
        <v>4.43</v>
      </c>
      <c r="P233">
        <v>57</v>
      </c>
      <c r="Q233">
        <v>57</v>
      </c>
      <c r="R233">
        <v>3</v>
      </c>
      <c r="S233">
        <v>6.2300000000000001E-2</v>
      </c>
      <c r="T233">
        <v>1.0999999999999999E-2</v>
      </c>
      <c r="U233">
        <v>0.95150000000000001</v>
      </c>
      <c r="AH233">
        <v>587.27</v>
      </c>
      <c r="AI233">
        <v>27.26</v>
      </c>
      <c r="AJ233">
        <v>110.18</v>
      </c>
      <c r="AK233">
        <v>38.46</v>
      </c>
      <c r="AL233">
        <v>763.17</v>
      </c>
      <c r="AM233">
        <v>0.36083154194697081</v>
      </c>
      <c r="AN233">
        <v>1194</v>
      </c>
      <c r="AO233">
        <v>430.83</v>
      </c>
      <c r="AP233">
        <v>0.36080000000000001</v>
      </c>
      <c r="AQ233">
        <v>0.63919999999999999</v>
      </c>
      <c r="AR233">
        <v>39704</v>
      </c>
      <c r="AS233">
        <v>3309</v>
      </c>
      <c r="AT233">
        <v>0.1376</v>
      </c>
      <c r="AU233">
        <v>36531</v>
      </c>
      <c r="AV233">
        <v>36531</v>
      </c>
      <c r="AW233">
        <v>36937</v>
      </c>
      <c r="AX233">
        <v>1950</v>
      </c>
      <c r="AY233">
        <v>143.97999999999999</v>
      </c>
      <c r="AZ233">
        <v>0.95799999999999996</v>
      </c>
      <c r="BA233">
        <v>121.48</v>
      </c>
      <c r="BB233">
        <v>0.98899999999999999</v>
      </c>
      <c r="BC233">
        <v>0.84198645598194133</v>
      </c>
      <c r="BD233">
        <v>0.8538</v>
      </c>
      <c r="BE233">
        <v>0.71099999999999997</v>
      </c>
    </row>
    <row r="234" spans="1:57" x14ac:dyDescent="0.35">
      <c r="A234" t="s">
        <v>1048</v>
      </c>
      <c r="B234" t="s">
        <v>1049</v>
      </c>
      <c r="C234" t="s">
        <v>548</v>
      </c>
      <c r="D234" t="s">
        <v>556</v>
      </c>
      <c r="E234" t="s">
        <v>550</v>
      </c>
      <c r="F234" t="s">
        <v>123</v>
      </c>
      <c r="G234" t="s">
        <v>551</v>
      </c>
      <c r="H234">
        <v>531</v>
      </c>
      <c r="I234">
        <v>1.4655208722009689E-2</v>
      </c>
      <c r="J234">
        <v>539</v>
      </c>
      <c r="K234">
        <v>729</v>
      </c>
      <c r="L234">
        <v>207</v>
      </c>
      <c r="M234" t="s">
        <v>559</v>
      </c>
      <c r="N234">
        <v>13.39</v>
      </c>
      <c r="O234">
        <v>15.66</v>
      </c>
      <c r="P234">
        <v>94.5</v>
      </c>
      <c r="Q234">
        <v>53.3</v>
      </c>
      <c r="R234">
        <v>4</v>
      </c>
      <c r="S234">
        <v>0.1983</v>
      </c>
      <c r="T234">
        <v>1.7600000000000001E-2</v>
      </c>
      <c r="U234">
        <v>0.89980000000000004</v>
      </c>
      <c r="AH234">
        <v>1226.29</v>
      </c>
      <c r="AI234">
        <v>76.849999999999994</v>
      </c>
      <c r="AJ234">
        <v>315.16000000000003</v>
      </c>
      <c r="AK234">
        <v>99.69</v>
      </c>
      <c r="AL234">
        <v>1717.99</v>
      </c>
      <c r="AM234">
        <v>0.27127366499488498</v>
      </c>
      <c r="AN234">
        <v>2357.52</v>
      </c>
      <c r="AO234">
        <v>639.53</v>
      </c>
      <c r="AP234">
        <v>0.27129999999999999</v>
      </c>
      <c r="AQ234">
        <v>0.72870000000000001</v>
      </c>
      <c r="AR234">
        <v>9248</v>
      </c>
      <c r="AS234">
        <v>771</v>
      </c>
      <c r="AT234">
        <v>0.2419</v>
      </c>
      <c r="AU234">
        <v>8726</v>
      </c>
      <c r="AV234">
        <v>8726</v>
      </c>
      <c r="AW234">
        <v>8882</v>
      </c>
      <c r="AX234">
        <v>374</v>
      </c>
      <c r="AY234">
        <v>97.61</v>
      </c>
      <c r="AZ234">
        <v>0.84179999999999999</v>
      </c>
      <c r="BA234">
        <v>74.16</v>
      </c>
      <c r="BB234">
        <v>0.98240000000000005</v>
      </c>
      <c r="BC234">
        <v>0.85504469987228615</v>
      </c>
      <c r="BD234">
        <v>0.8367</v>
      </c>
      <c r="BE234">
        <v>0.70279999999999998</v>
      </c>
    </row>
    <row r="235" spans="1:57" x14ac:dyDescent="0.35">
      <c r="A235" t="s">
        <v>1050</v>
      </c>
      <c r="B235" t="s">
        <v>1051</v>
      </c>
      <c r="C235" t="s">
        <v>555</v>
      </c>
      <c r="D235" t="s">
        <v>549</v>
      </c>
      <c r="E235" t="s">
        <v>551</v>
      </c>
      <c r="F235" t="s">
        <v>123</v>
      </c>
      <c r="G235" t="s">
        <v>566</v>
      </c>
      <c r="H235">
        <v>313</v>
      </c>
      <c r="I235">
        <v>-9.5950471785321428E-3</v>
      </c>
      <c r="J235">
        <v>310</v>
      </c>
      <c r="K235">
        <v>4279</v>
      </c>
      <c r="L235">
        <v>1493</v>
      </c>
      <c r="M235" t="s">
        <v>590</v>
      </c>
      <c r="N235">
        <v>6.16</v>
      </c>
      <c r="O235">
        <v>6.93</v>
      </c>
      <c r="P235">
        <v>37.9</v>
      </c>
      <c r="Q235">
        <v>30.5</v>
      </c>
      <c r="R235">
        <v>3</v>
      </c>
      <c r="S235">
        <v>0.17480000000000001</v>
      </c>
      <c r="T235">
        <v>2.3E-2</v>
      </c>
      <c r="U235">
        <v>0.96230000000000004</v>
      </c>
      <c r="AH235">
        <v>427.99</v>
      </c>
      <c r="AI235">
        <v>61.34</v>
      </c>
      <c r="AJ235">
        <v>157.19</v>
      </c>
      <c r="AK235">
        <v>52.49</v>
      </c>
      <c r="AL235">
        <v>699.01</v>
      </c>
      <c r="AM235">
        <v>0.23340709895921641</v>
      </c>
      <c r="AN235">
        <v>911.84</v>
      </c>
      <c r="AO235">
        <v>212.83</v>
      </c>
      <c r="AP235">
        <v>0.2334</v>
      </c>
      <c r="AQ235">
        <v>0.76659999999999995</v>
      </c>
      <c r="AR235">
        <v>44377</v>
      </c>
      <c r="AS235">
        <v>3698</v>
      </c>
      <c r="AT235">
        <v>0.2054</v>
      </c>
      <c r="AU235">
        <v>41591</v>
      </c>
      <c r="AV235">
        <v>41591</v>
      </c>
      <c r="AW235">
        <v>42570</v>
      </c>
      <c r="AX235">
        <v>1678</v>
      </c>
      <c r="AY235">
        <v>193.81</v>
      </c>
      <c r="AZ235">
        <v>0.84340000000000004</v>
      </c>
      <c r="BA235">
        <v>293.31</v>
      </c>
      <c r="BB235">
        <v>0.97699999999999998</v>
      </c>
      <c r="BC235">
        <v>0.88888888888888895</v>
      </c>
      <c r="BD235">
        <v>0.8498</v>
      </c>
      <c r="BE235">
        <v>0.73799999999999999</v>
      </c>
    </row>
    <row r="236" spans="1:57" x14ac:dyDescent="0.35">
      <c r="A236" t="s">
        <v>1052</v>
      </c>
      <c r="B236" t="s">
        <v>1053</v>
      </c>
      <c r="C236" t="s">
        <v>573</v>
      </c>
      <c r="D236" t="s">
        <v>556</v>
      </c>
      <c r="E236" t="s">
        <v>551</v>
      </c>
      <c r="F236" t="s">
        <v>123</v>
      </c>
      <c r="G236" t="s">
        <v>551</v>
      </c>
      <c r="H236">
        <v>1259</v>
      </c>
      <c r="I236">
        <v>6.5982844203083188E-2</v>
      </c>
      <c r="J236">
        <v>1342</v>
      </c>
      <c r="K236">
        <v>8550</v>
      </c>
      <c r="L236">
        <v>775</v>
      </c>
      <c r="M236" t="s">
        <v>714</v>
      </c>
      <c r="N236">
        <v>1.51</v>
      </c>
      <c r="O236">
        <v>1.73</v>
      </c>
      <c r="P236">
        <v>64.900000000000006</v>
      </c>
      <c r="Q236">
        <v>48.7</v>
      </c>
      <c r="R236">
        <v>3</v>
      </c>
      <c r="S236">
        <v>0.1928</v>
      </c>
      <c r="T236">
        <v>1.47E-2</v>
      </c>
      <c r="U236">
        <v>0.9667</v>
      </c>
      <c r="AH236">
        <v>823.21</v>
      </c>
      <c r="AI236">
        <v>90.26</v>
      </c>
      <c r="AJ236">
        <v>19.75</v>
      </c>
      <c r="AK236">
        <v>60.33</v>
      </c>
      <c r="AL236">
        <v>993.55</v>
      </c>
      <c r="AM236">
        <v>0.34788955064784249</v>
      </c>
      <c r="AN236">
        <v>1523.59</v>
      </c>
      <c r="AO236">
        <v>530.04</v>
      </c>
      <c r="AP236">
        <v>0.34789999999999999</v>
      </c>
      <c r="AQ236">
        <v>0.65210000000000001</v>
      </c>
      <c r="AR236">
        <v>43572</v>
      </c>
      <c r="AS236">
        <v>3631</v>
      </c>
      <c r="AT236">
        <v>0.18160000000000001</v>
      </c>
      <c r="AU236">
        <v>35797</v>
      </c>
      <c r="AV236">
        <v>35797</v>
      </c>
      <c r="AW236">
        <v>36331</v>
      </c>
      <c r="AX236">
        <v>7614</v>
      </c>
      <c r="AY236">
        <v>219.54</v>
      </c>
      <c r="AZ236">
        <v>0.82769999999999999</v>
      </c>
      <c r="BA236">
        <v>1467.98</v>
      </c>
      <c r="BB236">
        <v>0.98529999999999995</v>
      </c>
      <c r="BC236">
        <v>0.8728323699421966</v>
      </c>
      <c r="BD236">
        <v>0.89029999999999987</v>
      </c>
      <c r="BE236">
        <v>0.76570000000000005</v>
      </c>
    </row>
    <row r="237" spans="1:57" x14ac:dyDescent="0.35">
      <c r="A237" t="s">
        <v>1054</v>
      </c>
      <c r="B237" t="s">
        <v>1055</v>
      </c>
      <c r="C237" t="s">
        <v>562</v>
      </c>
      <c r="D237" t="s">
        <v>556</v>
      </c>
      <c r="E237" t="s">
        <v>557</v>
      </c>
      <c r="F237" t="s">
        <v>123</v>
      </c>
      <c r="G237" t="s">
        <v>551</v>
      </c>
      <c r="H237">
        <v>277</v>
      </c>
      <c r="I237">
        <v>-2.6648007006176099E-2</v>
      </c>
      <c r="J237">
        <v>270</v>
      </c>
      <c r="K237">
        <v>7307</v>
      </c>
      <c r="L237">
        <v>2065</v>
      </c>
      <c r="M237" t="s">
        <v>590</v>
      </c>
      <c r="N237">
        <v>2.84</v>
      </c>
      <c r="O237">
        <v>3.37</v>
      </c>
      <c r="P237">
        <v>20.6</v>
      </c>
      <c r="Q237">
        <v>31</v>
      </c>
      <c r="R237">
        <v>1</v>
      </c>
      <c r="S237">
        <v>7.5399999999999995E-2</v>
      </c>
      <c r="T237">
        <v>6.0000000000000001E-3</v>
      </c>
      <c r="U237">
        <v>0.80159999999999998</v>
      </c>
      <c r="AH237">
        <v>658.98</v>
      </c>
      <c r="AI237">
        <v>23.2</v>
      </c>
      <c r="AJ237">
        <v>50.85</v>
      </c>
      <c r="AK237">
        <v>39.22</v>
      </c>
      <c r="AL237">
        <v>772.25</v>
      </c>
      <c r="AM237">
        <v>0.2628235282573137</v>
      </c>
      <c r="AN237">
        <v>1047.58</v>
      </c>
      <c r="AO237">
        <v>275.33</v>
      </c>
      <c r="AP237">
        <v>0.26279999999999998</v>
      </c>
      <c r="AQ237">
        <v>0.73719999999999997</v>
      </c>
      <c r="AR237">
        <v>65440</v>
      </c>
      <c r="AS237">
        <v>5453</v>
      </c>
      <c r="AT237">
        <v>0.2298</v>
      </c>
      <c r="AU237">
        <v>60198</v>
      </c>
      <c r="AV237">
        <v>60198</v>
      </c>
      <c r="AW237">
        <v>60561</v>
      </c>
      <c r="AX237">
        <v>2387</v>
      </c>
      <c r="AY237">
        <v>134.07</v>
      </c>
      <c r="AZ237">
        <v>0.84340000000000004</v>
      </c>
      <c r="BA237">
        <v>179.98</v>
      </c>
      <c r="BB237">
        <v>0.99399999999999999</v>
      </c>
      <c r="BC237">
        <v>0.84272997032640939</v>
      </c>
      <c r="BD237">
        <v>0.8498</v>
      </c>
      <c r="BE237">
        <v>0.71189999999999998</v>
      </c>
    </row>
    <row r="238" spans="1:57" x14ac:dyDescent="0.35">
      <c r="A238" t="s">
        <v>1056</v>
      </c>
      <c r="B238" t="s">
        <v>1057</v>
      </c>
      <c r="C238" t="s">
        <v>548</v>
      </c>
      <c r="D238" t="s">
        <v>556</v>
      </c>
      <c r="E238" t="s">
        <v>557</v>
      </c>
      <c r="F238" t="s">
        <v>123</v>
      </c>
      <c r="G238" t="s">
        <v>551</v>
      </c>
      <c r="H238">
        <v>184</v>
      </c>
      <c r="I238">
        <v>2.808727547137839E-2</v>
      </c>
      <c r="J238">
        <v>189</v>
      </c>
      <c r="K238">
        <v>10117</v>
      </c>
      <c r="L238">
        <v>795</v>
      </c>
      <c r="M238" t="s">
        <v>784</v>
      </c>
      <c r="N238">
        <v>1.51</v>
      </c>
      <c r="O238">
        <v>1.71</v>
      </c>
      <c r="P238">
        <v>39.799999999999997</v>
      </c>
      <c r="Q238">
        <v>28</v>
      </c>
      <c r="R238">
        <v>2</v>
      </c>
      <c r="S238">
        <v>4.8000000000000001E-2</v>
      </c>
      <c r="T238">
        <v>1.34E-2</v>
      </c>
      <c r="U238">
        <v>0.81359999999999999</v>
      </c>
      <c r="AH238">
        <v>539.9</v>
      </c>
      <c r="AI238">
        <v>23.06</v>
      </c>
      <c r="AJ238">
        <v>29.48</v>
      </c>
      <c r="AK238">
        <v>64.61</v>
      </c>
      <c r="AL238">
        <v>657.05</v>
      </c>
      <c r="AM238">
        <v>0.19586054910085859</v>
      </c>
      <c r="AN238">
        <v>817.08</v>
      </c>
      <c r="AO238">
        <v>160.03</v>
      </c>
      <c r="AP238">
        <v>0.19589999999999999</v>
      </c>
      <c r="AQ238">
        <v>0.80410000000000004</v>
      </c>
      <c r="AR238">
        <v>86683</v>
      </c>
      <c r="AS238">
        <v>7224</v>
      </c>
      <c r="AT238">
        <v>8.8400000000000006E-2</v>
      </c>
      <c r="AU238">
        <v>77361</v>
      </c>
      <c r="AV238">
        <v>77361</v>
      </c>
      <c r="AW238">
        <v>78412</v>
      </c>
      <c r="AX238">
        <v>6219</v>
      </c>
      <c r="AY238">
        <v>177.24</v>
      </c>
      <c r="AZ238">
        <v>0.83850000000000002</v>
      </c>
      <c r="BA238">
        <v>298.51</v>
      </c>
      <c r="BB238">
        <v>0.98660000000000003</v>
      </c>
      <c r="BC238">
        <v>0.88304093567251463</v>
      </c>
      <c r="BD238">
        <v>0.84520000000000006</v>
      </c>
      <c r="BE238">
        <v>0.73629999999999995</v>
      </c>
    </row>
    <row r="239" spans="1:57" x14ac:dyDescent="0.35">
      <c r="A239" t="s">
        <v>1058</v>
      </c>
      <c r="B239" t="s">
        <v>1059</v>
      </c>
      <c r="C239" t="s">
        <v>548</v>
      </c>
      <c r="D239" t="s">
        <v>549</v>
      </c>
      <c r="E239" t="s">
        <v>551</v>
      </c>
      <c r="F239" t="s">
        <v>123</v>
      </c>
      <c r="G239" t="s">
        <v>551</v>
      </c>
      <c r="H239">
        <v>885</v>
      </c>
      <c r="I239">
        <v>2.9190419266881661E-2</v>
      </c>
      <c r="J239">
        <v>911</v>
      </c>
      <c r="K239">
        <v>6803</v>
      </c>
      <c r="L239">
        <v>883</v>
      </c>
      <c r="M239" t="s">
        <v>649</v>
      </c>
      <c r="N239">
        <v>13.74</v>
      </c>
      <c r="O239">
        <v>16.079999999999998</v>
      </c>
      <c r="P239">
        <v>71.400000000000006</v>
      </c>
      <c r="Q239">
        <v>53.5</v>
      </c>
      <c r="R239">
        <v>4</v>
      </c>
      <c r="S239">
        <v>0.11849999999999999</v>
      </c>
      <c r="T239">
        <v>2.1399999999999999E-2</v>
      </c>
      <c r="U239">
        <v>0.84509999999999996</v>
      </c>
      <c r="AH239">
        <v>1095.44</v>
      </c>
      <c r="AI239">
        <v>46.49</v>
      </c>
      <c r="AJ239">
        <v>312.75</v>
      </c>
      <c r="AK239">
        <v>172.65</v>
      </c>
      <c r="AL239">
        <v>1627.33</v>
      </c>
      <c r="AM239">
        <v>0.36374350489036861</v>
      </c>
      <c r="AN239">
        <v>2557.66</v>
      </c>
      <c r="AO239">
        <v>930.33</v>
      </c>
      <c r="AP239">
        <v>0.36370000000000002</v>
      </c>
      <c r="AQ239">
        <v>0.63629999999999998</v>
      </c>
      <c r="AR239">
        <v>49844</v>
      </c>
      <c r="AS239">
        <v>4154</v>
      </c>
      <c r="AT239">
        <v>0.1237</v>
      </c>
      <c r="AU239">
        <v>43924</v>
      </c>
      <c r="AV239">
        <v>43924</v>
      </c>
      <c r="AW239">
        <v>44885</v>
      </c>
      <c r="AX239">
        <v>1240</v>
      </c>
      <c r="AY239">
        <v>332.32</v>
      </c>
      <c r="AZ239">
        <v>0.85880000000000001</v>
      </c>
      <c r="BA239">
        <v>146.94</v>
      </c>
      <c r="BB239">
        <v>0.97860000000000003</v>
      </c>
      <c r="BC239">
        <v>0.85447761194029859</v>
      </c>
      <c r="BD239">
        <v>0.84340000000000004</v>
      </c>
      <c r="BE239">
        <v>0.70520000000000005</v>
      </c>
    </row>
    <row r="240" spans="1:57" x14ac:dyDescent="0.35">
      <c r="A240" t="s">
        <v>1060</v>
      </c>
      <c r="B240" t="s">
        <v>1061</v>
      </c>
      <c r="C240" t="s">
        <v>573</v>
      </c>
      <c r="D240" t="s">
        <v>556</v>
      </c>
      <c r="E240" t="s">
        <v>550</v>
      </c>
      <c r="F240" t="s">
        <v>123</v>
      </c>
      <c r="G240" t="s">
        <v>566</v>
      </c>
      <c r="H240">
        <v>1019</v>
      </c>
      <c r="I240">
        <v>0.17349742750196759</v>
      </c>
      <c r="J240">
        <v>1196</v>
      </c>
      <c r="K240">
        <v>3797</v>
      </c>
      <c r="L240">
        <v>453</v>
      </c>
      <c r="M240" t="s">
        <v>590</v>
      </c>
      <c r="N240">
        <v>3.02</v>
      </c>
      <c r="O240">
        <v>3.46</v>
      </c>
      <c r="P240">
        <v>69.2</v>
      </c>
      <c r="Q240">
        <v>83.3</v>
      </c>
      <c r="R240">
        <v>6</v>
      </c>
      <c r="S240">
        <v>0.13969999999999999</v>
      </c>
      <c r="T240">
        <v>1.9300000000000001E-2</v>
      </c>
      <c r="U240">
        <v>0.92049999999999998</v>
      </c>
      <c r="AH240">
        <v>692.52</v>
      </c>
      <c r="AI240">
        <v>59.71</v>
      </c>
      <c r="AJ240">
        <v>37.76</v>
      </c>
      <c r="AK240">
        <v>83.36</v>
      </c>
      <c r="AL240">
        <v>873.35</v>
      </c>
      <c r="AM240">
        <v>0.37063996919308678</v>
      </c>
      <c r="AN240">
        <v>1387.68</v>
      </c>
      <c r="AO240">
        <v>514.33000000000004</v>
      </c>
      <c r="AP240">
        <v>0.37059999999999998</v>
      </c>
      <c r="AQ240">
        <v>0.62939999999999996</v>
      </c>
      <c r="AR240">
        <v>19226</v>
      </c>
      <c r="AS240">
        <v>1602</v>
      </c>
      <c r="AT240">
        <v>0.15909999999999999</v>
      </c>
      <c r="AU240">
        <v>15882</v>
      </c>
      <c r="AV240">
        <v>15882</v>
      </c>
      <c r="AW240">
        <v>16195</v>
      </c>
      <c r="AX240">
        <v>638</v>
      </c>
      <c r="AY240">
        <v>36.79</v>
      </c>
      <c r="AZ240">
        <v>0.84340000000000004</v>
      </c>
      <c r="BA240">
        <v>89.13</v>
      </c>
      <c r="BB240">
        <v>0.98070000000000002</v>
      </c>
      <c r="BC240">
        <v>0.8728323699421966</v>
      </c>
      <c r="BD240">
        <v>0.8498</v>
      </c>
      <c r="BE240">
        <v>0.72740000000000005</v>
      </c>
    </row>
    <row r="241" spans="1:57" x14ac:dyDescent="0.35">
      <c r="A241" t="s">
        <v>1062</v>
      </c>
      <c r="B241" t="s">
        <v>1063</v>
      </c>
      <c r="C241" t="s">
        <v>548</v>
      </c>
      <c r="D241" t="s">
        <v>556</v>
      </c>
      <c r="E241" t="s">
        <v>551</v>
      </c>
      <c r="F241" t="s">
        <v>123</v>
      </c>
      <c r="G241" t="s">
        <v>628</v>
      </c>
      <c r="H241">
        <v>111</v>
      </c>
      <c r="I241">
        <v>0.13493258302138519</v>
      </c>
      <c r="J241">
        <v>126</v>
      </c>
      <c r="K241">
        <v>1616</v>
      </c>
      <c r="L241">
        <v>310</v>
      </c>
      <c r="M241" t="s">
        <v>601</v>
      </c>
      <c r="N241">
        <v>4.72</v>
      </c>
      <c r="O241">
        <v>5.3</v>
      </c>
      <c r="P241">
        <v>39.6</v>
      </c>
      <c r="Q241">
        <v>26.9</v>
      </c>
      <c r="R241">
        <v>2</v>
      </c>
      <c r="S241">
        <v>0.1188</v>
      </c>
      <c r="T241">
        <v>1.7000000000000001E-2</v>
      </c>
      <c r="U241">
        <v>0.95989999999999998</v>
      </c>
      <c r="AH241">
        <v>340.68</v>
      </c>
      <c r="AI241">
        <v>51.31</v>
      </c>
      <c r="AJ241">
        <v>67.84</v>
      </c>
      <c r="AK241">
        <v>50.47</v>
      </c>
      <c r="AL241">
        <v>510.3</v>
      </c>
      <c r="AM241">
        <v>0.2665774390350425</v>
      </c>
      <c r="AN241">
        <v>695.78</v>
      </c>
      <c r="AO241">
        <v>185.48</v>
      </c>
      <c r="AP241">
        <v>0.2666</v>
      </c>
      <c r="AQ241">
        <v>0.73340000000000005</v>
      </c>
      <c r="AR241">
        <v>18744</v>
      </c>
      <c r="AS241">
        <v>1562</v>
      </c>
      <c r="AT241">
        <v>0.1186</v>
      </c>
      <c r="AU241">
        <v>17438</v>
      </c>
      <c r="AV241">
        <v>17438</v>
      </c>
      <c r="AW241">
        <v>17740</v>
      </c>
      <c r="AX241">
        <v>586</v>
      </c>
      <c r="AY241">
        <v>51.76</v>
      </c>
      <c r="AZ241">
        <v>0.85140000000000005</v>
      </c>
      <c r="BA241">
        <v>69.62</v>
      </c>
      <c r="BB241">
        <v>0.98299999999999998</v>
      </c>
      <c r="BC241">
        <v>0.89056603773584908</v>
      </c>
      <c r="BD241">
        <v>0.86569999999999991</v>
      </c>
      <c r="BE241">
        <v>0.75790000000000002</v>
      </c>
    </row>
    <row r="242" spans="1:57" x14ac:dyDescent="0.35">
      <c r="A242" t="s">
        <v>1064</v>
      </c>
      <c r="B242" t="s">
        <v>1065</v>
      </c>
      <c r="C242" t="s">
        <v>573</v>
      </c>
      <c r="D242" t="s">
        <v>556</v>
      </c>
      <c r="E242" t="s">
        <v>557</v>
      </c>
      <c r="F242" t="s">
        <v>123</v>
      </c>
      <c r="G242" t="s">
        <v>551</v>
      </c>
      <c r="H242">
        <v>1423</v>
      </c>
      <c r="I242">
        <v>0.17048193957616101</v>
      </c>
      <c r="J242">
        <v>1666</v>
      </c>
      <c r="K242">
        <v>6548</v>
      </c>
      <c r="L242">
        <v>1196</v>
      </c>
      <c r="M242" t="s">
        <v>625</v>
      </c>
      <c r="N242">
        <v>1.78</v>
      </c>
      <c r="O242">
        <v>1.91</v>
      </c>
      <c r="P242">
        <v>27</v>
      </c>
      <c r="Q242">
        <v>14.2</v>
      </c>
      <c r="R242">
        <v>2</v>
      </c>
      <c r="S242">
        <v>6.4500000000000002E-2</v>
      </c>
      <c r="T242">
        <v>2.1899999999999999E-2</v>
      </c>
      <c r="U242">
        <v>0.88280000000000003</v>
      </c>
      <c r="AH242">
        <v>827.9</v>
      </c>
      <c r="AI242">
        <v>30.9</v>
      </c>
      <c r="AJ242">
        <v>29.67</v>
      </c>
      <c r="AK242">
        <v>59.47</v>
      </c>
      <c r="AL242">
        <v>947.94</v>
      </c>
      <c r="AM242">
        <v>0.16892493182744689</v>
      </c>
      <c r="AN242">
        <v>1140.6199999999999</v>
      </c>
      <c r="AO242">
        <v>192.68</v>
      </c>
      <c r="AP242">
        <v>0.16889999999999999</v>
      </c>
      <c r="AQ242">
        <v>0.83109999999999995</v>
      </c>
      <c r="AR242">
        <v>43026</v>
      </c>
      <c r="AS242">
        <v>3586</v>
      </c>
      <c r="AT242">
        <v>0.20649999999999999</v>
      </c>
      <c r="AU242">
        <v>37674</v>
      </c>
      <c r="AV242">
        <v>37674</v>
      </c>
      <c r="AW242">
        <v>38518</v>
      </c>
      <c r="AX242">
        <v>10935</v>
      </c>
      <c r="AY242">
        <v>348.1</v>
      </c>
      <c r="AZ242">
        <v>0.91749999999999998</v>
      </c>
      <c r="BA242">
        <v>705.31</v>
      </c>
      <c r="BB242">
        <v>0.97809999999999997</v>
      </c>
      <c r="BC242">
        <v>0.9319371727748692</v>
      </c>
      <c r="BD242">
        <v>0.88009999999999988</v>
      </c>
      <c r="BE242">
        <v>0.80220000000000002</v>
      </c>
    </row>
    <row r="243" spans="1:57" x14ac:dyDescent="0.35">
      <c r="A243" t="s">
        <v>1066</v>
      </c>
      <c r="B243" t="s">
        <v>1067</v>
      </c>
      <c r="C243" t="s">
        <v>548</v>
      </c>
      <c r="D243" t="s">
        <v>556</v>
      </c>
      <c r="E243" t="s">
        <v>551</v>
      </c>
      <c r="F243" t="s">
        <v>123</v>
      </c>
      <c r="G243" t="s">
        <v>551</v>
      </c>
      <c r="H243">
        <v>253</v>
      </c>
      <c r="I243">
        <v>-3.0148353839242619E-2</v>
      </c>
      <c r="J243">
        <v>245</v>
      </c>
      <c r="K243">
        <v>3241</v>
      </c>
      <c r="L243">
        <v>767</v>
      </c>
      <c r="M243" t="s">
        <v>570</v>
      </c>
      <c r="N243">
        <v>2.1</v>
      </c>
      <c r="O243">
        <v>2.3199999999999998</v>
      </c>
      <c r="P243">
        <v>43.8</v>
      </c>
      <c r="Q243">
        <v>24.3</v>
      </c>
      <c r="R243">
        <v>4</v>
      </c>
      <c r="S243">
        <v>5.7599999999999998E-2</v>
      </c>
      <c r="T243">
        <v>2.8199999999999999E-2</v>
      </c>
      <c r="U243">
        <v>0.9093</v>
      </c>
      <c r="AH243">
        <v>762.56</v>
      </c>
      <c r="AI243">
        <v>24.61</v>
      </c>
      <c r="AJ243">
        <v>68.28</v>
      </c>
      <c r="AK243">
        <v>100.3</v>
      </c>
      <c r="AL243">
        <v>955.75</v>
      </c>
      <c r="AM243">
        <v>0.2469565224792328</v>
      </c>
      <c r="AN243">
        <v>1269.18</v>
      </c>
      <c r="AO243">
        <v>313.43</v>
      </c>
      <c r="AP243">
        <v>0.247</v>
      </c>
      <c r="AQ243">
        <v>0.753</v>
      </c>
      <c r="AR243">
        <v>20594</v>
      </c>
      <c r="AS243">
        <v>1716</v>
      </c>
      <c r="AT243">
        <v>0.23630000000000001</v>
      </c>
      <c r="AU243">
        <v>18120</v>
      </c>
      <c r="AV243">
        <v>18120</v>
      </c>
      <c r="AW243">
        <v>18646</v>
      </c>
      <c r="AX243">
        <v>5680</v>
      </c>
      <c r="AY243">
        <v>219.63</v>
      </c>
      <c r="AZ243">
        <v>0.93740000000000001</v>
      </c>
      <c r="BA243">
        <v>327.17</v>
      </c>
      <c r="BB243">
        <v>0.9718</v>
      </c>
      <c r="BC243">
        <v>0.90517241379310354</v>
      </c>
      <c r="BD243">
        <v>0.87450000000000006</v>
      </c>
      <c r="BE243">
        <v>0.76929999999999998</v>
      </c>
    </row>
    <row r="244" spans="1:57" x14ac:dyDescent="0.35">
      <c r="A244" t="s">
        <v>1068</v>
      </c>
      <c r="B244" t="s">
        <v>1069</v>
      </c>
      <c r="C244" t="s">
        <v>548</v>
      </c>
      <c r="D244" t="s">
        <v>549</v>
      </c>
      <c r="E244" t="s">
        <v>550</v>
      </c>
      <c r="F244" t="s">
        <v>123</v>
      </c>
      <c r="G244" t="s">
        <v>551</v>
      </c>
      <c r="H244">
        <v>476</v>
      </c>
      <c r="I244">
        <v>6.7791974733203655E-2</v>
      </c>
      <c r="J244">
        <v>508</v>
      </c>
      <c r="K244">
        <v>1742</v>
      </c>
      <c r="L244">
        <v>169</v>
      </c>
      <c r="M244" t="s">
        <v>614</v>
      </c>
      <c r="N244">
        <v>23.93</v>
      </c>
      <c r="O244">
        <v>28.58</v>
      </c>
      <c r="P244">
        <v>106.6</v>
      </c>
      <c r="Q244">
        <v>38.299999999999997</v>
      </c>
      <c r="R244">
        <v>6</v>
      </c>
      <c r="S244">
        <v>0.26250000000000001</v>
      </c>
      <c r="T244">
        <v>2.6599999999999999E-2</v>
      </c>
      <c r="U244">
        <v>0.83389999999999997</v>
      </c>
      <c r="AH244">
        <v>1027.3499999999999</v>
      </c>
      <c r="AI244">
        <v>110.98</v>
      </c>
      <c r="AJ244">
        <v>475.2</v>
      </c>
      <c r="AK244">
        <v>102.92</v>
      </c>
      <c r="AL244">
        <v>1716.45</v>
      </c>
      <c r="AM244">
        <v>0.35088441486565081</v>
      </c>
      <c r="AN244">
        <v>2644.29</v>
      </c>
      <c r="AO244">
        <v>927.84</v>
      </c>
      <c r="AP244">
        <v>0.35089999999999999</v>
      </c>
      <c r="AQ244">
        <v>0.64910000000000001</v>
      </c>
      <c r="AR244">
        <v>12349</v>
      </c>
      <c r="AS244">
        <v>1029</v>
      </c>
      <c r="AT244">
        <v>0.152</v>
      </c>
      <c r="AU244">
        <v>10776</v>
      </c>
      <c r="AV244">
        <v>10776</v>
      </c>
      <c r="AW244">
        <v>11070</v>
      </c>
      <c r="AX244">
        <v>853</v>
      </c>
      <c r="AY244">
        <v>406.31</v>
      </c>
      <c r="AZ244">
        <v>0.92549999999999999</v>
      </c>
      <c r="BA244">
        <v>223.91</v>
      </c>
      <c r="BB244">
        <v>0.97340000000000004</v>
      </c>
      <c r="BC244">
        <v>0.83729881035689302</v>
      </c>
      <c r="BD244">
        <v>0.86540000000000006</v>
      </c>
      <c r="BE244">
        <v>0.70530000000000004</v>
      </c>
    </row>
    <row r="245" spans="1:57" x14ac:dyDescent="0.35">
      <c r="A245" t="s">
        <v>1070</v>
      </c>
      <c r="B245" t="s">
        <v>1071</v>
      </c>
      <c r="C245" t="s">
        <v>562</v>
      </c>
      <c r="D245" t="s">
        <v>556</v>
      </c>
      <c r="E245" t="s">
        <v>551</v>
      </c>
      <c r="F245" t="s">
        <v>123</v>
      </c>
      <c r="G245" t="s">
        <v>558</v>
      </c>
      <c r="H245">
        <v>1485</v>
      </c>
      <c r="I245">
        <v>1.1084985196616531E-2</v>
      </c>
      <c r="J245">
        <v>1501</v>
      </c>
      <c r="K245">
        <v>1416</v>
      </c>
      <c r="L245">
        <v>343</v>
      </c>
      <c r="M245" t="s">
        <v>677</v>
      </c>
      <c r="N245">
        <v>2.52</v>
      </c>
      <c r="O245">
        <v>2.88</v>
      </c>
      <c r="P245">
        <v>74.8</v>
      </c>
      <c r="Q245">
        <v>21.9</v>
      </c>
      <c r="R245">
        <v>2</v>
      </c>
      <c r="S245">
        <v>0.19</v>
      </c>
      <c r="T245">
        <v>4.1999999999999997E-3</v>
      </c>
      <c r="U245">
        <v>0.94489999999999996</v>
      </c>
      <c r="AH245">
        <v>635.11</v>
      </c>
      <c r="AI245">
        <v>59.53</v>
      </c>
      <c r="AJ245">
        <v>56.57</v>
      </c>
      <c r="AK245">
        <v>87.59</v>
      </c>
      <c r="AL245">
        <v>838.8</v>
      </c>
      <c r="AM245">
        <v>0.37544350713655722</v>
      </c>
      <c r="AN245">
        <v>1343.03</v>
      </c>
      <c r="AO245">
        <v>504.23</v>
      </c>
      <c r="AP245">
        <v>0.37540000000000001</v>
      </c>
      <c r="AQ245">
        <v>0.62460000000000004</v>
      </c>
      <c r="AR245">
        <v>22371</v>
      </c>
      <c r="AS245">
        <v>1864</v>
      </c>
      <c r="AT245">
        <v>0.13819999999999999</v>
      </c>
      <c r="AU245">
        <v>21298</v>
      </c>
      <c r="AV245">
        <v>21298</v>
      </c>
      <c r="AW245">
        <v>21388</v>
      </c>
      <c r="AX245">
        <v>1159</v>
      </c>
      <c r="AY245">
        <v>55.63</v>
      </c>
      <c r="AZ245">
        <v>0.88029999999999997</v>
      </c>
      <c r="BA245">
        <v>220.21</v>
      </c>
      <c r="BB245">
        <v>0.99580000000000002</v>
      </c>
      <c r="BC245">
        <v>0.875</v>
      </c>
      <c r="BD245">
        <v>0.86950000000000005</v>
      </c>
      <c r="BE245">
        <v>0.75760000000000005</v>
      </c>
    </row>
    <row r="246" spans="1:57" x14ac:dyDescent="0.35">
      <c r="A246" t="s">
        <v>1072</v>
      </c>
      <c r="B246" t="s">
        <v>1073</v>
      </c>
      <c r="C246" t="s">
        <v>548</v>
      </c>
      <c r="D246" t="s">
        <v>549</v>
      </c>
      <c r="E246" t="s">
        <v>551</v>
      </c>
      <c r="F246" t="s">
        <v>123</v>
      </c>
      <c r="G246" t="s">
        <v>558</v>
      </c>
      <c r="H246">
        <v>437</v>
      </c>
      <c r="I246">
        <v>0.1372065842408266</v>
      </c>
      <c r="J246">
        <v>497</v>
      </c>
      <c r="K246">
        <v>5005</v>
      </c>
      <c r="L246">
        <v>836</v>
      </c>
      <c r="M246" t="s">
        <v>791</v>
      </c>
      <c r="N246">
        <v>4.59</v>
      </c>
      <c r="O246">
        <v>5.17</v>
      </c>
      <c r="P246">
        <v>86.9</v>
      </c>
      <c r="Q246">
        <v>48.4</v>
      </c>
      <c r="R246">
        <v>3</v>
      </c>
      <c r="S246">
        <v>0.1128</v>
      </c>
      <c r="T246">
        <v>1.4500000000000001E-2</v>
      </c>
      <c r="U246">
        <v>0.97409999999999997</v>
      </c>
      <c r="AH246">
        <v>325.73</v>
      </c>
      <c r="AI246">
        <v>45.54</v>
      </c>
      <c r="AJ246">
        <v>71.98</v>
      </c>
      <c r="AK246">
        <v>53.03</v>
      </c>
      <c r="AL246">
        <v>496.28</v>
      </c>
      <c r="AM246">
        <v>0.20086818562439901</v>
      </c>
      <c r="AN246">
        <v>621.02</v>
      </c>
      <c r="AO246">
        <v>124.74</v>
      </c>
      <c r="AP246">
        <v>0.2009</v>
      </c>
      <c r="AQ246">
        <v>0.79910000000000003</v>
      </c>
      <c r="AR246">
        <v>33028</v>
      </c>
      <c r="AS246">
        <v>2752</v>
      </c>
      <c r="AT246">
        <v>0.24349999999999999</v>
      </c>
      <c r="AU246">
        <v>28859</v>
      </c>
      <c r="AV246">
        <v>28859</v>
      </c>
      <c r="AW246">
        <v>29284</v>
      </c>
      <c r="AX246">
        <v>6499</v>
      </c>
      <c r="AY246">
        <v>560</v>
      </c>
      <c r="AZ246">
        <v>0.88009999999999999</v>
      </c>
      <c r="BA246">
        <v>733.09</v>
      </c>
      <c r="BB246">
        <v>0.98550000000000004</v>
      </c>
      <c r="BC246">
        <v>0.88781431334622818</v>
      </c>
      <c r="BD246">
        <v>0.87970000000000004</v>
      </c>
      <c r="BE246">
        <v>0.76970000000000005</v>
      </c>
    </row>
    <row r="247" spans="1:57" x14ac:dyDescent="0.35">
      <c r="A247" t="s">
        <v>1074</v>
      </c>
      <c r="B247" t="s">
        <v>1075</v>
      </c>
      <c r="C247" t="s">
        <v>562</v>
      </c>
      <c r="D247" t="s">
        <v>556</v>
      </c>
      <c r="E247" t="s">
        <v>550</v>
      </c>
      <c r="F247" t="s">
        <v>123</v>
      </c>
      <c r="G247" t="s">
        <v>551</v>
      </c>
      <c r="H247">
        <v>388</v>
      </c>
      <c r="I247">
        <v>-1.8433814608874319E-2</v>
      </c>
      <c r="J247">
        <v>381</v>
      </c>
      <c r="K247">
        <v>1705</v>
      </c>
      <c r="L247">
        <v>737</v>
      </c>
      <c r="M247" t="s">
        <v>590</v>
      </c>
      <c r="N247">
        <v>14.1</v>
      </c>
      <c r="O247">
        <v>16.760000000000002</v>
      </c>
      <c r="P247">
        <v>45.5</v>
      </c>
      <c r="Q247">
        <v>75.8</v>
      </c>
      <c r="R247">
        <v>4</v>
      </c>
      <c r="S247">
        <v>0.25280000000000002</v>
      </c>
      <c r="T247">
        <v>2.1899999999999999E-2</v>
      </c>
      <c r="U247">
        <v>0.84830000000000005</v>
      </c>
      <c r="AH247">
        <v>419.88</v>
      </c>
      <c r="AI247">
        <v>83.43</v>
      </c>
      <c r="AJ247">
        <v>372.33</v>
      </c>
      <c r="AK247">
        <v>87.41</v>
      </c>
      <c r="AL247">
        <v>963.05</v>
      </c>
      <c r="AM247">
        <v>0.1667434030063179</v>
      </c>
      <c r="AN247">
        <v>1155.77</v>
      </c>
      <c r="AO247">
        <v>192.72</v>
      </c>
      <c r="AP247">
        <v>0.16669999999999999</v>
      </c>
      <c r="AQ247">
        <v>0.83330000000000004</v>
      </c>
      <c r="AR247">
        <v>28593</v>
      </c>
      <c r="AS247">
        <v>2383</v>
      </c>
      <c r="AT247">
        <v>0.15559999999999999</v>
      </c>
      <c r="AU247">
        <v>27625</v>
      </c>
      <c r="AV247">
        <v>27625</v>
      </c>
      <c r="AW247">
        <v>28244</v>
      </c>
      <c r="AX247">
        <v>1113</v>
      </c>
      <c r="AY247">
        <v>310.89999999999998</v>
      </c>
      <c r="AZ247">
        <v>0.84340000000000004</v>
      </c>
      <c r="BA247">
        <v>281.37</v>
      </c>
      <c r="BB247">
        <v>0.97809999999999997</v>
      </c>
      <c r="BC247">
        <v>0.84128878281622899</v>
      </c>
      <c r="BD247">
        <v>0.8498</v>
      </c>
      <c r="BE247">
        <v>0.69930000000000003</v>
      </c>
    </row>
    <row r="248" spans="1:57" x14ac:dyDescent="0.35">
      <c r="A248" t="s">
        <v>1076</v>
      </c>
      <c r="B248" t="s">
        <v>1077</v>
      </c>
      <c r="C248" t="s">
        <v>555</v>
      </c>
      <c r="D248" t="s">
        <v>549</v>
      </c>
      <c r="E248" t="s">
        <v>557</v>
      </c>
      <c r="F248" t="s">
        <v>123</v>
      </c>
      <c r="G248" t="s">
        <v>566</v>
      </c>
      <c r="H248">
        <v>223</v>
      </c>
      <c r="I248">
        <v>0.1979356542919597</v>
      </c>
      <c r="J248">
        <v>267</v>
      </c>
      <c r="K248">
        <v>5629</v>
      </c>
      <c r="L248">
        <v>763</v>
      </c>
      <c r="M248" t="s">
        <v>559</v>
      </c>
      <c r="N248">
        <v>10.58</v>
      </c>
      <c r="O248">
        <v>11.95</v>
      </c>
      <c r="P248">
        <v>38.1</v>
      </c>
      <c r="Q248">
        <v>37.299999999999997</v>
      </c>
      <c r="R248">
        <v>2</v>
      </c>
      <c r="S248">
        <v>7.8899999999999998E-2</v>
      </c>
      <c r="T248">
        <v>1.9400000000000001E-2</v>
      </c>
      <c r="U248">
        <v>0.8891</v>
      </c>
      <c r="AH248">
        <v>309.26</v>
      </c>
      <c r="AI248">
        <v>35.31</v>
      </c>
      <c r="AJ248">
        <v>186.58</v>
      </c>
      <c r="AK248">
        <v>63.04</v>
      </c>
      <c r="AL248">
        <v>594.19000000000005</v>
      </c>
      <c r="AM248">
        <v>0.36933761328320969</v>
      </c>
      <c r="AN248">
        <v>942.17</v>
      </c>
      <c r="AO248">
        <v>347.98</v>
      </c>
      <c r="AP248">
        <v>0.36930000000000002</v>
      </c>
      <c r="AQ248">
        <v>0.63070000000000004</v>
      </c>
      <c r="AR248">
        <v>40377</v>
      </c>
      <c r="AS248">
        <v>3365</v>
      </c>
      <c r="AT248">
        <v>0.16309999999999999</v>
      </c>
      <c r="AU248">
        <v>35511</v>
      </c>
      <c r="AV248">
        <v>35511</v>
      </c>
      <c r="AW248">
        <v>36214</v>
      </c>
      <c r="AX248">
        <v>1527</v>
      </c>
      <c r="AY248">
        <v>304.13</v>
      </c>
      <c r="AZ248">
        <v>0.84179999999999999</v>
      </c>
      <c r="BA248">
        <v>120.48</v>
      </c>
      <c r="BB248">
        <v>0.98060000000000003</v>
      </c>
      <c r="BC248">
        <v>0.88535564853556492</v>
      </c>
      <c r="BD248">
        <v>0.8367</v>
      </c>
      <c r="BE248">
        <v>0.72640000000000005</v>
      </c>
    </row>
    <row r="249" spans="1:57" x14ac:dyDescent="0.35">
      <c r="A249" t="s">
        <v>1078</v>
      </c>
      <c r="B249" t="s">
        <v>1079</v>
      </c>
      <c r="C249" t="s">
        <v>548</v>
      </c>
      <c r="D249" t="s">
        <v>556</v>
      </c>
      <c r="E249" t="s">
        <v>550</v>
      </c>
      <c r="F249" t="s">
        <v>123</v>
      </c>
      <c r="G249" t="s">
        <v>566</v>
      </c>
      <c r="H249">
        <v>1032</v>
      </c>
      <c r="I249">
        <v>-4.1702661359393448E-2</v>
      </c>
      <c r="J249">
        <v>989</v>
      </c>
      <c r="K249">
        <v>3743</v>
      </c>
      <c r="L249">
        <v>469</v>
      </c>
      <c r="M249" t="s">
        <v>784</v>
      </c>
      <c r="N249">
        <v>10.66</v>
      </c>
      <c r="O249">
        <v>11.93</v>
      </c>
      <c r="P249">
        <v>84.2</v>
      </c>
      <c r="Q249">
        <v>68.5</v>
      </c>
      <c r="R249">
        <v>4</v>
      </c>
      <c r="S249">
        <v>0.24349999999999999</v>
      </c>
      <c r="T249">
        <v>2.29E-2</v>
      </c>
      <c r="U249">
        <v>0.8155</v>
      </c>
      <c r="AH249">
        <v>919.6</v>
      </c>
      <c r="AI249">
        <v>98</v>
      </c>
      <c r="AJ249">
        <v>168.69</v>
      </c>
      <c r="AK249">
        <v>106.61</v>
      </c>
      <c r="AL249">
        <v>1292.9000000000001</v>
      </c>
      <c r="AM249">
        <v>0.24735123474471879</v>
      </c>
      <c r="AN249">
        <v>1717.8</v>
      </c>
      <c r="AO249">
        <v>424.9</v>
      </c>
      <c r="AP249">
        <v>0.24740000000000001</v>
      </c>
      <c r="AQ249">
        <v>0.75260000000000005</v>
      </c>
      <c r="AR249">
        <v>23255</v>
      </c>
      <c r="AS249">
        <v>1938</v>
      </c>
      <c r="AT249">
        <v>0.13980000000000001</v>
      </c>
      <c r="AU249">
        <v>19981</v>
      </c>
      <c r="AV249">
        <v>19981</v>
      </c>
      <c r="AW249">
        <v>20449</v>
      </c>
      <c r="AX249">
        <v>1622</v>
      </c>
      <c r="AY249">
        <v>322.51</v>
      </c>
      <c r="AZ249">
        <v>0.83850000000000002</v>
      </c>
      <c r="BA249">
        <v>394.96</v>
      </c>
      <c r="BB249">
        <v>0.97709999999999997</v>
      </c>
      <c r="BC249">
        <v>0.89354568315171834</v>
      </c>
      <c r="BD249">
        <v>0.84520000000000006</v>
      </c>
      <c r="BE249">
        <v>0.7379</v>
      </c>
    </row>
    <row r="250" spans="1:57" x14ac:dyDescent="0.35">
      <c r="A250" t="s">
        <v>1080</v>
      </c>
      <c r="B250" t="s">
        <v>1081</v>
      </c>
      <c r="C250" t="s">
        <v>606</v>
      </c>
      <c r="D250" t="s">
        <v>549</v>
      </c>
      <c r="E250" t="s">
        <v>550</v>
      </c>
      <c r="F250" t="s">
        <v>123</v>
      </c>
      <c r="G250" t="s">
        <v>551</v>
      </c>
      <c r="H250">
        <v>432</v>
      </c>
      <c r="I250">
        <v>0.17471184704506179</v>
      </c>
      <c r="J250">
        <v>507</v>
      </c>
      <c r="K250">
        <v>2392</v>
      </c>
      <c r="L250">
        <v>965</v>
      </c>
      <c r="M250" t="s">
        <v>735</v>
      </c>
      <c r="N250">
        <v>21.41</v>
      </c>
      <c r="O250">
        <v>24.82</v>
      </c>
      <c r="P250">
        <v>104</v>
      </c>
      <c r="Q250">
        <v>54.3</v>
      </c>
      <c r="R250">
        <v>6</v>
      </c>
      <c r="S250">
        <v>0.33429999999999999</v>
      </c>
      <c r="T250">
        <v>8.3999999999999995E-3</v>
      </c>
      <c r="U250">
        <v>0.90059999999999996</v>
      </c>
      <c r="AH250">
        <v>1759.24</v>
      </c>
      <c r="AI250">
        <v>145.77000000000001</v>
      </c>
      <c r="AJ250">
        <v>504.63</v>
      </c>
      <c r="AK250">
        <v>164.26</v>
      </c>
      <c r="AL250">
        <v>2573.9</v>
      </c>
      <c r="AM250">
        <v>0.28544024106689081</v>
      </c>
      <c r="AN250">
        <v>3602.08</v>
      </c>
      <c r="AO250">
        <v>1028.18</v>
      </c>
      <c r="AP250">
        <v>0.28539999999999999</v>
      </c>
      <c r="AQ250">
        <v>0.71460000000000001</v>
      </c>
      <c r="AR250">
        <v>29299</v>
      </c>
      <c r="AS250">
        <v>2442</v>
      </c>
      <c r="AT250">
        <v>0.2346</v>
      </c>
      <c r="AU250">
        <v>27872</v>
      </c>
      <c r="AV250">
        <v>27872</v>
      </c>
      <c r="AW250">
        <v>28108</v>
      </c>
      <c r="AX250">
        <v>2067</v>
      </c>
      <c r="AY250">
        <v>855.05</v>
      </c>
      <c r="AZ250">
        <v>0.89449999999999996</v>
      </c>
      <c r="BA250">
        <v>691</v>
      </c>
      <c r="BB250">
        <v>0.99160000000000004</v>
      </c>
      <c r="BC250">
        <v>0.86261079774375504</v>
      </c>
      <c r="BD250">
        <v>0.87180000000000002</v>
      </c>
      <c r="BE250">
        <v>0.74570000000000003</v>
      </c>
    </row>
    <row r="251" spans="1:57" x14ac:dyDescent="0.35">
      <c r="A251" t="s">
        <v>1082</v>
      </c>
      <c r="B251" t="s">
        <v>1083</v>
      </c>
      <c r="C251" t="s">
        <v>573</v>
      </c>
      <c r="D251" t="s">
        <v>556</v>
      </c>
      <c r="E251" t="s">
        <v>557</v>
      </c>
      <c r="F251" t="s">
        <v>123</v>
      </c>
      <c r="G251" t="s">
        <v>551</v>
      </c>
      <c r="H251">
        <v>641</v>
      </c>
      <c r="I251">
        <v>0.1661409023806675</v>
      </c>
      <c r="J251">
        <v>747</v>
      </c>
      <c r="K251">
        <v>11240</v>
      </c>
      <c r="L251">
        <v>1138</v>
      </c>
      <c r="M251" t="s">
        <v>609</v>
      </c>
      <c r="N251">
        <v>1.19</v>
      </c>
      <c r="O251">
        <v>1.37</v>
      </c>
      <c r="P251">
        <v>15.1</v>
      </c>
      <c r="Q251">
        <v>39.700000000000003</v>
      </c>
      <c r="R251">
        <v>1</v>
      </c>
      <c r="S251">
        <v>4.0099999999999997E-2</v>
      </c>
      <c r="T251">
        <v>2.0299999999999999E-2</v>
      </c>
      <c r="U251">
        <v>0.89049999999999996</v>
      </c>
      <c r="AH251">
        <v>126.76</v>
      </c>
      <c r="AI251">
        <v>12.36</v>
      </c>
      <c r="AJ251">
        <v>13.85</v>
      </c>
      <c r="AK251">
        <v>12.33</v>
      </c>
      <c r="AL251">
        <v>165.3</v>
      </c>
      <c r="AM251">
        <v>0.39201645301268973</v>
      </c>
      <c r="AN251">
        <v>271.88</v>
      </c>
      <c r="AO251">
        <v>106.58</v>
      </c>
      <c r="AP251">
        <v>0.39200000000000002</v>
      </c>
      <c r="AQ251">
        <v>0.60799999999999998</v>
      </c>
      <c r="AR251">
        <v>63776</v>
      </c>
      <c r="AS251">
        <v>5315</v>
      </c>
      <c r="AT251">
        <v>0.1767</v>
      </c>
      <c r="AU251">
        <v>53674</v>
      </c>
      <c r="AV251">
        <v>53674</v>
      </c>
      <c r="AW251">
        <v>54786</v>
      </c>
      <c r="AX251">
        <v>5432</v>
      </c>
      <c r="AY251">
        <v>124.03</v>
      </c>
      <c r="AZ251">
        <v>0.83089999999999997</v>
      </c>
      <c r="BA251">
        <v>217.82</v>
      </c>
      <c r="BB251">
        <v>0.97970000000000002</v>
      </c>
      <c r="BC251">
        <v>0.86861313868613133</v>
      </c>
      <c r="BD251">
        <v>0.91039999999999999</v>
      </c>
      <c r="BE251">
        <v>0.77470000000000006</v>
      </c>
    </row>
    <row r="252" spans="1:57" x14ac:dyDescent="0.35">
      <c r="A252" t="s">
        <v>1084</v>
      </c>
      <c r="B252" t="s">
        <v>1085</v>
      </c>
      <c r="C252" t="s">
        <v>555</v>
      </c>
      <c r="D252" t="s">
        <v>549</v>
      </c>
      <c r="E252" t="s">
        <v>557</v>
      </c>
      <c r="F252" t="s">
        <v>123</v>
      </c>
      <c r="G252" t="s">
        <v>551</v>
      </c>
      <c r="H252">
        <v>1855</v>
      </c>
      <c r="I252">
        <v>-4.3206245977288962E-2</v>
      </c>
      <c r="J252">
        <v>1775</v>
      </c>
      <c r="K252">
        <v>1843</v>
      </c>
      <c r="L252">
        <v>731</v>
      </c>
      <c r="M252" t="s">
        <v>578</v>
      </c>
      <c r="N252">
        <v>2.78</v>
      </c>
      <c r="O252">
        <v>2.95</v>
      </c>
      <c r="P252">
        <v>32.1</v>
      </c>
      <c r="Q252">
        <v>27.4</v>
      </c>
      <c r="R252">
        <v>1</v>
      </c>
      <c r="S252">
        <v>2.2200000000000001E-2</v>
      </c>
      <c r="T252">
        <v>1.8599999999999998E-2</v>
      </c>
      <c r="U252">
        <v>0.82599999999999996</v>
      </c>
      <c r="AH252">
        <v>390.18</v>
      </c>
      <c r="AI252">
        <v>7.04</v>
      </c>
      <c r="AJ252">
        <v>29.95</v>
      </c>
      <c r="AK252">
        <v>39.11</v>
      </c>
      <c r="AL252">
        <v>466.28</v>
      </c>
      <c r="AM252">
        <v>0.16664118197855571</v>
      </c>
      <c r="AN252">
        <v>559.52</v>
      </c>
      <c r="AO252">
        <v>93.24</v>
      </c>
      <c r="AP252">
        <v>0.1666</v>
      </c>
      <c r="AQ252">
        <v>0.83340000000000003</v>
      </c>
      <c r="AR252">
        <v>33783</v>
      </c>
      <c r="AS252">
        <v>2815</v>
      </c>
      <c r="AT252">
        <v>0.20960000000000001</v>
      </c>
      <c r="AU252">
        <v>32671</v>
      </c>
      <c r="AV252">
        <v>32671</v>
      </c>
      <c r="AW252">
        <v>33290</v>
      </c>
      <c r="AX252">
        <v>7493</v>
      </c>
      <c r="AY252">
        <v>368.41</v>
      </c>
      <c r="AZ252">
        <v>0.96060000000000001</v>
      </c>
      <c r="BA252">
        <v>166.34</v>
      </c>
      <c r="BB252">
        <v>0.98140000000000005</v>
      </c>
      <c r="BC252">
        <v>0.94237288135593211</v>
      </c>
      <c r="BD252">
        <v>0.86430000000000007</v>
      </c>
      <c r="BE252">
        <v>0.79930000000000001</v>
      </c>
    </row>
    <row r="253" spans="1:57" x14ac:dyDescent="0.35">
      <c r="A253" t="s">
        <v>1086</v>
      </c>
      <c r="B253" t="s">
        <v>1087</v>
      </c>
      <c r="C253" t="s">
        <v>548</v>
      </c>
      <c r="D253" t="s">
        <v>549</v>
      </c>
      <c r="E253" t="s">
        <v>550</v>
      </c>
      <c r="F253" t="s">
        <v>123</v>
      </c>
      <c r="G253" t="s">
        <v>558</v>
      </c>
      <c r="H253">
        <v>783</v>
      </c>
      <c r="I253">
        <v>-4.5498361099886378E-2</v>
      </c>
      <c r="J253">
        <v>747</v>
      </c>
      <c r="K253">
        <v>4751</v>
      </c>
      <c r="L253">
        <v>626</v>
      </c>
      <c r="M253" t="s">
        <v>559</v>
      </c>
      <c r="N253">
        <v>8.92</v>
      </c>
      <c r="O253">
        <v>9.9</v>
      </c>
      <c r="P253">
        <v>45.6</v>
      </c>
      <c r="Q253">
        <v>59.5</v>
      </c>
      <c r="R253">
        <v>3</v>
      </c>
      <c r="S253">
        <v>0.48580000000000001</v>
      </c>
      <c r="T253">
        <v>4.5999999999999999E-3</v>
      </c>
      <c r="U253">
        <v>0.87960000000000005</v>
      </c>
      <c r="AH253">
        <v>631.76</v>
      </c>
      <c r="AI253">
        <v>215.34</v>
      </c>
      <c r="AJ253">
        <v>142.38</v>
      </c>
      <c r="AK253">
        <v>54.54</v>
      </c>
      <c r="AL253">
        <v>1044.02</v>
      </c>
      <c r="AM253">
        <v>0.31207950186302391</v>
      </c>
      <c r="AN253">
        <v>1517.65</v>
      </c>
      <c r="AO253">
        <v>473.63</v>
      </c>
      <c r="AP253">
        <v>0.31209999999999999</v>
      </c>
      <c r="AQ253">
        <v>0.68789999999999996</v>
      </c>
      <c r="AR253">
        <v>26905</v>
      </c>
      <c r="AS253">
        <v>2242</v>
      </c>
      <c r="AT253">
        <v>0.218</v>
      </c>
      <c r="AU253">
        <v>22780</v>
      </c>
      <c r="AV253">
        <v>22780</v>
      </c>
      <c r="AW253">
        <v>22885</v>
      </c>
      <c r="AX253">
        <v>965</v>
      </c>
      <c r="AY253">
        <v>159.22</v>
      </c>
      <c r="AZ253">
        <v>0.84179999999999999</v>
      </c>
      <c r="BA253">
        <v>468.8</v>
      </c>
      <c r="BB253">
        <v>0.99539999999999995</v>
      </c>
      <c r="BC253">
        <v>0.90101010101010093</v>
      </c>
      <c r="BD253">
        <v>0.8367</v>
      </c>
      <c r="BE253">
        <v>0.75039999999999996</v>
      </c>
    </row>
    <row r="254" spans="1:57" x14ac:dyDescent="0.35">
      <c r="A254" t="s">
        <v>1088</v>
      </c>
      <c r="B254" t="s">
        <v>1089</v>
      </c>
      <c r="C254" t="s">
        <v>606</v>
      </c>
      <c r="D254" t="s">
        <v>556</v>
      </c>
      <c r="E254" t="s">
        <v>550</v>
      </c>
      <c r="F254" t="s">
        <v>123</v>
      </c>
      <c r="G254" t="s">
        <v>566</v>
      </c>
      <c r="H254">
        <v>497</v>
      </c>
      <c r="I254">
        <v>4.6107957208267741E-3</v>
      </c>
      <c r="J254">
        <v>499</v>
      </c>
      <c r="K254">
        <v>2489</v>
      </c>
      <c r="L254">
        <v>339</v>
      </c>
      <c r="M254" t="s">
        <v>587</v>
      </c>
      <c r="N254">
        <v>11.67</v>
      </c>
      <c r="O254">
        <v>12.96</v>
      </c>
      <c r="P254">
        <v>119</v>
      </c>
      <c r="Q254">
        <v>46.7</v>
      </c>
      <c r="R254">
        <v>3</v>
      </c>
      <c r="S254">
        <v>0.38700000000000001</v>
      </c>
      <c r="T254">
        <v>1.46E-2</v>
      </c>
      <c r="U254">
        <v>0.86009999999999998</v>
      </c>
      <c r="AH254">
        <v>1003.58</v>
      </c>
      <c r="AI254">
        <v>121.68</v>
      </c>
      <c r="AJ254">
        <v>139.12</v>
      </c>
      <c r="AK254">
        <v>118.3</v>
      </c>
      <c r="AL254">
        <v>1382.68</v>
      </c>
      <c r="AM254">
        <v>0.16852635564371679</v>
      </c>
      <c r="AN254">
        <v>1662.93</v>
      </c>
      <c r="AO254">
        <v>280.25</v>
      </c>
      <c r="AP254">
        <v>0.16850000000000001</v>
      </c>
      <c r="AQ254">
        <v>0.83150000000000002</v>
      </c>
      <c r="AR254">
        <v>20905</v>
      </c>
      <c r="AS254">
        <v>1742</v>
      </c>
      <c r="AT254">
        <v>0.1381</v>
      </c>
      <c r="AU254">
        <v>18755</v>
      </c>
      <c r="AV254">
        <v>18755</v>
      </c>
      <c r="AW254">
        <v>19033</v>
      </c>
      <c r="AX254">
        <v>2756</v>
      </c>
      <c r="AY254">
        <v>595.29999999999995</v>
      </c>
      <c r="AZ254">
        <v>0.92379999999999995</v>
      </c>
      <c r="BA254">
        <v>1066.57</v>
      </c>
      <c r="BB254">
        <v>0.98540000000000005</v>
      </c>
      <c r="BC254">
        <v>0.90046296296296291</v>
      </c>
      <c r="BD254">
        <v>0.87459999999999993</v>
      </c>
      <c r="BE254">
        <v>0.77600000000000002</v>
      </c>
    </row>
    <row r="255" spans="1:57" x14ac:dyDescent="0.35">
      <c r="A255" t="s">
        <v>1090</v>
      </c>
      <c r="B255" t="s">
        <v>1091</v>
      </c>
      <c r="C255" t="s">
        <v>548</v>
      </c>
      <c r="D255" t="s">
        <v>556</v>
      </c>
      <c r="E255" t="s">
        <v>557</v>
      </c>
      <c r="F255" t="s">
        <v>123</v>
      </c>
      <c r="G255" t="s">
        <v>551</v>
      </c>
      <c r="H255">
        <v>1153</v>
      </c>
      <c r="I255">
        <v>9.95893710744397E-2</v>
      </c>
      <c r="J255">
        <v>1268</v>
      </c>
      <c r="K255">
        <v>7038</v>
      </c>
      <c r="L255">
        <v>1346</v>
      </c>
      <c r="M255" t="s">
        <v>677</v>
      </c>
      <c r="N255">
        <v>2.98</v>
      </c>
      <c r="O255">
        <v>3.26</v>
      </c>
      <c r="P255">
        <v>32.799999999999997</v>
      </c>
      <c r="Q255">
        <v>34.1</v>
      </c>
      <c r="R255">
        <v>1</v>
      </c>
      <c r="S255">
        <v>7.8100000000000003E-2</v>
      </c>
      <c r="T255">
        <v>6.0000000000000001E-3</v>
      </c>
      <c r="U255">
        <v>0.89390000000000003</v>
      </c>
      <c r="AH255">
        <v>661.11</v>
      </c>
      <c r="AI255">
        <v>24.54</v>
      </c>
      <c r="AJ255">
        <v>39.64</v>
      </c>
      <c r="AK255">
        <v>86.08</v>
      </c>
      <c r="AL255">
        <v>811.37</v>
      </c>
      <c r="AM255">
        <v>0.24386723211662509</v>
      </c>
      <c r="AN255">
        <v>1073.05</v>
      </c>
      <c r="AO255">
        <v>261.68</v>
      </c>
      <c r="AP255">
        <v>0.24390000000000001</v>
      </c>
      <c r="AQ255">
        <v>0.75609999999999999</v>
      </c>
      <c r="AR255">
        <v>85161</v>
      </c>
      <c r="AS255">
        <v>7097</v>
      </c>
      <c r="AT255">
        <v>0.1537</v>
      </c>
      <c r="AU255">
        <v>79469</v>
      </c>
      <c r="AV255">
        <v>79469</v>
      </c>
      <c r="AW255">
        <v>79949</v>
      </c>
      <c r="AX255">
        <v>4332</v>
      </c>
      <c r="AY255">
        <v>235.37</v>
      </c>
      <c r="AZ255">
        <v>0.88029999999999997</v>
      </c>
      <c r="BA255">
        <v>338.33</v>
      </c>
      <c r="BB255">
        <v>0.99399999999999999</v>
      </c>
      <c r="BC255">
        <v>0.91411042944785281</v>
      </c>
      <c r="BD255">
        <v>0.86950000000000005</v>
      </c>
      <c r="BE255">
        <v>0.79010000000000002</v>
      </c>
    </row>
    <row r="256" spans="1:57" x14ac:dyDescent="0.35">
      <c r="A256" t="s">
        <v>1092</v>
      </c>
      <c r="B256" t="s">
        <v>1093</v>
      </c>
      <c r="C256" t="s">
        <v>555</v>
      </c>
      <c r="D256" t="s">
        <v>549</v>
      </c>
      <c r="E256" t="s">
        <v>557</v>
      </c>
      <c r="F256" t="s">
        <v>123</v>
      </c>
      <c r="G256" t="s">
        <v>558</v>
      </c>
      <c r="H256">
        <v>460</v>
      </c>
      <c r="I256">
        <v>3.2602000968943459E-2</v>
      </c>
      <c r="J256">
        <v>475</v>
      </c>
      <c r="K256">
        <v>6352</v>
      </c>
      <c r="L256">
        <v>1727</v>
      </c>
      <c r="M256" t="s">
        <v>735</v>
      </c>
      <c r="N256">
        <v>3.55</v>
      </c>
      <c r="O256">
        <v>3.97</v>
      </c>
      <c r="P256">
        <v>51.7</v>
      </c>
      <c r="Q256">
        <v>24.6</v>
      </c>
      <c r="R256">
        <v>2</v>
      </c>
      <c r="S256">
        <v>5.2999999999999999E-2</v>
      </c>
      <c r="T256">
        <v>1.2200000000000001E-2</v>
      </c>
      <c r="U256">
        <v>0.90539999999999998</v>
      </c>
      <c r="AH256">
        <v>997.77</v>
      </c>
      <c r="AI256">
        <v>16.03</v>
      </c>
      <c r="AJ256">
        <v>66.61</v>
      </c>
      <c r="AK256">
        <v>68.400000000000006</v>
      </c>
      <c r="AL256">
        <v>1148.81</v>
      </c>
      <c r="AM256">
        <v>0.35095363629836168</v>
      </c>
      <c r="AN256">
        <v>1770</v>
      </c>
      <c r="AO256">
        <v>621.19000000000005</v>
      </c>
      <c r="AP256">
        <v>0.35099999999999998</v>
      </c>
      <c r="AQ256">
        <v>0.64900000000000002</v>
      </c>
      <c r="AR256">
        <v>90652</v>
      </c>
      <c r="AS256">
        <v>7554</v>
      </c>
      <c r="AT256">
        <v>0.22420000000000001</v>
      </c>
      <c r="AU256">
        <v>86027</v>
      </c>
      <c r="AV256">
        <v>86027</v>
      </c>
      <c r="AW256">
        <v>87089</v>
      </c>
      <c r="AX256">
        <v>6405</v>
      </c>
      <c r="AY256">
        <v>423.8</v>
      </c>
      <c r="AZ256">
        <v>0.89449999999999996</v>
      </c>
      <c r="BA256">
        <v>339.46</v>
      </c>
      <c r="BB256">
        <v>0.98780000000000001</v>
      </c>
      <c r="BC256">
        <v>0.89420654911838782</v>
      </c>
      <c r="BD256">
        <v>0.87180000000000002</v>
      </c>
      <c r="BE256">
        <v>0.77010000000000001</v>
      </c>
    </row>
    <row r="257" spans="1:57" x14ac:dyDescent="0.35">
      <c r="A257" t="s">
        <v>1094</v>
      </c>
      <c r="B257" t="s">
        <v>1095</v>
      </c>
      <c r="C257" t="s">
        <v>573</v>
      </c>
      <c r="D257" t="s">
        <v>549</v>
      </c>
      <c r="E257" t="s">
        <v>551</v>
      </c>
      <c r="F257" t="s">
        <v>123</v>
      </c>
      <c r="G257" t="s">
        <v>558</v>
      </c>
      <c r="H257">
        <v>767</v>
      </c>
      <c r="I257">
        <v>9.5701708770872404E-2</v>
      </c>
      <c r="J257">
        <v>840</v>
      </c>
      <c r="K257">
        <v>6346</v>
      </c>
      <c r="L257">
        <v>730</v>
      </c>
      <c r="M257" t="s">
        <v>735</v>
      </c>
      <c r="N257">
        <v>7.91</v>
      </c>
      <c r="O257">
        <v>8.6999999999999993</v>
      </c>
      <c r="P257">
        <v>48.6</v>
      </c>
      <c r="Q257">
        <v>57.5</v>
      </c>
      <c r="R257">
        <v>3</v>
      </c>
      <c r="S257">
        <v>6.5100000000000005E-2</v>
      </c>
      <c r="T257">
        <v>3.0000000000000001E-3</v>
      </c>
      <c r="U257">
        <v>0.80149999999999999</v>
      </c>
      <c r="AH257">
        <v>250.54</v>
      </c>
      <c r="AI257">
        <v>31.98</v>
      </c>
      <c r="AJ257">
        <v>226.65</v>
      </c>
      <c r="AK257">
        <v>53.71</v>
      </c>
      <c r="AL257">
        <v>562.88</v>
      </c>
      <c r="AM257">
        <v>0.25836805818890862</v>
      </c>
      <c r="AN257">
        <v>758.97</v>
      </c>
      <c r="AO257">
        <v>196.09</v>
      </c>
      <c r="AP257">
        <v>0.25840000000000002</v>
      </c>
      <c r="AQ257">
        <v>0.74160000000000004</v>
      </c>
      <c r="AR257">
        <v>32883</v>
      </c>
      <c r="AS257">
        <v>2740</v>
      </c>
      <c r="AT257">
        <v>0.14180000000000001</v>
      </c>
      <c r="AU257">
        <v>27267</v>
      </c>
      <c r="AV257">
        <v>27267</v>
      </c>
      <c r="AW257">
        <v>27349</v>
      </c>
      <c r="AX257">
        <v>2011</v>
      </c>
      <c r="AY257">
        <v>291.58999999999997</v>
      </c>
      <c r="AZ257">
        <v>0.89449999999999996</v>
      </c>
      <c r="BA257">
        <v>130.91999999999999</v>
      </c>
      <c r="BB257">
        <v>0.997</v>
      </c>
      <c r="BC257">
        <v>0.90919540229885065</v>
      </c>
      <c r="BD257">
        <v>0.87180000000000002</v>
      </c>
      <c r="BE257">
        <v>0.7903</v>
      </c>
    </row>
    <row r="258" spans="1:57" x14ac:dyDescent="0.35">
      <c r="A258" t="s">
        <v>1096</v>
      </c>
      <c r="B258" t="s">
        <v>1097</v>
      </c>
      <c r="C258" t="s">
        <v>573</v>
      </c>
      <c r="D258" t="s">
        <v>556</v>
      </c>
      <c r="E258" t="s">
        <v>557</v>
      </c>
      <c r="F258" t="s">
        <v>123</v>
      </c>
      <c r="G258" t="s">
        <v>558</v>
      </c>
      <c r="H258">
        <v>1428</v>
      </c>
      <c r="I258">
        <v>0.13439143727320671</v>
      </c>
      <c r="J258">
        <v>1620</v>
      </c>
      <c r="K258">
        <v>3101</v>
      </c>
      <c r="L258">
        <v>1794</v>
      </c>
      <c r="M258" t="s">
        <v>590</v>
      </c>
      <c r="N258">
        <v>2.0299999999999998</v>
      </c>
      <c r="O258">
        <v>2.16</v>
      </c>
      <c r="P258">
        <v>45.5</v>
      </c>
      <c r="Q258">
        <v>14.2</v>
      </c>
      <c r="R258">
        <v>1</v>
      </c>
      <c r="S258">
        <v>3.32E-2</v>
      </c>
      <c r="T258">
        <v>1.12E-2</v>
      </c>
      <c r="U258">
        <v>0.93700000000000006</v>
      </c>
      <c r="AH258">
        <v>232.62</v>
      </c>
      <c r="AI258">
        <v>14.86</v>
      </c>
      <c r="AJ258">
        <v>46.31</v>
      </c>
      <c r="AK258">
        <v>33.36</v>
      </c>
      <c r="AL258">
        <v>327.14999999999998</v>
      </c>
      <c r="AM258">
        <v>0.3992955884757376</v>
      </c>
      <c r="AN258">
        <v>544.61</v>
      </c>
      <c r="AO258">
        <v>217.46</v>
      </c>
      <c r="AP258">
        <v>0.39929999999999999</v>
      </c>
      <c r="AQ258">
        <v>0.60070000000000001</v>
      </c>
      <c r="AR258">
        <v>50922</v>
      </c>
      <c r="AS258">
        <v>4244</v>
      </c>
      <c r="AT258">
        <v>0.215</v>
      </c>
      <c r="AU258">
        <v>49615</v>
      </c>
      <c r="AV258">
        <v>49615</v>
      </c>
      <c r="AW258">
        <v>50177</v>
      </c>
      <c r="AX258">
        <v>1978</v>
      </c>
      <c r="AY258">
        <v>71.209999999999994</v>
      </c>
      <c r="AZ258">
        <v>0.84340000000000004</v>
      </c>
      <c r="BA258">
        <v>65.67</v>
      </c>
      <c r="BB258">
        <v>0.98880000000000001</v>
      </c>
      <c r="BC258">
        <v>0.93981481481481466</v>
      </c>
      <c r="BD258">
        <v>0.8498</v>
      </c>
      <c r="BE258">
        <v>0.78969999999999996</v>
      </c>
    </row>
    <row r="259" spans="1:57" x14ac:dyDescent="0.35">
      <c r="A259" t="s">
        <v>1098</v>
      </c>
      <c r="B259" t="s">
        <v>1099</v>
      </c>
      <c r="C259" t="s">
        <v>548</v>
      </c>
      <c r="D259" t="s">
        <v>549</v>
      </c>
      <c r="E259" t="s">
        <v>557</v>
      </c>
      <c r="F259" t="s">
        <v>123</v>
      </c>
      <c r="G259" t="s">
        <v>558</v>
      </c>
      <c r="H259">
        <v>1342</v>
      </c>
      <c r="I259">
        <v>5.7606852580247538E-2</v>
      </c>
      <c r="J259">
        <v>1419</v>
      </c>
      <c r="K259">
        <v>5114</v>
      </c>
      <c r="L259">
        <v>1718</v>
      </c>
      <c r="M259" t="s">
        <v>622</v>
      </c>
      <c r="N259">
        <v>3.28</v>
      </c>
      <c r="O259">
        <v>3.61</v>
      </c>
      <c r="P259">
        <v>18.100000000000001</v>
      </c>
      <c r="Q259">
        <v>26.9</v>
      </c>
      <c r="R259">
        <v>1</v>
      </c>
      <c r="S259">
        <v>3.85E-2</v>
      </c>
      <c r="T259">
        <v>1.46E-2</v>
      </c>
      <c r="U259">
        <v>0.92830000000000001</v>
      </c>
      <c r="AH259">
        <v>212.37</v>
      </c>
      <c r="AI259">
        <v>14.27</v>
      </c>
      <c r="AJ259">
        <v>73.11</v>
      </c>
      <c r="AK259">
        <v>34.79</v>
      </c>
      <c r="AL259">
        <v>334.54</v>
      </c>
      <c r="AM259">
        <v>0.28976482123665048</v>
      </c>
      <c r="AN259">
        <v>471.03</v>
      </c>
      <c r="AO259">
        <v>136.49</v>
      </c>
      <c r="AP259">
        <v>0.2898</v>
      </c>
      <c r="AQ259">
        <v>0.71020000000000005</v>
      </c>
      <c r="AR259">
        <v>64028</v>
      </c>
      <c r="AS259">
        <v>5336</v>
      </c>
      <c r="AT259">
        <v>0.24</v>
      </c>
      <c r="AU259">
        <v>60632</v>
      </c>
      <c r="AV259">
        <v>60632</v>
      </c>
      <c r="AW259">
        <v>61530</v>
      </c>
      <c r="AX259">
        <v>3248</v>
      </c>
      <c r="AY259">
        <v>195.42</v>
      </c>
      <c r="AZ259">
        <v>0.95799999999999996</v>
      </c>
      <c r="BA259">
        <v>125.05</v>
      </c>
      <c r="BB259">
        <v>0.98540000000000005</v>
      </c>
      <c r="BC259">
        <v>0.90858725761772852</v>
      </c>
      <c r="BD259">
        <v>0.8538</v>
      </c>
      <c r="BE259">
        <v>0.76439999999999997</v>
      </c>
    </row>
    <row r="260" spans="1:57" x14ac:dyDescent="0.35">
      <c r="A260" t="s">
        <v>1100</v>
      </c>
      <c r="B260" t="s">
        <v>1101</v>
      </c>
      <c r="C260" t="s">
        <v>555</v>
      </c>
      <c r="D260" t="s">
        <v>549</v>
      </c>
      <c r="E260" t="s">
        <v>551</v>
      </c>
      <c r="F260" t="s">
        <v>123</v>
      </c>
      <c r="G260" t="s">
        <v>558</v>
      </c>
      <c r="H260">
        <v>731</v>
      </c>
      <c r="I260">
        <v>0.18702708004286059</v>
      </c>
      <c r="J260">
        <v>868</v>
      </c>
      <c r="K260">
        <v>5919</v>
      </c>
      <c r="L260">
        <v>1201</v>
      </c>
      <c r="M260" t="s">
        <v>601</v>
      </c>
      <c r="N260">
        <v>14.55</v>
      </c>
      <c r="O260">
        <v>15.17</v>
      </c>
      <c r="P260">
        <v>43.2</v>
      </c>
      <c r="Q260">
        <v>30.2</v>
      </c>
      <c r="R260">
        <v>4</v>
      </c>
      <c r="S260">
        <v>0.13</v>
      </c>
      <c r="T260">
        <v>1.6299999999999999E-2</v>
      </c>
      <c r="U260">
        <v>0.8659</v>
      </c>
      <c r="AH260">
        <v>1066.07</v>
      </c>
      <c r="AI260">
        <v>46.71</v>
      </c>
      <c r="AJ260">
        <v>240.74</v>
      </c>
      <c r="AK260">
        <v>158.65</v>
      </c>
      <c r="AL260">
        <v>1512.17</v>
      </c>
      <c r="AM260">
        <v>0.23029053815898839</v>
      </c>
      <c r="AN260">
        <v>1964.6</v>
      </c>
      <c r="AO260">
        <v>452.43</v>
      </c>
      <c r="AP260">
        <v>0.2303</v>
      </c>
      <c r="AQ260">
        <v>0.76970000000000005</v>
      </c>
      <c r="AR260">
        <v>57932</v>
      </c>
      <c r="AS260">
        <v>4828</v>
      </c>
      <c r="AT260">
        <v>0.18590000000000001</v>
      </c>
      <c r="AU260">
        <v>53214</v>
      </c>
      <c r="AV260">
        <v>53214</v>
      </c>
      <c r="AW260">
        <v>54096</v>
      </c>
      <c r="AX260">
        <v>1789</v>
      </c>
      <c r="AY260">
        <v>452.32</v>
      </c>
      <c r="AZ260">
        <v>0.85140000000000005</v>
      </c>
      <c r="BA260">
        <v>232.57</v>
      </c>
      <c r="BB260">
        <v>0.98370000000000002</v>
      </c>
      <c r="BC260">
        <v>0.95912986156888602</v>
      </c>
      <c r="BD260">
        <v>0.86569999999999991</v>
      </c>
      <c r="BE260">
        <v>0.81679999999999997</v>
      </c>
    </row>
    <row r="261" spans="1:57" x14ac:dyDescent="0.35">
      <c r="A261" t="s">
        <v>1102</v>
      </c>
      <c r="B261" t="s">
        <v>1103</v>
      </c>
      <c r="C261" t="s">
        <v>606</v>
      </c>
      <c r="D261" t="s">
        <v>549</v>
      </c>
      <c r="E261" t="s">
        <v>551</v>
      </c>
      <c r="F261" t="s">
        <v>123</v>
      </c>
      <c r="G261" t="s">
        <v>566</v>
      </c>
      <c r="H261">
        <v>575</v>
      </c>
      <c r="I261">
        <v>7.19167671553161E-2</v>
      </c>
      <c r="J261">
        <v>616</v>
      </c>
      <c r="K261">
        <v>3640</v>
      </c>
      <c r="L261">
        <v>440</v>
      </c>
      <c r="M261" t="s">
        <v>593</v>
      </c>
      <c r="N261">
        <v>4</v>
      </c>
      <c r="O261">
        <v>4.51</v>
      </c>
      <c r="P261">
        <v>82.7</v>
      </c>
      <c r="Q261">
        <v>23.6</v>
      </c>
      <c r="R261">
        <v>4</v>
      </c>
      <c r="S261">
        <v>0.1527</v>
      </c>
      <c r="T261">
        <v>1.7299999999999999E-2</v>
      </c>
      <c r="U261">
        <v>0.8095</v>
      </c>
      <c r="AH261">
        <v>1334.5</v>
      </c>
      <c r="AI261">
        <v>56.49</v>
      </c>
      <c r="AJ261">
        <v>129.13999999999999</v>
      </c>
      <c r="AK261">
        <v>131.49</v>
      </c>
      <c r="AL261">
        <v>1651.62</v>
      </c>
      <c r="AM261">
        <v>0.2050278314761883</v>
      </c>
      <c r="AN261">
        <v>2077.58</v>
      </c>
      <c r="AO261">
        <v>425.96</v>
      </c>
      <c r="AP261">
        <v>0.20499999999999999</v>
      </c>
      <c r="AQ261">
        <v>0.79500000000000004</v>
      </c>
      <c r="AR261">
        <v>25450</v>
      </c>
      <c r="AS261">
        <v>2121</v>
      </c>
      <c r="AT261">
        <v>0.20610000000000001</v>
      </c>
      <c r="AU261">
        <v>22250</v>
      </c>
      <c r="AV261">
        <v>22250</v>
      </c>
      <c r="AW261">
        <v>22642</v>
      </c>
      <c r="AX261">
        <v>3371</v>
      </c>
      <c r="AY261">
        <v>253.39</v>
      </c>
      <c r="AZ261">
        <v>0.85650000000000004</v>
      </c>
      <c r="BA261">
        <v>514.75</v>
      </c>
      <c r="BB261">
        <v>0.98270000000000002</v>
      </c>
      <c r="BC261">
        <v>0.88691796008869184</v>
      </c>
      <c r="BD261">
        <v>0.87629999999999997</v>
      </c>
      <c r="BE261">
        <v>0.76380000000000003</v>
      </c>
    </row>
    <row r="262" spans="1:57" x14ac:dyDescent="0.35">
      <c r="A262" t="s">
        <v>1104</v>
      </c>
      <c r="B262" t="s">
        <v>1105</v>
      </c>
      <c r="C262" t="s">
        <v>573</v>
      </c>
      <c r="D262" t="s">
        <v>549</v>
      </c>
      <c r="E262" t="s">
        <v>551</v>
      </c>
      <c r="F262" t="s">
        <v>123</v>
      </c>
      <c r="G262" t="s">
        <v>551</v>
      </c>
      <c r="H262">
        <v>761</v>
      </c>
      <c r="I262">
        <v>0.1728700039058767</v>
      </c>
      <c r="J262">
        <v>893</v>
      </c>
      <c r="K262">
        <v>4666</v>
      </c>
      <c r="L262">
        <v>1076</v>
      </c>
      <c r="M262" t="s">
        <v>632</v>
      </c>
      <c r="N262">
        <v>13.38</v>
      </c>
      <c r="O262">
        <v>15.72</v>
      </c>
      <c r="P262">
        <v>72.900000000000006</v>
      </c>
      <c r="Q262">
        <v>30.8</v>
      </c>
      <c r="R262">
        <v>3</v>
      </c>
      <c r="S262">
        <v>0.17680000000000001</v>
      </c>
      <c r="T262">
        <v>2.6499999999999999E-2</v>
      </c>
      <c r="U262">
        <v>0.93589999999999995</v>
      </c>
      <c r="AH262">
        <v>1593.55</v>
      </c>
      <c r="AI262">
        <v>80.430000000000007</v>
      </c>
      <c r="AJ262">
        <v>282.02</v>
      </c>
      <c r="AK262">
        <v>231.61</v>
      </c>
      <c r="AL262">
        <v>2187.61</v>
      </c>
      <c r="AM262">
        <v>0.23763013357154039</v>
      </c>
      <c r="AN262">
        <v>2869.49</v>
      </c>
      <c r="AO262">
        <v>681.88</v>
      </c>
      <c r="AP262">
        <v>0.23760000000000001</v>
      </c>
      <c r="AQ262">
        <v>0.76239999999999997</v>
      </c>
      <c r="AR262">
        <v>35423</v>
      </c>
      <c r="AS262">
        <v>2952</v>
      </c>
      <c r="AT262">
        <v>0.21690000000000001</v>
      </c>
      <c r="AU262">
        <v>31833</v>
      </c>
      <c r="AV262">
        <v>31833</v>
      </c>
      <c r="AW262">
        <v>32700</v>
      </c>
      <c r="AX262">
        <v>2371</v>
      </c>
      <c r="AY262">
        <v>621.20000000000005</v>
      </c>
      <c r="AZ262">
        <v>0.96220000000000006</v>
      </c>
      <c r="BA262">
        <v>419.19</v>
      </c>
      <c r="BB262">
        <v>0.97350000000000003</v>
      </c>
      <c r="BC262">
        <v>0.85114503816793896</v>
      </c>
      <c r="BD262">
        <v>0.86359999999999992</v>
      </c>
      <c r="BE262">
        <v>0.71560000000000001</v>
      </c>
    </row>
    <row r="263" spans="1:57" x14ac:dyDescent="0.35">
      <c r="A263" t="s">
        <v>1106</v>
      </c>
      <c r="B263" t="s">
        <v>1107</v>
      </c>
      <c r="C263" t="s">
        <v>548</v>
      </c>
      <c r="D263" t="s">
        <v>549</v>
      </c>
      <c r="E263" t="s">
        <v>550</v>
      </c>
      <c r="F263" t="s">
        <v>123</v>
      </c>
      <c r="G263" t="s">
        <v>566</v>
      </c>
      <c r="H263">
        <v>940</v>
      </c>
      <c r="I263">
        <v>3.2836751775762688E-2</v>
      </c>
      <c r="J263">
        <v>971</v>
      </c>
      <c r="K263">
        <v>1955</v>
      </c>
      <c r="L263">
        <v>967</v>
      </c>
      <c r="M263" t="s">
        <v>552</v>
      </c>
      <c r="N263">
        <v>7.91</v>
      </c>
      <c r="O263">
        <v>9.1199999999999992</v>
      </c>
      <c r="P263">
        <v>102</v>
      </c>
      <c r="Q263">
        <v>73.3</v>
      </c>
      <c r="R263">
        <v>6</v>
      </c>
      <c r="S263">
        <v>0.21249999999999999</v>
      </c>
      <c r="T263">
        <v>8.0000000000000002E-3</v>
      </c>
      <c r="U263">
        <v>0.97189999999999999</v>
      </c>
      <c r="AH263">
        <v>1812.43</v>
      </c>
      <c r="AI263">
        <v>91.86</v>
      </c>
      <c r="AJ263">
        <v>107.09</v>
      </c>
      <c r="AK263">
        <v>207.19</v>
      </c>
      <c r="AL263">
        <v>2218.5700000000002</v>
      </c>
      <c r="AM263">
        <v>0.2431333184398877</v>
      </c>
      <c r="AN263">
        <v>2931.26</v>
      </c>
      <c r="AO263">
        <v>712.69</v>
      </c>
      <c r="AP263">
        <v>0.24310000000000001</v>
      </c>
      <c r="AQ263">
        <v>0.75690000000000002</v>
      </c>
      <c r="AR263">
        <v>28400</v>
      </c>
      <c r="AS263">
        <v>2367</v>
      </c>
      <c r="AT263">
        <v>0.22370000000000001</v>
      </c>
      <c r="AU263">
        <v>27412</v>
      </c>
      <c r="AV263">
        <v>27412</v>
      </c>
      <c r="AW263">
        <v>27633</v>
      </c>
      <c r="AX263">
        <v>6473</v>
      </c>
      <c r="AY263">
        <v>983.9</v>
      </c>
      <c r="AZ263">
        <v>0.84030000000000005</v>
      </c>
      <c r="BA263">
        <v>1375.51</v>
      </c>
      <c r="BB263">
        <v>0.99199999999999999</v>
      </c>
      <c r="BC263">
        <v>0.86732456140350889</v>
      </c>
      <c r="BD263">
        <v>0.85919999999999996</v>
      </c>
      <c r="BE263">
        <v>0.73919999999999997</v>
      </c>
    </row>
    <row r="264" spans="1:57" x14ac:dyDescent="0.35">
      <c r="A264" t="s">
        <v>1108</v>
      </c>
      <c r="B264" t="s">
        <v>1109</v>
      </c>
      <c r="C264" t="s">
        <v>548</v>
      </c>
      <c r="D264" t="s">
        <v>549</v>
      </c>
      <c r="E264" t="s">
        <v>557</v>
      </c>
      <c r="F264" t="s">
        <v>123</v>
      </c>
      <c r="G264" t="s">
        <v>566</v>
      </c>
      <c r="H264">
        <v>1497</v>
      </c>
      <c r="I264">
        <v>0.16353399941262611</v>
      </c>
      <c r="J264">
        <v>1742</v>
      </c>
      <c r="K264">
        <v>4113</v>
      </c>
      <c r="L264">
        <v>619</v>
      </c>
      <c r="M264" t="s">
        <v>593</v>
      </c>
      <c r="N264">
        <v>2.68</v>
      </c>
      <c r="O264">
        <v>2.92</v>
      </c>
      <c r="P264">
        <v>15.3</v>
      </c>
      <c r="Q264">
        <v>27.8</v>
      </c>
      <c r="R264">
        <v>2</v>
      </c>
      <c r="S264">
        <v>2.4500000000000001E-2</v>
      </c>
      <c r="T264">
        <v>4.7999999999999996E-3</v>
      </c>
      <c r="U264">
        <v>0.84319999999999995</v>
      </c>
      <c r="AH264">
        <v>1112.07</v>
      </c>
      <c r="AI264">
        <v>8.26</v>
      </c>
      <c r="AJ264">
        <v>65.239999999999995</v>
      </c>
      <c r="AK264">
        <v>72.7</v>
      </c>
      <c r="AL264">
        <v>1258.27</v>
      </c>
      <c r="AM264">
        <v>0.16717841943099021</v>
      </c>
      <c r="AN264">
        <v>1510.85</v>
      </c>
      <c r="AO264">
        <v>252.58</v>
      </c>
      <c r="AP264">
        <v>0.16719999999999999</v>
      </c>
      <c r="AQ264">
        <v>0.83279999999999998</v>
      </c>
      <c r="AR264">
        <v>44011</v>
      </c>
      <c r="AS264">
        <v>3668</v>
      </c>
      <c r="AT264">
        <v>0.1472</v>
      </c>
      <c r="AU264">
        <v>40517</v>
      </c>
      <c r="AV264">
        <v>40517</v>
      </c>
      <c r="AW264">
        <v>40712</v>
      </c>
      <c r="AX264">
        <v>6062</v>
      </c>
      <c r="AY264">
        <v>295.02</v>
      </c>
      <c r="AZ264">
        <v>0.85650000000000004</v>
      </c>
      <c r="BA264">
        <v>148.52000000000001</v>
      </c>
      <c r="BB264">
        <v>0.99519999999999997</v>
      </c>
      <c r="BC264">
        <v>0.91780821917808231</v>
      </c>
      <c r="BD264">
        <v>0.87629999999999997</v>
      </c>
      <c r="BE264">
        <v>0.8004</v>
      </c>
    </row>
    <row r="265" spans="1:57" x14ac:dyDescent="0.35">
      <c r="A265" t="s">
        <v>1110</v>
      </c>
      <c r="B265" t="s">
        <v>1111</v>
      </c>
      <c r="C265" t="s">
        <v>606</v>
      </c>
      <c r="D265" t="s">
        <v>549</v>
      </c>
      <c r="E265" t="s">
        <v>557</v>
      </c>
      <c r="F265" t="s">
        <v>123</v>
      </c>
      <c r="G265" t="s">
        <v>551</v>
      </c>
      <c r="H265">
        <v>1203</v>
      </c>
      <c r="I265">
        <v>7.8166931489104099E-2</v>
      </c>
      <c r="J265">
        <v>1297</v>
      </c>
      <c r="K265">
        <v>2820</v>
      </c>
      <c r="L265">
        <v>282</v>
      </c>
      <c r="M265" t="s">
        <v>578</v>
      </c>
      <c r="N265">
        <v>1.52</v>
      </c>
      <c r="O265">
        <v>1.59</v>
      </c>
      <c r="P265">
        <v>21.3</v>
      </c>
      <c r="Q265">
        <v>40.299999999999997</v>
      </c>
      <c r="R265">
        <v>1</v>
      </c>
      <c r="S265">
        <v>1.14E-2</v>
      </c>
      <c r="T265">
        <v>2.1600000000000001E-2</v>
      </c>
      <c r="U265">
        <v>0.85819999999999996</v>
      </c>
      <c r="AH265">
        <v>557.34</v>
      </c>
      <c r="AI265">
        <v>3.82</v>
      </c>
      <c r="AJ265">
        <v>19.52</v>
      </c>
      <c r="AK265">
        <v>48.42</v>
      </c>
      <c r="AL265">
        <v>629.1</v>
      </c>
      <c r="AM265">
        <v>0.24239354985669331</v>
      </c>
      <c r="AN265">
        <v>830.38</v>
      </c>
      <c r="AO265">
        <v>201.28</v>
      </c>
      <c r="AP265">
        <v>0.2424</v>
      </c>
      <c r="AQ265">
        <v>0.75760000000000005</v>
      </c>
      <c r="AR265">
        <v>32866</v>
      </c>
      <c r="AS265">
        <v>2739</v>
      </c>
      <c r="AT265">
        <v>8.8700000000000001E-2</v>
      </c>
      <c r="AU265">
        <v>30328</v>
      </c>
      <c r="AV265">
        <v>30328</v>
      </c>
      <c r="AW265">
        <v>30998</v>
      </c>
      <c r="AX265">
        <v>6977</v>
      </c>
      <c r="AY265">
        <v>184.89</v>
      </c>
      <c r="AZ265">
        <v>0.96060000000000001</v>
      </c>
      <c r="BA265">
        <v>79.540000000000006</v>
      </c>
      <c r="BB265">
        <v>0.97840000000000005</v>
      </c>
      <c r="BC265">
        <v>0.95597484276729561</v>
      </c>
      <c r="BD265">
        <v>0.86430000000000007</v>
      </c>
      <c r="BE265">
        <v>0.80840000000000001</v>
      </c>
    </row>
    <row r="266" spans="1:57" x14ac:dyDescent="0.35">
      <c r="A266" t="s">
        <v>1112</v>
      </c>
      <c r="B266" t="s">
        <v>1113</v>
      </c>
      <c r="C266" t="s">
        <v>573</v>
      </c>
      <c r="D266" t="s">
        <v>556</v>
      </c>
      <c r="E266" t="s">
        <v>557</v>
      </c>
      <c r="F266" t="s">
        <v>123</v>
      </c>
      <c r="G266" t="s">
        <v>551</v>
      </c>
      <c r="H266">
        <v>1818</v>
      </c>
      <c r="I266">
        <v>0.16996566934029</v>
      </c>
      <c r="J266">
        <v>2127</v>
      </c>
      <c r="K266">
        <v>2945</v>
      </c>
      <c r="L266">
        <v>794</v>
      </c>
      <c r="M266" t="s">
        <v>590</v>
      </c>
      <c r="N266">
        <v>3.51</v>
      </c>
      <c r="O266">
        <v>3.74</v>
      </c>
      <c r="P266">
        <v>54.2</v>
      </c>
      <c r="Q266">
        <v>24.6</v>
      </c>
      <c r="R266">
        <v>2</v>
      </c>
      <c r="S266">
        <v>1.7299999999999999E-2</v>
      </c>
      <c r="T266">
        <v>5.5999999999999999E-3</v>
      </c>
      <c r="U266">
        <v>0.83309999999999995</v>
      </c>
      <c r="AH266">
        <v>201.67</v>
      </c>
      <c r="AI266">
        <v>5.53</v>
      </c>
      <c r="AJ266">
        <v>63.22</v>
      </c>
      <c r="AK266">
        <v>27.12</v>
      </c>
      <c r="AL266">
        <v>297.54000000000002</v>
      </c>
      <c r="AM266">
        <v>0.26605962993480631</v>
      </c>
      <c r="AN266">
        <v>405.4</v>
      </c>
      <c r="AO266">
        <v>107.86</v>
      </c>
      <c r="AP266">
        <v>0.2661</v>
      </c>
      <c r="AQ266">
        <v>0.7339</v>
      </c>
      <c r="AR266">
        <v>35898</v>
      </c>
      <c r="AS266">
        <v>2992</v>
      </c>
      <c r="AT266">
        <v>0.14829999999999999</v>
      </c>
      <c r="AU266">
        <v>33747</v>
      </c>
      <c r="AV266">
        <v>33747</v>
      </c>
      <c r="AW266">
        <v>33937</v>
      </c>
      <c r="AX266">
        <v>1338</v>
      </c>
      <c r="AY266">
        <v>83.4</v>
      </c>
      <c r="AZ266">
        <v>0.84340000000000004</v>
      </c>
      <c r="BA266">
        <v>23.15</v>
      </c>
      <c r="BB266">
        <v>0.99439999999999995</v>
      </c>
      <c r="BC266">
        <v>0.93850267379679131</v>
      </c>
      <c r="BD266">
        <v>0.8498</v>
      </c>
      <c r="BE266">
        <v>0.79310000000000003</v>
      </c>
    </row>
    <row r="267" spans="1:57" x14ac:dyDescent="0.35">
      <c r="A267" t="s">
        <v>1114</v>
      </c>
      <c r="B267" t="s">
        <v>1115</v>
      </c>
      <c r="C267" t="s">
        <v>548</v>
      </c>
      <c r="D267" t="s">
        <v>549</v>
      </c>
      <c r="E267" t="s">
        <v>557</v>
      </c>
      <c r="F267" t="s">
        <v>123</v>
      </c>
      <c r="G267" t="s">
        <v>551</v>
      </c>
      <c r="H267">
        <v>144</v>
      </c>
      <c r="I267">
        <v>4.8644018899411598E-2</v>
      </c>
      <c r="J267">
        <v>151</v>
      </c>
      <c r="K267">
        <v>5404</v>
      </c>
      <c r="L267">
        <v>1268</v>
      </c>
      <c r="M267" t="s">
        <v>632</v>
      </c>
      <c r="N267">
        <v>5.73</v>
      </c>
      <c r="O267">
        <v>6.43</v>
      </c>
      <c r="P267">
        <v>35</v>
      </c>
      <c r="Q267">
        <v>20.6</v>
      </c>
      <c r="R267">
        <v>2</v>
      </c>
      <c r="S267">
        <v>3.39E-2</v>
      </c>
      <c r="T267">
        <v>3.0499999999999999E-2</v>
      </c>
      <c r="U267">
        <v>0.90380000000000005</v>
      </c>
      <c r="AH267">
        <v>246.14</v>
      </c>
      <c r="AI267">
        <v>14.65</v>
      </c>
      <c r="AJ267">
        <v>129.55000000000001</v>
      </c>
      <c r="AK267">
        <v>26.28</v>
      </c>
      <c r="AL267">
        <v>416.62</v>
      </c>
      <c r="AM267">
        <v>0.33068443805970121</v>
      </c>
      <c r="AN267">
        <v>622.46</v>
      </c>
      <c r="AO267">
        <v>205.84</v>
      </c>
      <c r="AP267">
        <v>0.33069999999999999</v>
      </c>
      <c r="AQ267">
        <v>0.66930000000000001</v>
      </c>
      <c r="AR267">
        <v>48395</v>
      </c>
      <c r="AS267">
        <v>4033</v>
      </c>
      <c r="AT267">
        <v>0.19450000000000001</v>
      </c>
      <c r="AU267">
        <v>44259</v>
      </c>
      <c r="AV267">
        <v>44259</v>
      </c>
      <c r="AW267">
        <v>45651</v>
      </c>
      <c r="AX267">
        <v>3310</v>
      </c>
      <c r="AY267">
        <v>354.72</v>
      </c>
      <c r="AZ267">
        <v>0.96220000000000006</v>
      </c>
      <c r="BA267">
        <v>112.21</v>
      </c>
      <c r="BB267">
        <v>0.96950000000000003</v>
      </c>
      <c r="BC267">
        <v>0.89113530326594104</v>
      </c>
      <c r="BD267">
        <v>0.86359999999999992</v>
      </c>
      <c r="BE267">
        <v>0.74609999999999999</v>
      </c>
    </row>
    <row r="268" spans="1:57" x14ac:dyDescent="0.35">
      <c r="A268" t="s">
        <v>1116</v>
      </c>
      <c r="B268" t="s">
        <v>1117</v>
      </c>
      <c r="C268" t="s">
        <v>555</v>
      </c>
      <c r="D268" t="s">
        <v>549</v>
      </c>
      <c r="E268" t="s">
        <v>551</v>
      </c>
      <c r="F268" t="s">
        <v>123</v>
      </c>
      <c r="G268" t="s">
        <v>551</v>
      </c>
      <c r="H268">
        <v>800</v>
      </c>
      <c r="I268">
        <v>0.1296073074546838</v>
      </c>
      <c r="J268">
        <v>904</v>
      </c>
      <c r="K268">
        <v>6321</v>
      </c>
      <c r="L268">
        <v>554</v>
      </c>
      <c r="M268" t="s">
        <v>632</v>
      </c>
      <c r="N268">
        <v>13.45</v>
      </c>
      <c r="O268">
        <v>14.33</v>
      </c>
      <c r="P268">
        <v>73</v>
      </c>
      <c r="Q268">
        <v>34.299999999999997</v>
      </c>
      <c r="R268">
        <v>3</v>
      </c>
      <c r="S268">
        <v>9.0300000000000005E-2</v>
      </c>
      <c r="T268">
        <v>2.6700000000000002E-2</v>
      </c>
      <c r="U268">
        <v>0.82789999999999997</v>
      </c>
      <c r="AH268">
        <v>1631.71</v>
      </c>
      <c r="AI268">
        <v>40.89</v>
      </c>
      <c r="AJ268">
        <v>393.85</v>
      </c>
      <c r="AK268">
        <v>195.99</v>
      </c>
      <c r="AL268">
        <v>2262.44</v>
      </c>
      <c r="AM268">
        <v>0.31418237118040199</v>
      </c>
      <c r="AN268">
        <v>3298.89</v>
      </c>
      <c r="AO268">
        <v>1036.45</v>
      </c>
      <c r="AP268">
        <v>0.31419999999999998</v>
      </c>
      <c r="AQ268">
        <v>0.68579999999999997</v>
      </c>
      <c r="AR268">
        <v>40625</v>
      </c>
      <c r="AS268">
        <v>3385</v>
      </c>
      <c r="AT268">
        <v>0.15659999999999999</v>
      </c>
      <c r="AU268">
        <v>34858</v>
      </c>
      <c r="AV268">
        <v>34858</v>
      </c>
      <c r="AW268">
        <v>35814</v>
      </c>
      <c r="AX268">
        <v>2596</v>
      </c>
      <c r="AY268">
        <v>620.01</v>
      </c>
      <c r="AZ268">
        <v>0.96220000000000006</v>
      </c>
      <c r="BA268">
        <v>234.42</v>
      </c>
      <c r="BB268">
        <v>0.97330000000000005</v>
      </c>
      <c r="BC268">
        <v>0.93859036985345423</v>
      </c>
      <c r="BD268">
        <v>0.86359999999999992</v>
      </c>
      <c r="BE268">
        <v>0.78890000000000005</v>
      </c>
    </row>
    <row r="269" spans="1:57" x14ac:dyDescent="0.35">
      <c r="A269" t="s">
        <v>1118</v>
      </c>
      <c r="B269" t="s">
        <v>1119</v>
      </c>
      <c r="C269" t="s">
        <v>606</v>
      </c>
      <c r="D269" t="s">
        <v>549</v>
      </c>
      <c r="E269" t="s">
        <v>557</v>
      </c>
      <c r="F269" t="s">
        <v>123</v>
      </c>
      <c r="G269" t="s">
        <v>551</v>
      </c>
      <c r="H269">
        <v>276</v>
      </c>
      <c r="I269">
        <v>0.10094886323734691</v>
      </c>
      <c r="J269">
        <v>304</v>
      </c>
      <c r="K269">
        <v>2810</v>
      </c>
      <c r="L269">
        <v>953</v>
      </c>
      <c r="M269" t="s">
        <v>649</v>
      </c>
      <c r="N269">
        <v>5.38</v>
      </c>
      <c r="O269">
        <v>6.04</v>
      </c>
      <c r="P269">
        <v>27.1</v>
      </c>
      <c r="Q269">
        <v>25.1</v>
      </c>
      <c r="R269">
        <v>2</v>
      </c>
      <c r="S269">
        <v>5.7599999999999998E-2</v>
      </c>
      <c r="T269">
        <v>1.35E-2</v>
      </c>
      <c r="U269">
        <v>0.86409999999999998</v>
      </c>
      <c r="AH269">
        <v>807.11</v>
      </c>
      <c r="AI269">
        <v>20.329999999999998</v>
      </c>
      <c r="AJ269">
        <v>120.02</v>
      </c>
      <c r="AK269">
        <v>91.58</v>
      </c>
      <c r="AL269">
        <v>1039.04</v>
      </c>
      <c r="AM269">
        <v>0.32719141380728861</v>
      </c>
      <c r="AN269">
        <v>1544.33</v>
      </c>
      <c r="AO269">
        <v>505.29</v>
      </c>
      <c r="AP269">
        <v>0.32719999999999999</v>
      </c>
      <c r="AQ269">
        <v>0.67279999999999995</v>
      </c>
      <c r="AR269">
        <v>34006</v>
      </c>
      <c r="AS269">
        <v>2834</v>
      </c>
      <c r="AT269">
        <v>0.20730000000000001</v>
      </c>
      <c r="AU269">
        <v>32149</v>
      </c>
      <c r="AV269">
        <v>32149</v>
      </c>
      <c r="AW269">
        <v>32589</v>
      </c>
      <c r="AX269">
        <v>900</v>
      </c>
      <c r="AY269">
        <v>90.6</v>
      </c>
      <c r="AZ269">
        <v>0.85880000000000001</v>
      </c>
      <c r="BA269">
        <v>51.84</v>
      </c>
      <c r="BB269">
        <v>0.98650000000000004</v>
      </c>
      <c r="BC269">
        <v>0.89072847682119205</v>
      </c>
      <c r="BD269">
        <v>0.84340000000000004</v>
      </c>
      <c r="BE269">
        <v>0.74109999999999998</v>
      </c>
    </row>
    <row r="270" spans="1:57" x14ac:dyDescent="0.35">
      <c r="A270" t="s">
        <v>1120</v>
      </c>
      <c r="B270" t="s">
        <v>1121</v>
      </c>
      <c r="C270" t="s">
        <v>548</v>
      </c>
      <c r="D270" t="s">
        <v>556</v>
      </c>
      <c r="E270" t="s">
        <v>551</v>
      </c>
      <c r="F270" t="s">
        <v>123</v>
      </c>
      <c r="G270" t="s">
        <v>551</v>
      </c>
      <c r="H270">
        <v>1411</v>
      </c>
      <c r="I270">
        <v>8.7395914180535897E-2</v>
      </c>
      <c r="J270">
        <v>1534</v>
      </c>
      <c r="K270">
        <v>5047</v>
      </c>
      <c r="L270">
        <v>738</v>
      </c>
      <c r="M270" t="s">
        <v>784</v>
      </c>
      <c r="N270">
        <v>2.0699999999999998</v>
      </c>
      <c r="O270">
        <v>2.21</v>
      </c>
      <c r="P270">
        <v>35.5</v>
      </c>
      <c r="Q270">
        <v>49.9</v>
      </c>
      <c r="R270">
        <v>4</v>
      </c>
      <c r="S270">
        <v>0.11119999999999999</v>
      </c>
      <c r="T270">
        <v>3.0700000000000002E-2</v>
      </c>
      <c r="U270">
        <v>0.92549999999999999</v>
      </c>
      <c r="AH270">
        <v>1116.8800000000001</v>
      </c>
      <c r="AI270">
        <v>33.83</v>
      </c>
      <c r="AJ270">
        <v>53.14</v>
      </c>
      <c r="AK270">
        <v>73.900000000000006</v>
      </c>
      <c r="AL270">
        <v>1277.75</v>
      </c>
      <c r="AM270">
        <v>0.1520909204692143</v>
      </c>
      <c r="AN270">
        <v>1506.94</v>
      </c>
      <c r="AO270">
        <v>229.19</v>
      </c>
      <c r="AP270">
        <v>0.15210000000000001</v>
      </c>
      <c r="AQ270">
        <v>0.84789999999999999</v>
      </c>
      <c r="AR270">
        <v>48066</v>
      </c>
      <c r="AS270">
        <v>4006</v>
      </c>
      <c r="AT270">
        <v>0.14069999999999999</v>
      </c>
      <c r="AU270">
        <v>43757</v>
      </c>
      <c r="AV270">
        <v>43757</v>
      </c>
      <c r="AW270">
        <v>45143</v>
      </c>
      <c r="AX270">
        <v>3580</v>
      </c>
      <c r="AY270">
        <v>131.86000000000001</v>
      </c>
      <c r="AZ270">
        <v>0.83850000000000002</v>
      </c>
      <c r="BA270">
        <v>398.1</v>
      </c>
      <c r="BB270">
        <v>0.96930000000000005</v>
      </c>
      <c r="BC270">
        <v>0.93665158371040713</v>
      </c>
      <c r="BD270">
        <v>0.84520000000000006</v>
      </c>
      <c r="BE270">
        <v>0.76739999999999997</v>
      </c>
    </row>
    <row r="271" spans="1:57" x14ac:dyDescent="0.35">
      <c r="A271" t="s">
        <v>1122</v>
      </c>
      <c r="B271" t="s">
        <v>1123</v>
      </c>
      <c r="C271" t="s">
        <v>555</v>
      </c>
      <c r="D271" t="s">
        <v>556</v>
      </c>
      <c r="E271" t="s">
        <v>551</v>
      </c>
      <c r="F271" t="s">
        <v>123</v>
      </c>
      <c r="G271" t="s">
        <v>551</v>
      </c>
      <c r="H271">
        <v>701</v>
      </c>
      <c r="I271">
        <v>4.0479997709466239E-2</v>
      </c>
      <c r="J271">
        <v>729</v>
      </c>
      <c r="K271">
        <v>5290</v>
      </c>
      <c r="L271">
        <v>1044</v>
      </c>
      <c r="M271" t="s">
        <v>559</v>
      </c>
      <c r="N271">
        <v>8.8000000000000007</v>
      </c>
      <c r="O271">
        <v>10.33</v>
      </c>
      <c r="P271">
        <v>30.8</v>
      </c>
      <c r="Q271">
        <v>45.8</v>
      </c>
      <c r="R271">
        <v>2</v>
      </c>
      <c r="S271">
        <v>7.3899999999999993E-2</v>
      </c>
      <c r="T271">
        <v>4.1999999999999997E-3</v>
      </c>
      <c r="U271">
        <v>0.90080000000000005</v>
      </c>
      <c r="AH271">
        <v>1063.3900000000001</v>
      </c>
      <c r="AI271">
        <v>23.38</v>
      </c>
      <c r="AJ271">
        <v>308.42</v>
      </c>
      <c r="AK271">
        <v>124.95</v>
      </c>
      <c r="AL271">
        <v>1520.14</v>
      </c>
      <c r="AM271">
        <v>0.20441684989513401</v>
      </c>
      <c r="AN271">
        <v>1910.72</v>
      </c>
      <c r="AO271">
        <v>390.58</v>
      </c>
      <c r="AP271">
        <v>0.2044</v>
      </c>
      <c r="AQ271">
        <v>0.79559999999999997</v>
      </c>
      <c r="AR271">
        <v>48691</v>
      </c>
      <c r="AS271">
        <v>4058</v>
      </c>
      <c r="AT271">
        <v>0.18790000000000001</v>
      </c>
      <c r="AU271">
        <v>44445</v>
      </c>
      <c r="AV271">
        <v>44445</v>
      </c>
      <c r="AW271">
        <v>44632</v>
      </c>
      <c r="AX271">
        <v>1882</v>
      </c>
      <c r="AY271">
        <v>324.02</v>
      </c>
      <c r="AZ271">
        <v>0.84179999999999999</v>
      </c>
      <c r="BA271">
        <v>139.08000000000001</v>
      </c>
      <c r="BB271">
        <v>0.99580000000000002</v>
      </c>
      <c r="BC271">
        <v>0.85188770571151995</v>
      </c>
      <c r="BD271">
        <v>0.8367</v>
      </c>
      <c r="BE271">
        <v>0.70979999999999999</v>
      </c>
    </row>
    <row r="272" spans="1:57" x14ac:dyDescent="0.35">
      <c r="A272" t="s">
        <v>1124</v>
      </c>
      <c r="B272" t="s">
        <v>1125</v>
      </c>
      <c r="C272" t="s">
        <v>548</v>
      </c>
      <c r="D272" t="s">
        <v>549</v>
      </c>
      <c r="E272" t="s">
        <v>550</v>
      </c>
      <c r="F272" t="s">
        <v>123</v>
      </c>
      <c r="G272" t="s">
        <v>551</v>
      </c>
      <c r="H272">
        <v>183</v>
      </c>
      <c r="I272">
        <v>0.1094692731659085</v>
      </c>
      <c r="J272">
        <v>203</v>
      </c>
      <c r="K272">
        <v>5557</v>
      </c>
      <c r="L272">
        <v>466</v>
      </c>
      <c r="M272" t="s">
        <v>596</v>
      </c>
      <c r="N272">
        <v>24.16</v>
      </c>
      <c r="O272">
        <v>26.52</v>
      </c>
      <c r="P272">
        <v>58.7</v>
      </c>
      <c r="Q272">
        <v>43.9</v>
      </c>
      <c r="R272">
        <v>4</v>
      </c>
      <c r="S272">
        <v>0.39679999999999999</v>
      </c>
      <c r="T272">
        <v>1.03E-2</v>
      </c>
      <c r="U272">
        <v>0.86960000000000004</v>
      </c>
      <c r="AH272">
        <v>1660.13</v>
      </c>
      <c r="AI272">
        <v>195.85</v>
      </c>
      <c r="AJ272">
        <v>334.94</v>
      </c>
      <c r="AK272">
        <v>227.89</v>
      </c>
      <c r="AL272">
        <v>2418.81</v>
      </c>
      <c r="AM272">
        <v>0.31542107209996412</v>
      </c>
      <c r="AN272">
        <v>3533.28</v>
      </c>
      <c r="AO272">
        <v>1114.47</v>
      </c>
      <c r="AP272">
        <v>0.31540000000000001</v>
      </c>
      <c r="AQ272">
        <v>0.68459999999999999</v>
      </c>
      <c r="AR272">
        <v>28283</v>
      </c>
      <c r="AS272">
        <v>2357</v>
      </c>
      <c r="AT272">
        <v>0.11169999999999999</v>
      </c>
      <c r="AU272">
        <v>23192</v>
      </c>
      <c r="AV272">
        <v>23192</v>
      </c>
      <c r="AW272">
        <v>23433</v>
      </c>
      <c r="AX272">
        <v>1081</v>
      </c>
      <c r="AY272">
        <v>477.8</v>
      </c>
      <c r="AZ272">
        <v>0.94630000000000003</v>
      </c>
      <c r="BA272">
        <v>428.94</v>
      </c>
      <c r="BB272">
        <v>0.98970000000000002</v>
      </c>
      <c r="BC272">
        <v>0.91101055806938158</v>
      </c>
      <c r="BD272">
        <v>0.87060000000000004</v>
      </c>
      <c r="BE272">
        <v>0.78500000000000003</v>
      </c>
    </row>
    <row r="273" spans="1:57" x14ac:dyDescent="0.35">
      <c r="A273" t="s">
        <v>1126</v>
      </c>
      <c r="B273" t="s">
        <v>1127</v>
      </c>
      <c r="C273" t="s">
        <v>562</v>
      </c>
      <c r="D273" t="s">
        <v>549</v>
      </c>
      <c r="E273" t="s">
        <v>550</v>
      </c>
      <c r="F273" t="s">
        <v>123</v>
      </c>
      <c r="G273" t="s">
        <v>558</v>
      </c>
      <c r="H273">
        <v>767</v>
      </c>
      <c r="I273">
        <v>2.3760176913539061E-2</v>
      </c>
      <c r="J273">
        <v>785</v>
      </c>
      <c r="K273">
        <v>5767</v>
      </c>
      <c r="L273">
        <v>934</v>
      </c>
      <c r="M273" t="s">
        <v>596</v>
      </c>
      <c r="N273">
        <v>21.6</v>
      </c>
      <c r="O273">
        <v>23.15</v>
      </c>
      <c r="P273">
        <v>92.7</v>
      </c>
      <c r="Q273">
        <v>89.6</v>
      </c>
      <c r="R273">
        <v>6</v>
      </c>
      <c r="S273">
        <v>0.1179</v>
      </c>
      <c r="T273">
        <v>1.9199999999999998E-2</v>
      </c>
      <c r="U273">
        <v>0.87560000000000004</v>
      </c>
      <c r="AH273">
        <v>1407.03</v>
      </c>
      <c r="AI273">
        <v>42.34</v>
      </c>
      <c r="AJ273">
        <v>358.7</v>
      </c>
      <c r="AK273">
        <v>153.55000000000001</v>
      </c>
      <c r="AL273">
        <v>1961.62</v>
      </c>
      <c r="AM273">
        <v>0.27099734204493681</v>
      </c>
      <c r="AN273">
        <v>2690.83</v>
      </c>
      <c r="AO273">
        <v>729.21</v>
      </c>
      <c r="AP273">
        <v>0.27100000000000002</v>
      </c>
      <c r="AQ273">
        <v>0.72899999999999998</v>
      </c>
      <c r="AR273">
        <v>29849</v>
      </c>
      <c r="AS273">
        <v>2487</v>
      </c>
      <c r="AT273">
        <v>0.2074</v>
      </c>
      <c r="AU273">
        <v>25016</v>
      </c>
      <c r="AV273">
        <v>25016</v>
      </c>
      <c r="AW273">
        <v>25506</v>
      </c>
      <c r="AX273">
        <v>1176</v>
      </c>
      <c r="AY273">
        <v>453.74</v>
      </c>
      <c r="AZ273">
        <v>0.94630000000000003</v>
      </c>
      <c r="BA273">
        <v>138.65</v>
      </c>
      <c r="BB273">
        <v>0.98080000000000001</v>
      </c>
      <c r="BC273">
        <v>0.93304535637149044</v>
      </c>
      <c r="BD273">
        <v>0.87060000000000004</v>
      </c>
      <c r="BE273">
        <v>0.79669999999999996</v>
      </c>
    </row>
    <row r="274" spans="1:57" x14ac:dyDescent="0.35">
      <c r="A274" t="s">
        <v>1128</v>
      </c>
      <c r="B274" t="s">
        <v>1129</v>
      </c>
      <c r="C274" t="s">
        <v>562</v>
      </c>
      <c r="D274" t="s">
        <v>556</v>
      </c>
      <c r="E274" t="s">
        <v>557</v>
      </c>
      <c r="F274" t="s">
        <v>123</v>
      </c>
      <c r="G274" t="s">
        <v>551</v>
      </c>
      <c r="H274">
        <v>778</v>
      </c>
      <c r="I274">
        <v>0.1541808006396361</v>
      </c>
      <c r="J274">
        <v>898</v>
      </c>
      <c r="K274">
        <v>10139</v>
      </c>
      <c r="L274">
        <v>1202</v>
      </c>
      <c r="M274" t="s">
        <v>590</v>
      </c>
      <c r="N274">
        <v>9.5500000000000007</v>
      </c>
      <c r="O274">
        <v>11.16</v>
      </c>
      <c r="P274">
        <v>50</v>
      </c>
      <c r="Q274">
        <v>17.899999999999999</v>
      </c>
      <c r="R274">
        <v>1</v>
      </c>
      <c r="S274">
        <v>5.4300000000000001E-2</v>
      </c>
      <c r="T274">
        <v>1.01E-2</v>
      </c>
      <c r="U274">
        <v>0.9012</v>
      </c>
      <c r="AH274">
        <v>426.71</v>
      </c>
      <c r="AI274">
        <v>24.64</v>
      </c>
      <c r="AJ274">
        <v>199.67</v>
      </c>
      <c r="AK274">
        <v>33.1</v>
      </c>
      <c r="AL274">
        <v>684.12</v>
      </c>
      <c r="AM274">
        <v>0.15132836891708651</v>
      </c>
      <c r="AN274">
        <v>806.11</v>
      </c>
      <c r="AO274">
        <v>121.99</v>
      </c>
      <c r="AP274">
        <v>0.15129999999999999</v>
      </c>
      <c r="AQ274">
        <v>0.84870000000000001</v>
      </c>
      <c r="AR274">
        <v>59631</v>
      </c>
      <c r="AS274">
        <v>4969</v>
      </c>
      <c r="AT274">
        <v>0.17280000000000001</v>
      </c>
      <c r="AU274">
        <v>50694</v>
      </c>
      <c r="AV274">
        <v>50694</v>
      </c>
      <c r="AW274">
        <v>51211</v>
      </c>
      <c r="AX274">
        <v>2019</v>
      </c>
      <c r="AY274">
        <v>375.53</v>
      </c>
      <c r="AZ274">
        <v>0.84340000000000004</v>
      </c>
      <c r="BA274">
        <v>109.63</v>
      </c>
      <c r="BB274">
        <v>0.9899</v>
      </c>
      <c r="BC274">
        <v>0.85573476702508966</v>
      </c>
      <c r="BD274">
        <v>0.8498</v>
      </c>
      <c r="BE274">
        <v>0.71989999999999998</v>
      </c>
    </row>
    <row r="275" spans="1:57" x14ac:dyDescent="0.35">
      <c r="A275" t="s">
        <v>1130</v>
      </c>
      <c r="B275" t="s">
        <v>1131</v>
      </c>
      <c r="C275" t="s">
        <v>555</v>
      </c>
      <c r="D275" t="s">
        <v>549</v>
      </c>
      <c r="E275" t="s">
        <v>551</v>
      </c>
      <c r="F275" t="s">
        <v>123</v>
      </c>
      <c r="G275" t="s">
        <v>628</v>
      </c>
      <c r="H275">
        <v>1497</v>
      </c>
      <c r="I275">
        <v>0.14724628998019831</v>
      </c>
      <c r="J275">
        <v>1717</v>
      </c>
      <c r="K275">
        <v>4687</v>
      </c>
      <c r="L275">
        <v>1011</v>
      </c>
      <c r="M275" t="s">
        <v>559</v>
      </c>
      <c r="N275">
        <v>12.34</v>
      </c>
      <c r="O275">
        <v>13.43</v>
      </c>
      <c r="P275">
        <v>40.6</v>
      </c>
      <c r="Q275">
        <v>54.6</v>
      </c>
      <c r="R275">
        <v>3</v>
      </c>
      <c r="S275">
        <v>0.1053</v>
      </c>
      <c r="T275">
        <v>2.3400000000000001E-2</v>
      </c>
      <c r="U275">
        <v>0.80110000000000003</v>
      </c>
      <c r="AH275">
        <v>330.61</v>
      </c>
      <c r="AI275">
        <v>44.75</v>
      </c>
      <c r="AJ275">
        <v>247.6</v>
      </c>
      <c r="AK275">
        <v>31.54</v>
      </c>
      <c r="AL275">
        <v>654.5</v>
      </c>
      <c r="AM275">
        <v>0.35112366060795558</v>
      </c>
      <c r="AN275">
        <v>1008.67</v>
      </c>
      <c r="AO275">
        <v>354.17</v>
      </c>
      <c r="AP275">
        <v>0.35110000000000002</v>
      </c>
      <c r="AQ275">
        <v>0.64890000000000003</v>
      </c>
      <c r="AR275">
        <v>54346</v>
      </c>
      <c r="AS275">
        <v>4529</v>
      </c>
      <c r="AT275">
        <v>0.1147</v>
      </c>
      <c r="AU275">
        <v>50670</v>
      </c>
      <c r="AV275">
        <v>50670</v>
      </c>
      <c r="AW275">
        <v>51884</v>
      </c>
      <c r="AX275">
        <v>2187</v>
      </c>
      <c r="AY275">
        <v>489.52</v>
      </c>
      <c r="AZ275">
        <v>0.84179999999999999</v>
      </c>
      <c r="BA275">
        <v>230.29</v>
      </c>
      <c r="BB275">
        <v>0.97660000000000002</v>
      </c>
      <c r="BC275">
        <v>0.91883842144452721</v>
      </c>
      <c r="BD275">
        <v>0.8367</v>
      </c>
      <c r="BE275">
        <v>0.75080000000000002</v>
      </c>
    </row>
    <row r="276" spans="1:57" x14ac:dyDescent="0.35">
      <c r="A276" t="s">
        <v>1132</v>
      </c>
      <c r="B276" t="s">
        <v>1133</v>
      </c>
      <c r="C276" t="s">
        <v>606</v>
      </c>
      <c r="D276" t="s">
        <v>549</v>
      </c>
      <c r="E276" t="s">
        <v>550</v>
      </c>
      <c r="F276" t="s">
        <v>123</v>
      </c>
      <c r="G276" t="s">
        <v>558</v>
      </c>
      <c r="H276">
        <v>859</v>
      </c>
      <c r="I276">
        <v>0.1724130082543916</v>
      </c>
      <c r="J276">
        <v>1007</v>
      </c>
      <c r="K276">
        <v>1316</v>
      </c>
      <c r="L276">
        <v>332</v>
      </c>
      <c r="M276" t="s">
        <v>552</v>
      </c>
      <c r="N276">
        <v>4.25</v>
      </c>
      <c r="O276">
        <v>4.46</v>
      </c>
      <c r="P276">
        <v>78.3</v>
      </c>
      <c r="Q276">
        <v>38.200000000000003</v>
      </c>
      <c r="R276">
        <v>5</v>
      </c>
      <c r="S276">
        <v>0.15359999999999999</v>
      </c>
      <c r="T276">
        <v>4.0000000000000001E-3</v>
      </c>
      <c r="U276">
        <v>0.81410000000000005</v>
      </c>
      <c r="AH276">
        <v>400.36</v>
      </c>
      <c r="AI276">
        <v>57.81</v>
      </c>
      <c r="AJ276">
        <v>81.260000000000005</v>
      </c>
      <c r="AK276">
        <v>40.450000000000003</v>
      </c>
      <c r="AL276">
        <v>579.88</v>
      </c>
      <c r="AM276">
        <v>0.34320239332258429</v>
      </c>
      <c r="AN276">
        <v>882.89</v>
      </c>
      <c r="AO276">
        <v>303.01</v>
      </c>
      <c r="AP276">
        <v>0.34320000000000001</v>
      </c>
      <c r="AQ276">
        <v>0.65680000000000005</v>
      </c>
      <c r="AR276">
        <v>21862</v>
      </c>
      <c r="AS276">
        <v>1822</v>
      </c>
      <c r="AT276">
        <v>0.12959999999999999</v>
      </c>
      <c r="AU276">
        <v>20878</v>
      </c>
      <c r="AV276">
        <v>20878</v>
      </c>
      <c r="AW276">
        <v>20962</v>
      </c>
      <c r="AX276">
        <v>4910</v>
      </c>
      <c r="AY276">
        <v>364.98</v>
      </c>
      <c r="AZ276">
        <v>0.84030000000000005</v>
      </c>
      <c r="BA276">
        <v>754.18</v>
      </c>
      <c r="BB276">
        <v>0.996</v>
      </c>
      <c r="BC276">
        <v>0.952914798206278</v>
      </c>
      <c r="BD276">
        <v>0.85919999999999996</v>
      </c>
      <c r="BE276">
        <v>0.8155</v>
      </c>
    </row>
    <row r="277" spans="1:57" x14ac:dyDescent="0.35">
      <c r="A277" t="s">
        <v>1134</v>
      </c>
      <c r="B277" t="s">
        <v>1135</v>
      </c>
      <c r="C277" t="s">
        <v>555</v>
      </c>
      <c r="D277" t="s">
        <v>556</v>
      </c>
      <c r="E277" t="s">
        <v>551</v>
      </c>
      <c r="F277" t="s">
        <v>123</v>
      </c>
      <c r="G277" t="s">
        <v>551</v>
      </c>
      <c r="H277">
        <v>1167</v>
      </c>
      <c r="I277">
        <v>5.7632334615551881E-2</v>
      </c>
      <c r="J277">
        <v>1234</v>
      </c>
      <c r="K277">
        <v>2658</v>
      </c>
      <c r="L277">
        <v>834</v>
      </c>
      <c r="M277" t="s">
        <v>625</v>
      </c>
      <c r="N277">
        <v>3.94</v>
      </c>
      <c r="O277">
        <v>4.4400000000000004</v>
      </c>
      <c r="P277">
        <v>81.7</v>
      </c>
      <c r="Q277">
        <v>52.6</v>
      </c>
      <c r="R277">
        <v>2</v>
      </c>
      <c r="S277">
        <v>0.1101</v>
      </c>
      <c r="T277">
        <v>1.46E-2</v>
      </c>
      <c r="U277">
        <v>0.95860000000000001</v>
      </c>
      <c r="AH277">
        <v>993</v>
      </c>
      <c r="AI277">
        <v>37.56</v>
      </c>
      <c r="AJ277">
        <v>125</v>
      </c>
      <c r="AK277">
        <v>132.69999999999999</v>
      </c>
      <c r="AL277">
        <v>1288.26</v>
      </c>
      <c r="AM277">
        <v>0.28710479074839068</v>
      </c>
      <c r="AN277">
        <v>1807.08</v>
      </c>
      <c r="AO277">
        <v>518.82000000000005</v>
      </c>
      <c r="AP277">
        <v>0.28710000000000002</v>
      </c>
      <c r="AQ277">
        <v>0.71289999999999998</v>
      </c>
      <c r="AR277">
        <v>27254</v>
      </c>
      <c r="AS277">
        <v>2271</v>
      </c>
      <c r="AT277">
        <v>0.20730000000000001</v>
      </c>
      <c r="AU277">
        <v>25430</v>
      </c>
      <c r="AV277">
        <v>25430</v>
      </c>
      <c r="AW277">
        <v>25807</v>
      </c>
      <c r="AX277">
        <v>7326</v>
      </c>
      <c r="AY277">
        <v>542.12</v>
      </c>
      <c r="AZ277">
        <v>0.91749999999999998</v>
      </c>
      <c r="BA277">
        <v>806.59</v>
      </c>
      <c r="BB277">
        <v>0.98540000000000005</v>
      </c>
      <c r="BC277">
        <v>0.88738738738738732</v>
      </c>
      <c r="BD277">
        <v>0.88009999999999988</v>
      </c>
      <c r="BE277">
        <v>0.76959999999999995</v>
      </c>
    </row>
    <row r="278" spans="1:57" x14ac:dyDescent="0.35">
      <c r="A278" t="s">
        <v>1136</v>
      </c>
      <c r="B278" t="s">
        <v>1137</v>
      </c>
      <c r="C278" t="s">
        <v>573</v>
      </c>
      <c r="D278" t="s">
        <v>556</v>
      </c>
      <c r="E278" t="s">
        <v>557</v>
      </c>
      <c r="F278" t="s">
        <v>123</v>
      </c>
      <c r="G278" t="s">
        <v>628</v>
      </c>
      <c r="H278">
        <v>1487</v>
      </c>
      <c r="I278">
        <v>-4.8322402423985007E-2</v>
      </c>
      <c r="J278">
        <v>1415</v>
      </c>
      <c r="K278">
        <v>5529</v>
      </c>
      <c r="L278">
        <v>1230</v>
      </c>
      <c r="M278" t="s">
        <v>601</v>
      </c>
      <c r="N278">
        <v>2.9</v>
      </c>
      <c r="O278">
        <v>3.27</v>
      </c>
      <c r="P278">
        <v>59.3</v>
      </c>
      <c r="Q278">
        <v>41.8</v>
      </c>
      <c r="R278">
        <v>2</v>
      </c>
      <c r="S278">
        <v>1.9800000000000002E-2</v>
      </c>
      <c r="T278">
        <v>1.5599999999999999E-2</v>
      </c>
      <c r="U278">
        <v>0.81399999999999995</v>
      </c>
      <c r="AH278">
        <v>116.15</v>
      </c>
      <c r="AI278">
        <v>6.42</v>
      </c>
      <c r="AJ278">
        <v>79.400000000000006</v>
      </c>
      <c r="AK278">
        <v>13.33</v>
      </c>
      <c r="AL278">
        <v>215.3</v>
      </c>
      <c r="AM278">
        <v>0.166615831444068</v>
      </c>
      <c r="AN278">
        <v>258.33999999999997</v>
      </c>
      <c r="AO278">
        <v>43.04</v>
      </c>
      <c r="AP278">
        <v>0.1666</v>
      </c>
      <c r="AQ278">
        <v>0.83340000000000003</v>
      </c>
      <c r="AR278">
        <v>61417</v>
      </c>
      <c r="AS278">
        <v>5118</v>
      </c>
      <c r="AT278">
        <v>0.16200000000000001</v>
      </c>
      <c r="AU278">
        <v>57118</v>
      </c>
      <c r="AV278">
        <v>57118</v>
      </c>
      <c r="AW278">
        <v>58023</v>
      </c>
      <c r="AX278">
        <v>1919</v>
      </c>
      <c r="AY278">
        <v>104.59</v>
      </c>
      <c r="AZ278">
        <v>0.85140000000000005</v>
      </c>
      <c r="BA278">
        <v>38</v>
      </c>
      <c r="BB278">
        <v>0.98440000000000005</v>
      </c>
      <c r="BC278">
        <v>0.88685015290519875</v>
      </c>
      <c r="BD278">
        <v>0.86569999999999991</v>
      </c>
      <c r="BE278">
        <v>0.75580000000000003</v>
      </c>
    </row>
    <row r="279" spans="1:57" x14ac:dyDescent="0.35">
      <c r="A279" t="s">
        <v>1138</v>
      </c>
      <c r="B279" t="s">
        <v>1139</v>
      </c>
      <c r="C279" t="s">
        <v>606</v>
      </c>
      <c r="D279" t="s">
        <v>556</v>
      </c>
      <c r="E279" t="s">
        <v>557</v>
      </c>
      <c r="F279" t="s">
        <v>123</v>
      </c>
      <c r="G279" t="s">
        <v>558</v>
      </c>
      <c r="H279">
        <v>1187</v>
      </c>
      <c r="I279">
        <v>4.4731385637475224E-3</v>
      </c>
      <c r="J279">
        <v>1192</v>
      </c>
      <c r="K279">
        <v>11960</v>
      </c>
      <c r="L279">
        <v>1753</v>
      </c>
      <c r="M279" t="s">
        <v>656</v>
      </c>
      <c r="N279">
        <v>6.43</v>
      </c>
      <c r="O279">
        <v>7.4</v>
      </c>
      <c r="P279">
        <v>53.3</v>
      </c>
      <c r="Q279">
        <v>11.8</v>
      </c>
      <c r="R279">
        <v>1</v>
      </c>
      <c r="S279">
        <v>6.4000000000000001E-2</v>
      </c>
      <c r="T279">
        <v>1.7000000000000001E-2</v>
      </c>
      <c r="U279">
        <v>0.92720000000000002</v>
      </c>
      <c r="AH279">
        <v>375.13</v>
      </c>
      <c r="AI279">
        <v>27.07</v>
      </c>
      <c r="AJ279">
        <v>163.97</v>
      </c>
      <c r="AK279">
        <v>53.45</v>
      </c>
      <c r="AL279">
        <v>619.62</v>
      </c>
      <c r="AM279">
        <v>0.34162876238314621</v>
      </c>
      <c r="AN279">
        <v>941.14</v>
      </c>
      <c r="AO279">
        <v>321.52</v>
      </c>
      <c r="AP279">
        <v>0.34160000000000001</v>
      </c>
      <c r="AQ279">
        <v>0.65839999999999999</v>
      </c>
      <c r="AR279">
        <v>95006</v>
      </c>
      <c r="AS279">
        <v>7917</v>
      </c>
      <c r="AT279">
        <v>0.1167</v>
      </c>
      <c r="AU279">
        <v>84799</v>
      </c>
      <c r="AV279">
        <v>84799</v>
      </c>
      <c r="AW279">
        <v>86266</v>
      </c>
      <c r="AX279">
        <v>5537</v>
      </c>
      <c r="AY279">
        <v>682.9</v>
      </c>
      <c r="AZ279">
        <v>0.87060000000000004</v>
      </c>
      <c r="BA279">
        <v>354.37</v>
      </c>
      <c r="BB279">
        <v>0.98299999999999998</v>
      </c>
      <c r="BC279">
        <v>0.86891891891891881</v>
      </c>
      <c r="BD279">
        <v>0.85910000000000009</v>
      </c>
      <c r="BE279">
        <v>0.73380000000000001</v>
      </c>
    </row>
    <row r="280" spans="1:57" x14ac:dyDescent="0.35">
      <c r="A280" t="s">
        <v>1140</v>
      </c>
      <c r="B280" t="s">
        <v>1141</v>
      </c>
      <c r="C280" t="s">
        <v>562</v>
      </c>
      <c r="D280" t="s">
        <v>549</v>
      </c>
      <c r="E280" t="s">
        <v>557</v>
      </c>
      <c r="F280" t="s">
        <v>123</v>
      </c>
      <c r="G280" t="s">
        <v>551</v>
      </c>
      <c r="H280">
        <v>1442</v>
      </c>
      <c r="I280">
        <v>8.2978176631065839E-2</v>
      </c>
      <c r="J280">
        <v>1562</v>
      </c>
      <c r="K280">
        <v>11575</v>
      </c>
      <c r="L280">
        <v>2699</v>
      </c>
      <c r="M280" t="s">
        <v>649</v>
      </c>
      <c r="N280">
        <v>7.76</v>
      </c>
      <c r="O280">
        <v>8.31</v>
      </c>
      <c r="P280">
        <v>19.7</v>
      </c>
      <c r="Q280">
        <v>29.9</v>
      </c>
      <c r="R280">
        <v>2</v>
      </c>
      <c r="S280">
        <v>1.5599999999999999E-2</v>
      </c>
      <c r="T280">
        <v>7.9000000000000008E-3</v>
      </c>
      <c r="U280">
        <v>0.96560000000000001</v>
      </c>
      <c r="AH280">
        <v>413.06</v>
      </c>
      <c r="AI280">
        <v>7.1</v>
      </c>
      <c r="AJ280">
        <v>134.52000000000001</v>
      </c>
      <c r="AK280">
        <v>36.36</v>
      </c>
      <c r="AL280">
        <v>591.04</v>
      </c>
      <c r="AM280">
        <v>0.29592839693284101</v>
      </c>
      <c r="AN280">
        <v>839.46</v>
      </c>
      <c r="AO280">
        <v>248.42</v>
      </c>
      <c r="AP280">
        <v>0.2959</v>
      </c>
      <c r="AQ280">
        <v>0.70409999999999995</v>
      </c>
      <c r="AR280">
        <v>69454</v>
      </c>
      <c r="AS280">
        <v>5788</v>
      </c>
      <c r="AT280">
        <v>0.24440000000000001</v>
      </c>
      <c r="AU280">
        <v>60578</v>
      </c>
      <c r="AV280">
        <v>60578</v>
      </c>
      <c r="AW280">
        <v>61060</v>
      </c>
      <c r="AX280">
        <v>1688</v>
      </c>
      <c r="AY280">
        <v>233.79</v>
      </c>
      <c r="AZ280">
        <v>0.85880000000000001</v>
      </c>
      <c r="BA280">
        <v>26.33</v>
      </c>
      <c r="BB280">
        <v>0.99209999999999998</v>
      </c>
      <c r="BC280">
        <v>0.93381468110709975</v>
      </c>
      <c r="BD280">
        <v>0.84340000000000004</v>
      </c>
      <c r="BE280">
        <v>0.78139999999999998</v>
      </c>
    </row>
    <row r="281" spans="1:57" x14ac:dyDescent="0.35">
      <c r="A281" t="s">
        <v>1142</v>
      </c>
      <c r="B281" t="s">
        <v>1143</v>
      </c>
      <c r="C281" t="s">
        <v>548</v>
      </c>
      <c r="D281" t="s">
        <v>556</v>
      </c>
      <c r="E281" t="s">
        <v>550</v>
      </c>
      <c r="F281" t="s">
        <v>123</v>
      </c>
      <c r="G281" t="s">
        <v>551</v>
      </c>
      <c r="H281">
        <v>761</v>
      </c>
      <c r="I281">
        <v>0.13905340348754419</v>
      </c>
      <c r="J281">
        <v>867</v>
      </c>
      <c r="K281">
        <v>3298</v>
      </c>
      <c r="L281">
        <v>337</v>
      </c>
      <c r="M281" t="s">
        <v>649</v>
      </c>
      <c r="N281">
        <v>3.03</v>
      </c>
      <c r="O281">
        <v>3.35</v>
      </c>
      <c r="P281">
        <v>84.9</v>
      </c>
      <c r="Q281">
        <v>57.5</v>
      </c>
      <c r="R281">
        <v>3</v>
      </c>
      <c r="S281">
        <v>0.46310000000000001</v>
      </c>
      <c r="T281">
        <v>1.1900000000000001E-2</v>
      </c>
      <c r="U281">
        <v>0.84870000000000001</v>
      </c>
      <c r="AH281">
        <v>964.26</v>
      </c>
      <c r="AI281">
        <v>198.57</v>
      </c>
      <c r="AJ281">
        <v>88.69</v>
      </c>
      <c r="AK281">
        <v>90.76</v>
      </c>
      <c r="AL281">
        <v>1342.28</v>
      </c>
      <c r="AM281">
        <v>0.34548999428948979</v>
      </c>
      <c r="AN281">
        <v>2050.8200000000002</v>
      </c>
      <c r="AO281">
        <v>708.54</v>
      </c>
      <c r="AP281">
        <v>0.34549999999999997</v>
      </c>
      <c r="AQ281">
        <v>0.65449999999999997</v>
      </c>
      <c r="AR281">
        <v>18448</v>
      </c>
      <c r="AS281">
        <v>1537</v>
      </c>
      <c r="AT281">
        <v>0.2016</v>
      </c>
      <c r="AU281">
        <v>15487</v>
      </c>
      <c r="AV281">
        <v>15487</v>
      </c>
      <c r="AW281">
        <v>15674</v>
      </c>
      <c r="AX281">
        <v>433</v>
      </c>
      <c r="AY281">
        <v>24.18</v>
      </c>
      <c r="AZ281">
        <v>0.85880000000000001</v>
      </c>
      <c r="BA281">
        <v>200.52</v>
      </c>
      <c r="BB281">
        <v>0.98809999999999998</v>
      </c>
      <c r="BC281">
        <v>0.90447761194029841</v>
      </c>
      <c r="BD281">
        <v>0.84340000000000004</v>
      </c>
      <c r="BE281">
        <v>0.75380000000000003</v>
      </c>
    </row>
    <row r="282" spans="1:57" x14ac:dyDescent="0.35">
      <c r="A282" t="s">
        <v>1144</v>
      </c>
      <c r="B282" t="s">
        <v>1145</v>
      </c>
      <c r="C282" t="s">
        <v>555</v>
      </c>
      <c r="D282" t="s">
        <v>549</v>
      </c>
      <c r="E282" t="s">
        <v>557</v>
      </c>
      <c r="F282" t="s">
        <v>123</v>
      </c>
      <c r="G282" t="s">
        <v>558</v>
      </c>
      <c r="H282">
        <v>586</v>
      </c>
      <c r="I282">
        <v>6.1031928291437901E-2</v>
      </c>
      <c r="J282">
        <v>622</v>
      </c>
      <c r="K282">
        <v>14971</v>
      </c>
      <c r="L282">
        <v>3318</v>
      </c>
      <c r="M282" t="s">
        <v>596</v>
      </c>
      <c r="N282">
        <v>12.14</v>
      </c>
      <c r="O282">
        <v>13.09</v>
      </c>
      <c r="P282">
        <v>32.9</v>
      </c>
      <c r="Q282">
        <v>25.1</v>
      </c>
      <c r="R282">
        <v>2</v>
      </c>
      <c r="S282">
        <v>3.39E-2</v>
      </c>
      <c r="T282">
        <v>2.1399999999999999E-2</v>
      </c>
      <c r="U282">
        <v>0.86670000000000003</v>
      </c>
      <c r="AH282">
        <v>554.27</v>
      </c>
      <c r="AI282">
        <v>13.77</v>
      </c>
      <c r="AJ282">
        <v>380.93</v>
      </c>
      <c r="AK282">
        <v>103.78</v>
      </c>
      <c r="AL282">
        <v>1052.75</v>
      </c>
      <c r="AM282">
        <v>0.33793674809896013</v>
      </c>
      <c r="AN282">
        <v>1590.1</v>
      </c>
      <c r="AO282">
        <v>537.35</v>
      </c>
      <c r="AP282">
        <v>0.33789999999999998</v>
      </c>
      <c r="AQ282">
        <v>0.66210000000000002</v>
      </c>
      <c r="AR282">
        <v>84710</v>
      </c>
      <c r="AS282">
        <v>7059</v>
      </c>
      <c r="AT282">
        <v>0.2427</v>
      </c>
      <c r="AU282">
        <v>73057</v>
      </c>
      <c r="AV282">
        <v>73057</v>
      </c>
      <c r="AW282">
        <v>74655</v>
      </c>
      <c r="AX282">
        <v>3444</v>
      </c>
      <c r="AY282">
        <v>751.37</v>
      </c>
      <c r="AZ282">
        <v>0.94630000000000003</v>
      </c>
      <c r="BA282">
        <v>116.75</v>
      </c>
      <c r="BB282">
        <v>0.97860000000000003</v>
      </c>
      <c r="BC282">
        <v>0.92742551566080988</v>
      </c>
      <c r="BD282">
        <v>0.87060000000000004</v>
      </c>
      <c r="BE282">
        <v>0.79010000000000002</v>
      </c>
    </row>
    <row r="283" spans="1:57" x14ac:dyDescent="0.35">
      <c r="A283" t="s">
        <v>1146</v>
      </c>
      <c r="B283" t="s">
        <v>1147</v>
      </c>
      <c r="C283" t="s">
        <v>562</v>
      </c>
      <c r="D283" t="s">
        <v>556</v>
      </c>
      <c r="E283" t="s">
        <v>551</v>
      </c>
      <c r="F283" t="s">
        <v>123</v>
      </c>
      <c r="G283" t="s">
        <v>566</v>
      </c>
      <c r="H283">
        <v>2759</v>
      </c>
      <c r="I283">
        <v>3.509677606362642E-2</v>
      </c>
      <c r="J283">
        <v>2856</v>
      </c>
      <c r="K283">
        <v>5970</v>
      </c>
      <c r="L283">
        <v>1333</v>
      </c>
      <c r="M283" t="s">
        <v>567</v>
      </c>
      <c r="N283">
        <v>4.5599999999999996</v>
      </c>
      <c r="O283">
        <v>4.76</v>
      </c>
      <c r="P283">
        <v>64.2</v>
      </c>
      <c r="Q283">
        <v>20.100000000000001</v>
      </c>
      <c r="R283">
        <v>4</v>
      </c>
      <c r="S283">
        <v>0.17380000000000001</v>
      </c>
      <c r="T283">
        <v>6.4999999999999997E-3</v>
      </c>
      <c r="U283">
        <v>0.90239999999999998</v>
      </c>
      <c r="AH283">
        <v>513.66</v>
      </c>
      <c r="AI283">
        <v>53.6</v>
      </c>
      <c r="AJ283">
        <v>125.78</v>
      </c>
      <c r="AK283">
        <v>70.010000000000005</v>
      </c>
      <c r="AL283">
        <v>763.05</v>
      </c>
      <c r="AM283">
        <v>0.35075051798945928</v>
      </c>
      <c r="AN283">
        <v>1175.28</v>
      </c>
      <c r="AO283">
        <v>412.23</v>
      </c>
      <c r="AP283">
        <v>0.3508</v>
      </c>
      <c r="AQ283">
        <v>0.6492</v>
      </c>
      <c r="AR283">
        <v>57431</v>
      </c>
      <c r="AS283">
        <v>4786</v>
      </c>
      <c r="AT283">
        <v>0.15260000000000001</v>
      </c>
      <c r="AU283">
        <v>52794</v>
      </c>
      <c r="AV283">
        <v>52794</v>
      </c>
      <c r="AW283">
        <v>53139</v>
      </c>
      <c r="AX283">
        <v>15431</v>
      </c>
      <c r="AY283">
        <v>1224.19</v>
      </c>
      <c r="AZ283">
        <v>0.91639999999999999</v>
      </c>
      <c r="BA283">
        <v>2681.91</v>
      </c>
      <c r="BB283">
        <v>0.99350000000000005</v>
      </c>
      <c r="BC283">
        <v>0.95798319327731085</v>
      </c>
      <c r="BD283">
        <v>0.90759999999999996</v>
      </c>
      <c r="BE283">
        <v>0.86380000000000001</v>
      </c>
    </row>
    <row r="284" spans="1:57" x14ac:dyDescent="0.35">
      <c r="A284" t="s">
        <v>1148</v>
      </c>
      <c r="B284" t="s">
        <v>1149</v>
      </c>
      <c r="C284" t="s">
        <v>548</v>
      </c>
      <c r="D284" t="s">
        <v>556</v>
      </c>
      <c r="E284" t="s">
        <v>551</v>
      </c>
      <c r="F284" t="s">
        <v>123</v>
      </c>
      <c r="G284" t="s">
        <v>551</v>
      </c>
      <c r="H284">
        <v>486</v>
      </c>
      <c r="I284">
        <v>2.5583312337873431E-2</v>
      </c>
      <c r="J284">
        <v>498</v>
      </c>
      <c r="K284">
        <v>7457</v>
      </c>
      <c r="L284">
        <v>1169</v>
      </c>
      <c r="M284" t="s">
        <v>622</v>
      </c>
      <c r="N284">
        <v>5.48</v>
      </c>
      <c r="O284">
        <v>6.46</v>
      </c>
      <c r="P284">
        <v>45.6</v>
      </c>
      <c r="Q284">
        <v>40.700000000000003</v>
      </c>
      <c r="R284">
        <v>3</v>
      </c>
      <c r="S284">
        <v>8.0100000000000005E-2</v>
      </c>
      <c r="T284">
        <v>2.1000000000000001E-2</v>
      </c>
      <c r="U284">
        <v>0.9587</v>
      </c>
      <c r="AH284">
        <v>514.29999999999995</v>
      </c>
      <c r="AI284">
        <v>39.549999999999997</v>
      </c>
      <c r="AJ284">
        <v>64.8</v>
      </c>
      <c r="AK284">
        <v>35.06</v>
      </c>
      <c r="AL284">
        <v>653.71</v>
      </c>
      <c r="AM284">
        <v>0.2795020166011562</v>
      </c>
      <c r="AN284">
        <v>907.3</v>
      </c>
      <c r="AO284">
        <v>253.59</v>
      </c>
      <c r="AP284">
        <v>0.27950000000000003</v>
      </c>
      <c r="AQ284">
        <v>0.72050000000000003</v>
      </c>
      <c r="AR284">
        <v>48709</v>
      </c>
      <c r="AS284">
        <v>4059</v>
      </c>
      <c r="AT284">
        <v>0.1608</v>
      </c>
      <c r="AU284">
        <v>42421</v>
      </c>
      <c r="AV284">
        <v>42421</v>
      </c>
      <c r="AW284">
        <v>43331</v>
      </c>
      <c r="AX284">
        <v>2287</v>
      </c>
      <c r="AY284">
        <v>246.23</v>
      </c>
      <c r="AZ284">
        <v>0.95799999999999996</v>
      </c>
      <c r="BA284">
        <v>183.19</v>
      </c>
      <c r="BB284">
        <v>0.97899999999999998</v>
      </c>
      <c r="BC284">
        <v>0.84829721362229105</v>
      </c>
      <c r="BD284">
        <v>0.8538</v>
      </c>
      <c r="BE284">
        <v>0.70909999999999995</v>
      </c>
    </row>
    <row r="285" spans="1:57" x14ac:dyDescent="0.35">
      <c r="A285" t="s">
        <v>1150</v>
      </c>
      <c r="B285" t="s">
        <v>1151</v>
      </c>
      <c r="C285" t="s">
        <v>548</v>
      </c>
      <c r="D285" t="s">
        <v>556</v>
      </c>
      <c r="E285" t="s">
        <v>557</v>
      </c>
      <c r="F285" t="s">
        <v>123</v>
      </c>
      <c r="G285" t="s">
        <v>566</v>
      </c>
      <c r="H285">
        <v>458</v>
      </c>
      <c r="I285">
        <v>8.6206914386296699E-2</v>
      </c>
      <c r="J285">
        <v>497</v>
      </c>
      <c r="K285">
        <v>7620</v>
      </c>
      <c r="L285">
        <v>1831</v>
      </c>
      <c r="M285" t="s">
        <v>622</v>
      </c>
      <c r="N285">
        <v>9.42</v>
      </c>
      <c r="O285">
        <v>10.87</v>
      </c>
      <c r="P285">
        <v>47.5</v>
      </c>
      <c r="Q285">
        <v>16.100000000000001</v>
      </c>
      <c r="R285">
        <v>2</v>
      </c>
      <c r="S285">
        <v>7.7799999999999994E-2</v>
      </c>
      <c r="T285">
        <v>1.49E-2</v>
      </c>
      <c r="U285">
        <v>0.96950000000000003</v>
      </c>
      <c r="AH285">
        <v>693.28</v>
      </c>
      <c r="AI285">
        <v>35.770000000000003</v>
      </c>
      <c r="AJ285">
        <v>247.05</v>
      </c>
      <c r="AK285">
        <v>78.099999999999994</v>
      </c>
      <c r="AL285">
        <v>1054.2</v>
      </c>
      <c r="AM285">
        <v>0.18508112954837869</v>
      </c>
      <c r="AN285">
        <v>1293.6300000000001</v>
      </c>
      <c r="AO285">
        <v>239.43</v>
      </c>
      <c r="AP285">
        <v>0.18509999999999999</v>
      </c>
      <c r="AQ285">
        <v>0.81489999999999996</v>
      </c>
      <c r="AR285">
        <v>78617</v>
      </c>
      <c r="AS285">
        <v>6551</v>
      </c>
      <c r="AT285">
        <v>0.23269999999999999</v>
      </c>
      <c r="AU285">
        <v>72828</v>
      </c>
      <c r="AV285">
        <v>72828</v>
      </c>
      <c r="AW285">
        <v>73930</v>
      </c>
      <c r="AX285">
        <v>3903</v>
      </c>
      <c r="AY285">
        <v>707.09</v>
      </c>
      <c r="AZ285">
        <v>0.95799999999999996</v>
      </c>
      <c r="BA285">
        <v>303.64999999999998</v>
      </c>
      <c r="BB285">
        <v>0.98509999999999998</v>
      </c>
      <c r="BC285">
        <v>0.86660533578656862</v>
      </c>
      <c r="BD285">
        <v>0.8538</v>
      </c>
      <c r="BE285">
        <v>0.72889999999999999</v>
      </c>
    </row>
    <row r="286" spans="1:57" x14ac:dyDescent="0.35">
      <c r="A286" t="s">
        <v>1152</v>
      </c>
      <c r="B286" t="s">
        <v>1153</v>
      </c>
      <c r="C286" t="s">
        <v>562</v>
      </c>
      <c r="D286" t="s">
        <v>549</v>
      </c>
      <c r="E286" t="s">
        <v>557</v>
      </c>
      <c r="F286" t="s">
        <v>123</v>
      </c>
      <c r="G286" t="s">
        <v>558</v>
      </c>
      <c r="H286">
        <v>1008</v>
      </c>
      <c r="I286">
        <v>0.1984620972249245</v>
      </c>
      <c r="J286">
        <v>1208</v>
      </c>
      <c r="K286">
        <v>3798</v>
      </c>
      <c r="L286">
        <v>1635</v>
      </c>
      <c r="M286" t="s">
        <v>632</v>
      </c>
      <c r="N286">
        <v>2.61</v>
      </c>
      <c r="O286">
        <v>2.82</v>
      </c>
      <c r="P286">
        <v>39.6</v>
      </c>
      <c r="Q286">
        <v>35</v>
      </c>
      <c r="R286">
        <v>1</v>
      </c>
      <c r="S286">
        <v>3.0200000000000001E-2</v>
      </c>
      <c r="T286">
        <v>2.4400000000000002E-2</v>
      </c>
      <c r="U286">
        <v>0.93310000000000004</v>
      </c>
      <c r="AH286">
        <v>747.83</v>
      </c>
      <c r="AI286">
        <v>10.83</v>
      </c>
      <c r="AJ286">
        <v>31.08</v>
      </c>
      <c r="AK286">
        <v>41.1</v>
      </c>
      <c r="AL286">
        <v>830.84</v>
      </c>
      <c r="AM286">
        <v>0.31778936834492222</v>
      </c>
      <c r="AN286">
        <v>1217.8599999999999</v>
      </c>
      <c r="AO286">
        <v>387.02</v>
      </c>
      <c r="AP286">
        <v>0.31780000000000003</v>
      </c>
      <c r="AQ286">
        <v>0.68220000000000003</v>
      </c>
      <c r="AR286">
        <v>64217</v>
      </c>
      <c r="AS286">
        <v>5351</v>
      </c>
      <c r="AT286">
        <v>0.16930000000000001</v>
      </c>
      <c r="AU286">
        <v>62054</v>
      </c>
      <c r="AV286">
        <v>62054</v>
      </c>
      <c r="AW286">
        <v>63606</v>
      </c>
      <c r="AX286">
        <v>4612</v>
      </c>
      <c r="AY286">
        <v>216.76</v>
      </c>
      <c r="AZ286">
        <v>0.96220000000000006</v>
      </c>
      <c r="BA286">
        <v>139.28</v>
      </c>
      <c r="BB286">
        <v>0.97560000000000002</v>
      </c>
      <c r="BC286">
        <v>0.92553191489361708</v>
      </c>
      <c r="BD286">
        <v>0.86359999999999992</v>
      </c>
      <c r="BE286">
        <v>0.77980000000000005</v>
      </c>
    </row>
    <row r="287" spans="1:57" x14ac:dyDescent="0.35">
      <c r="A287" t="s">
        <v>1154</v>
      </c>
      <c r="B287" t="s">
        <v>1155</v>
      </c>
      <c r="C287" t="s">
        <v>562</v>
      </c>
      <c r="D287" t="s">
        <v>556</v>
      </c>
      <c r="E287" t="s">
        <v>551</v>
      </c>
      <c r="F287" t="s">
        <v>123</v>
      </c>
      <c r="G287" t="s">
        <v>566</v>
      </c>
      <c r="H287">
        <v>783</v>
      </c>
      <c r="I287">
        <v>0.16313944547538839</v>
      </c>
      <c r="J287">
        <v>911</v>
      </c>
      <c r="K287">
        <v>6130</v>
      </c>
      <c r="L287">
        <v>1219</v>
      </c>
      <c r="M287" t="s">
        <v>629</v>
      </c>
      <c r="N287">
        <v>3.2</v>
      </c>
      <c r="O287">
        <v>3.62</v>
      </c>
      <c r="P287">
        <v>56.7</v>
      </c>
      <c r="Q287">
        <v>21.1</v>
      </c>
      <c r="R287">
        <v>4</v>
      </c>
      <c r="S287">
        <v>7.7399999999999997E-2</v>
      </c>
      <c r="T287">
        <v>1.84E-2</v>
      </c>
      <c r="U287">
        <v>0.81559999999999999</v>
      </c>
      <c r="AH287">
        <v>385.84</v>
      </c>
      <c r="AI287">
        <v>38.39</v>
      </c>
      <c r="AJ287">
        <v>54.85</v>
      </c>
      <c r="AK287">
        <v>40.08</v>
      </c>
      <c r="AL287">
        <v>519.16</v>
      </c>
      <c r="AM287">
        <v>0.30511844626299273</v>
      </c>
      <c r="AN287">
        <v>747.12</v>
      </c>
      <c r="AO287">
        <v>227.96</v>
      </c>
      <c r="AP287">
        <v>0.30509999999999998</v>
      </c>
      <c r="AQ287">
        <v>0.69489999999999996</v>
      </c>
      <c r="AR287">
        <v>39489</v>
      </c>
      <c r="AS287">
        <v>3291</v>
      </c>
      <c r="AT287">
        <v>0.20019999999999999</v>
      </c>
      <c r="AU287">
        <v>34578</v>
      </c>
      <c r="AV287">
        <v>34578</v>
      </c>
      <c r="AW287">
        <v>35226</v>
      </c>
      <c r="AX287">
        <v>21564</v>
      </c>
      <c r="AY287">
        <v>1301.03</v>
      </c>
      <c r="AZ287">
        <v>0.83360000000000001</v>
      </c>
      <c r="BA287">
        <v>1669.05</v>
      </c>
      <c r="BB287">
        <v>0.98160000000000003</v>
      </c>
      <c r="BC287">
        <v>0.88397790055248626</v>
      </c>
      <c r="BD287">
        <v>0.88049999999999995</v>
      </c>
      <c r="BE287">
        <v>0.76400000000000001</v>
      </c>
    </row>
    <row r="288" spans="1:57" x14ac:dyDescent="0.35">
      <c r="A288" t="s">
        <v>1156</v>
      </c>
      <c r="B288" t="s">
        <v>1157</v>
      </c>
      <c r="C288" t="s">
        <v>573</v>
      </c>
      <c r="D288" t="s">
        <v>556</v>
      </c>
      <c r="E288" t="s">
        <v>551</v>
      </c>
      <c r="F288" t="s">
        <v>123</v>
      </c>
      <c r="G288" t="s">
        <v>551</v>
      </c>
      <c r="H288">
        <v>1058</v>
      </c>
      <c r="I288">
        <v>0.16749228991192119</v>
      </c>
      <c r="J288">
        <v>1235</v>
      </c>
      <c r="K288">
        <v>1679</v>
      </c>
      <c r="L288">
        <v>431</v>
      </c>
      <c r="M288" t="s">
        <v>601</v>
      </c>
      <c r="N288">
        <v>8.31</v>
      </c>
      <c r="O288">
        <v>8.84</v>
      </c>
      <c r="P288">
        <v>57</v>
      </c>
      <c r="Q288">
        <v>31.9</v>
      </c>
      <c r="R288">
        <v>4</v>
      </c>
      <c r="S288">
        <v>7.2499999999999995E-2</v>
      </c>
      <c r="T288">
        <v>6.7999999999999996E-3</v>
      </c>
      <c r="U288">
        <v>0.9204</v>
      </c>
      <c r="AH288">
        <v>625.05999999999995</v>
      </c>
      <c r="AI288">
        <v>30.48</v>
      </c>
      <c r="AJ288">
        <v>98.92</v>
      </c>
      <c r="AK288">
        <v>72.709999999999994</v>
      </c>
      <c r="AL288">
        <v>827.17</v>
      </c>
      <c r="AM288">
        <v>0.33556329679977182</v>
      </c>
      <c r="AN288">
        <v>1244.92</v>
      </c>
      <c r="AO288">
        <v>417.75</v>
      </c>
      <c r="AP288">
        <v>0.33560000000000001</v>
      </c>
      <c r="AQ288">
        <v>0.66439999999999999</v>
      </c>
      <c r="AR288">
        <v>32627</v>
      </c>
      <c r="AS288">
        <v>2719</v>
      </c>
      <c r="AT288">
        <v>0.1229</v>
      </c>
      <c r="AU288">
        <v>31379</v>
      </c>
      <c r="AV288">
        <v>31379</v>
      </c>
      <c r="AW288">
        <v>31594</v>
      </c>
      <c r="AX288">
        <v>1045</v>
      </c>
      <c r="AY288">
        <v>153.96</v>
      </c>
      <c r="AZ288">
        <v>0.85140000000000005</v>
      </c>
      <c r="BA288">
        <v>75.760000000000005</v>
      </c>
      <c r="BB288">
        <v>0.99319999999999997</v>
      </c>
      <c r="BC288">
        <v>0.94004524886877838</v>
      </c>
      <c r="BD288">
        <v>0.86569999999999991</v>
      </c>
      <c r="BE288">
        <v>0.80830000000000002</v>
      </c>
    </row>
    <row r="289" spans="1:57" x14ac:dyDescent="0.35">
      <c r="A289" t="s">
        <v>1158</v>
      </c>
      <c r="B289" t="s">
        <v>1159</v>
      </c>
      <c r="C289" t="s">
        <v>606</v>
      </c>
      <c r="D289" t="s">
        <v>556</v>
      </c>
      <c r="E289" t="s">
        <v>551</v>
      </c>
      <c r="F289" t="s">
        <v>123</v>
      </c>
      <c r="G289" t="s">
        <v>566</v>
      </c>
      <c r="H289">
        <v>111</v>
      </c>
      <c r="I289">
        <v>0.19240193171202391</v>
      </c>
      <c r="J289">
        <v>132</v>
      </c>
      <c r="K289">
        <v>2305</v>
      </c>
      <c r="L289">
        <v>525</v>
      </c>
      <c r="M289" t="s">
        <v>629</v>
      </c>
      <c r="N289">
        <v>2.96</v>
      </c>
      <c r="O289">
        <v>3.5</v>
      </c>
      <c r="P289">
        <v>85.8</v>
      </c>
      <c r="Q289">
        <v>25</v>
      </c>
      <c r="R289">
        <v>4</v>
      </c>
      <c r="S289">
        <v>0.13639999999999999</v>
      </c>
      <c r="T289">
        <v>1.5100000000000001E-2</v>
      </c>
      <c r="U289">
        <v>0.87390000000000001</v>
      </c>
      <c r="AH289">
        <v>297.89999999999998</v>
      </c>
      <c r="AI289">
        <v>56.81</v>
      </c>
      <c r="AJ289">
        <v>77.27</v>
      </c>
      <c r="AK289">
        <v>25.18</v>
      </c>
      <c r="AL289">
        <v>457.16</v>
      </c>
      <c r="AM289">
        <v>0.19247025151268379</v>
      </c>
      <c r="AN289">
        <v>566.12</v>
      </c>
      <c r="AO289">
        <v>108.96</v>
      </c>
      <c r="AP289">
        <v>0.1925</v>
      </c>
      <c r="AQ289">
        <v>0.8075</v>
      </c>
      <c r="AR289">
        <v>20696</v>
      </c>
      <c r="AS289">
        <v>1725</v>
      </c>
      <c r="AT289">
        <v>0.15590000000000001</v>
      </c>
      <c r="AU289">
        <v>18916</v>
      </c>
      <c r="AV289">
        <v>18916</v>
      </c>
      <c r="AW289">
        <v>19206</v>
      </c>
      <c r="AX289">
        <v>11757</v>
      </c>
      <c r="AY289">
        <v>685.82</v>
      </c>
      <c r="AZ289">
        <v>0.83360000000000001</v>
      </c>
      <c r="BA289">
        <v>1603.65</v>
      </c>
      <c r="BB289">
        <v>0.9849</v>
      </c>
      <c r="BC289">
        <v>0.84571428571428575</v>
      </c>
      <c r="BD289">
        <v>0.88049999999999995</v>
      </c>
      <c r="BE289">
        <v>0.73340000000000005</v>
      </c>
    </row>
    <row r="290" spans="1:57" x14ac:dyDescent="0.35">
      <c r="A290" t="s">
        <v>1160</v>
      </c>
      <c r="B290" t="s">
        <v>1161</v>
      </c>
      <c r="C290" t="s">
        <v>562</v>
      </c>
      <c r="D290" t="s">
        <v>556</v>
      </c>
      <c r="E290" t="s">
        <v>551</v>
      </c>
      <c r="F290" t="s">
        <v>123</v>
      </c>
      <c r="G290" t="s">
        <v>551</v>
      </c>
      <c r="H290">
        <v>727</v>
      </c>
      <c r="I290">
        <v>2.1445888881467551E-2</v>
      </c>
      <c r="J290">
        <v>743</v>
      </c>
      <c r="K290">
        <v>2837</v>
      </c>
      <c r="L290">
        <v>252</v>
      </c>
      <c r="M290" t="s">
        <v>622</v>
      </c>
      <c r="N290">
        <v>14.04</v>
      </c>
      <c r="O290">
        <v>14.74</v>
      </c>
      <c r="P290">
        <v>69.099999999999994</v>
      </c>
      <c r="Q290">
        <v>22.1</v>
      </c>
      <c r="R290">
        <v>3</v>
      </c>
      <c r="S290">
        <v>0.1099</v>
      </c>
      <c r="T290">
        <v>2.1999999999999999E-2</v>
      </c>
      <c r="U290">
        <v>0.88470000000000004</v>
      </c>
      <c r="AH290">
        <v>335.21</v>
      </c>
      <c r="AI290">
        <v>49.41</v>
      </c>
      <c r="AJ290">
        <v>349.81</v>
      </c>
      <c r="AK290">
        <v>51.57</v>
      </c>
      <c r="AL290">
        <v>786</v>
      </c>
      <c r="AM290">
        <v>0.1987437999750723</v>
      </c>
      <c r="AN290">
        <v>980.96</v>
      </c>
      <c r="AO290">
        <v>194.96</v>
      </c>
      <c r="AP290">
        <v>0.19869999999999999</v>
      </c>
      <c r="AQ290">
        <v>0.80130000000000001</v>
      </c>
      <c r="AR290">
        <v>28543</v>
      </c>
      <c r="AS290">
        <v>2379</v>
      </c>
      <c r="AT290">
        <v>0.10100000000000001</v>
      </c>
      <c r="AU290">
        <v>25958</v>
      </c>
      <c r="AV290">
        <v>25958</v>
      </c>
      <c r="AW290">
        <v>26542</v>
      </c>
      <c r="AX290">
        <v>1401</v>
      </c>
      <c r="AY290">
        <v>344.18</v>
      </c>
      <c r="AZ290">
        <v>0.95799999999999996</v>
      </c>
      <c r="BA290">
        <v>153.97</v>
      </c>
      <c r="BB290">
        <v>0.97799999999999998</v>
      </c>
      <c r="BC290">
        <v>0.95251017639077329</v>
      </c>
      <c r="BD290">
        <v>0.8538</v>
      </c>
      <c r="BE290">
        <v>0.7954</v>
      </c>
    </row>
    <row r="291" spans="1:57" x14ac:dyDescent="0.35">
      <c r="A291" t="s">
        <v>1162</v>
      </c>
      <c r="B291" t="s">
        <v>1163</v>
      </c>
      <c r="C291" t="s">
        <v>606</v>
      </c>
      <c r="D291" t="s">
        <v>556</v>
      </c>
      <c r="E291" t="s">
        <v>551</v>
      </c>
      <c r="F291" t="s">
        <v>123</v>
      </c>
      <c r="G291" t="s">
        <v>551</v>
      </c>
      <c r="H291">
        <v>1190</v>
      </c>
      <c r="I291">
        <v>0.173613139206058</v>
      </c>
      <c r="J291">
        <v>1397</v>
      </c>
      <c r="K291">
        <v>4253</v>
      </c>
      <c r="L291">
        <v>304</v>
      </c>
      <c r="M291" t="s">
        <v>563</v>
      </c>
      <c r="N291">
        <v>10.71</v>
      </c>
      <c r="O291">
        <v>11.04</v>
      </c>
      <c r="P291">
        <v>56.8</v>
      </c>
      <c r="Q291">
        <v>42.2</v>
      </c>
      <c r="R291">
        <v>4</v>
      </c>
      <c r="S291">
        <v>0.19409999999999999</v>
      </c>
      <c r="T291">
        <v>1.1900000000000001E-2</v>
      </c>
      <c r="U291">
        <v>0.80879999999999996</v>
      </c>
      <c r="AH291">
        <v>673.29</v>
      </c>
      <c r="AI291">
        <v>89.74</v>
      </c>
      <c r="AJ291">
        <v>135.68</v>
      </c>
      <c r="AK291">
        <v>69.959999999999994</v>
      </c>
      <c r="AL291">
        <v>968.67</v>
      </c>
      <c r="AM291">
        <v>0.37260237930483209</v>
      </c>
      <c r="AN291">
        <v>1543.95</v>
      </c>
      <c r="AO291">
        <v>575.28</v>
      </c>
      <c r="AP291">
        <v>0.37259999999999999</v>
      </c>
      <c r="AQ291">
        <v>0.62739999999999996</v>
      </c>
      <c r="AR291">
        <v>27615</v>
      </c>
      <c r="AS291">
        <v>2301</v>
      </c>
      <c r="AT291">
        <v>0.115</v>
      </c>
      <c r="AU291">
        <v>23666</v>
      </c>
      <c r="AV291">
        <v>23666</v>
      </c>
      <c r="AW291">
        <v>23951</v>
      </c>
      <c r="AX291">
        <v>1982</v>
      </c>
      <c r="AY291">
        <v>364.69</v>
      </c>
      <c r="AZ291">
        <v>0.92459999999999998</v>
      </c>
      <c r="BA291">
        <v>384.71</v>
      </c>
      <c r="BB291">
        <v>0.98809999999999998</v>
      </c>
      <c r="BC291">
        <v>0.97010869565217406</v>
      </c>
      <c r="BD291">
        <v>0.83379999999999999</v>
      </c>
      <c r="BE291">
        <v>0.79930000000000001</v>
      </c>
    </row>
    <row r="292" spans="1:57" x14ac:dyDescent="0.35">
      <c r="A292" t="s">
        <v>1164</v>
      </c>
      <c r="B292" t="s">
        <v>1165</v>
      </c>
      <c r="C292" t="s">
        <v>562</v>
      </c>
      <c r="D292" t="s">
        <v>549</v>
      </c>
      <c r="E292" t="s">
        <v>551</v>
      </c>
      <c r="F292" t="s">
        <v>123</v>
      </c>
      <c r="G292" t="s">
        <v>558</v>
      </c>
      <c r="H292">
        <v>1010</v>
      </c>
      <c r="I292">
        <v>-2.268394742259465E-2</v>
      </c>
      <c r="J292">
        <v>987</v>
      </c>
      <c r="K292">
        <v>2716</v>
      </c>
      <c r="L292">
        <v>169</v>
      </c>
      <c r="M292" t="s">
        <v>649</v>
      </c>
      <c r="N292">
        <v>12.21</v>
      </c>
      <c r="O292">
        <v>13.62</v>
      </c>
      <c r="P292">
        <v>47.9</v>
      </c>
      <c r="Q292">
        <v>38.200000000000003</v>
      </c>
      <c r="R292">
        <v>4</v>
      </c>
      <c r="S292">
        <v>0.12540000000000001</v>
      </c>
      <c r="T292">
        <v>2.4199999999999999E-2</v>
      </c>
      <c r="U292">
        <v>0.83440000000000003</v>
      </c>
      <c r="AH292">
        <v>1240.52</v>
      </c>
      <c r="AI292">
        <v>54.08</v>
      </c>
      <c r="AJ292">
        <v>240.76</v>
      </c>
      <c r="AK292">
        <v>175.6</v>
      </c>
      <c r="AL292">
        <v>1710.96</v>
      </c>
      <c r="AM292">
        <v>0.33749444961301772</v>
      </c>
      <c r="AN292">
        <v>2582.56</v>
      </c>
      <c r="AO292">
        <v>871.6</v>
      </c>
      <c r="AP292">
        <v>0.33750000000000002</v>
      </c>
      <c r="AQ292">
        <v>0.66249999999999998</v>
      </c>
      <c r="AR292">
        <v>16466</v>
      </c>
      <c r="AS292">
        <v>1372</v>
      </c>
      <c r="AT292">
        <v>8.0199999999999994E-2</v>
      </c>
      <c r="AU292">
        <v>13919</v>
      </c>
      <c r="AV292">
        <v>13919</v>
      </c>
      <c r="AW292">
        <v>14264</v>
      </c>
      <c r="AX292">
        <v>394</v>
      </c>
      <c r="AY292">
        <v>89.44</v>
      </c>
      <c r="AZ292">
        <v>0.85880000000000001</v>
      </c>
      <c r="BA292">
        <v>49.41</v>
      </c>
      <c r="BB292">
        <v>0.9758</v>
      </c>
      <c r="BC292">
        <v>0.89647577092511022</v>
      </c>
      <c r="BD292">
        <v>0.84340000000000004</v>
      </c>
      <c r="BE292">
        <v>0.73780000000000001</v>
      </c>
    </row>
    <row r="293" spans="1:57" x14ac:dyDescent="0.35">
      <c r="A293" t="s">
        <v>1166</v>
      </c>
      <c r="B293" t="s">
        <v>1167</v>
      </c>
      <c r="C293" t="s">
        <v>555</v>
      </c>
      <c r="D293" t="s">
        <v>549</v>
      </c>
      <c r="E293" t="s">
        <v>550</v>
      </c>
      <c r="F293" t="s">
        <v>123</v>
      </c>
      <c r="G293" t="s">
        <v>628</v>
      </c>
      <c r="H293">
        <v>424</v>
      </c>
      <c r="I293">
        <v>7.7608122251058051E-2</v>
      </c>
      <c r="J293">
        <v>457</v>
      </c>
      <c r="K293">
        <v>2412</v>
      </c>
      <c r="L293">
        <v>287</v>
      </c>
      <c r="M293" t="s">
        <v>632</v>
      </c>
      <c r="N293">
        <v>9</v>
      </c>
      <c r="O293">
        <v>10.16</v>
      </c>
      <c r="P293">
        <v>57.3</v>
      </c>
      <c r="Q293">
        <v>48.2</v>
      </c>
      <c r="R293">
        <v>3</v>
      </c>
      <c r="S293">
        <v>0.1056</v>
      </c>
      <c r="T293">
        <v>1.78E-2</v>
      </c>
      <c r="U293">
        <v>0.94230000000000003</v>
      </c>
      <c r="AH293">
        <v>701.01</v>
      </c>
      <c r="AI293">
        <v>34.39</v>
      </c>
      <c r="AJ293">
        <v>194.31</v>
      </c>
      <c r="AK293">
        <v>111.13</v>
      </c>
      <c r="AL293">
        <v>1040.8399999999999</v>
      </c>
      <c r="AM293">
        <v>0.37705712217508069</v>
      </c>
      <c r="AN293">
        <v>1670.84</v>
      </c>
      <c r="AO293">
        <v>630</v>
      </c>
      <c r="AP293">
        <v>0.37709999999999999</v>
      </c>
      <c r="AQ293">
        <v>0.62290000000000001</v>
      </c>
      <c r="AR293">
        <v>25225</v>
      </c>
      <c r="AS293">
        <v>2102</v>
      </c>
      <c r="AT293">
        <v>8.6699999999999999E-2</v>
      </c>
      <c r="AU293">
        <v>23100</v>
      </c>
      <c r="AV293">
        <v>23100</v>
      </c>
      <c r="AW293">
        <v>23519</v>
      </c>
      <c r="AX293">
        <v>1705</v>
      </c>
      <c r="AY293">
        <v>288.70999999999998</v>
      </c>
      <c r="AZ293">
        <v>0.96220000000000006</v>
      </c>
      <c r="BA293">
        <v>180.05</v>
      </c>
      <c r="BB293">
        <v>0.98219999999999996</v>
      </c>
      <c r="BC293">
        <v>0.88582677165354329</v>
      </c>
      <c r="BD293">
        <v>0.86359999999999992</v>
      </c>
      <c r="BE293">
        <v>0.75139999999999996</v>
      </c>
    </row>
    <row r="294" spans="1:57" x14ac:dyDescent="0.35">
      <c r="A294" t="s">
        <v>1168</v>
      </c>
      <c r="B294" t="s">
        <v>1169</v>
      </c>
      <c r="C294" t="s">
        <v>573</v>
      </c>
      <c r="D294" t="s">
        <v>556</v>
      </c>
      <c r="E294" t="s">
        <v>551</v>
      </c>
      <c r="F294" t="s">
        <v>123</v>
      </c>
      <c r="G294" t="s">
        <v>551</v>
      </c>
      <c r="H294">
        <v>153</v>
      </c>
      <c r="I294">
        <v>8.1806545209950052E-2</v>
      </c>
      <c r="J294">
        <v>166</v>
      </c>
      <c r="K294">
        <v>5728</v>
      </c>
      <c r="L294">
        <v>1125</v>
      </c>
      <c r="M294" t="s">
        <v>625</v>
      </c>
      <c r="N294">
        <v>4.5999999999999996</v>
      </c>
      <c r="O294">
        <v>5.19</v>
      </c>
      <c r="P294">
        <v>67.3</v>
      </c>
      <c r="Q294">
        <v>32.1</v>
      </c>
      <c r="R294">
        <v>2</v>
      </c>
      <c r="S294">
        <v>5.2200000000000003E-2</v>
      </c>
      <c r="T294">
        <v>5.3E-3</v>
      </c>
      <c r="U294">
        <v>0.88170000000000004</v>
      </c>
      <c r="AH294">
        <v>530.51</v>
      </c>
      <c r="AI294">
        <v>19.190000000000001</v>
      </c>
      <c r="AJ294">
        <v>90.21</v>
      </c>
      <c r="AK294">
        <v>34.01</v>
      </c>
      <c r="AL294">
        <v>673.92</v>
      </c>
      <c r="AM294">
        <v>0.33967883029098023</v>
      </c>
      <c r="AN294">
        <v>1020.59</v>
      </c>
      <c r="AO294">
        <v>346.67</v>
      </c>
      <c r="AP294">
        <v>0.3397</v>
      </c>
      <c r="AQ294">
        <v>0.6603</v>
      </c>
      <c r="AR294">
        <v>33350</v>
      </c>
      <c r="AS294">
        <v>2779</v>
      </c>
      <c r="AT294">
        <v>0.24610000000000001</v>
      </c>
      <c r="AU294">
        <v>28747</v>
      </c>
      <c r="AV294">
        <v>28747</v>
      </c>
      <c r="AW294">
        <v>28900</v>
      </c>
      <c r="AX294">
        <v>8204</v>
      </c>
      <c r="AY294">
        <v>709.65</v>
      </c>
      <c r="AZ294">
        <v>0.91749999999999998</v>
      </c>
      <c r="BA294">
        <v>428.25</v>
      </c>
      <c r="BB294">
        <v>0.99470000000000003</v>
      </c>
      <c r="BC294">
        <v>0.88631984585741797</v>
      </c>
      <c r="BD294">
        <v>0.88009999999999988</v>
      </c>
      <c r="BE294">
        <v>0.77590000000000003</v>
      </c>
    </row>
    <row r="295" spans="1:57" x14ac:dyDescent="0.35">
      <c r="A295" t="s">
        <v>1170</v>
      </c>
      <c r="B295" t="s">
        <v>1171</v>
      </c>
      <c r="C295" t="s">
        <v>606</v>
      </c>
      <c r="D295" t="s">
        <v>549</v>
      </c>
      <c r="E295" t="s">
        <v>557</v>
      </c>
      <c r="F295" t="s">
        <v>123</v>
      </c>
      <c r="G295" t="s">
        <v>551</v>
      </c>
      <c r="H295">
        <v>1233</v>
      </c>
      <c r="I295">
        <v>-4.7784178721632778E-2</v>
      </c>
      <c r="J295">
        <v>1174</v>
      </c>
      <c r="K295">
        <v>9044</v>
      </c>
      <c r="L295">
        <v>987</v>
      </c>
      <c r="M295" t="s">
        <v>578</v>
      </c>
      <c r="N295">
        <v>1.26</v>
      </c>
      <c r="O295">
        <v>1.31</v>
      </c>
      <c r="P295">
        <v>55.5</v>
      </c>
      <c r="Q295">
        <v>32</v>
      </c>
      <c r="R295">
        <v>2</v>
      </c>
      <c r="S295">
        <v>5.6599999999999998E-2</v>
      </c>
      <c r="T295">
        <v>1.0999999999999999E-2</v>
      </c>
      <c r="U295">
        <v>0.85429999999999995</v>
      </c>
      <c r="AH295">
        <v>236.64</v>
      </c>
      <c r="AI295">
        <v>27.49</v>
      </c>
      <c r="AJ295">
        <v>16.27</v>
      </c>
      <c r="AK295">
        <v>28.96</v>
      </c>
      <c r="AL295">
        <v>309.36</v>
      </c>
      <c r="AM295">
        <v>0.29928882649757549</v>
      </c>
      <c r="AN295">
        <v>441.49</v>
      </c>
      <c r="AO295">
        <v>132.13</v>
      </c>
      <c r="AP295">
        <v>0.29930000000000001</v>
      </c>
      <c r="AQ295">
        <v>0.70069999999999999</v>
      </c>
      <c r="AR295">
        <v>96125</v>
      </c>
      <c r="AS295">
        <v>8010</v>
      </c>
      <c r="AT295">
        <v>0.1212</v>
      </c>
      <c r="AU295">
        <v>88068</v>
      </c>
      <c r="AV295">
        <v>88068</v>
      </c>
      <c r="AW295">
        <v>89048</v>
      </c>
      <c r="AX295">
        <v>20043</v>
      </c>
      <c r="AY295">
        <v>437.61</v>
      </c>
      <c r="AZ295">
        <v>0.96060000000000001</v>
      </c>
      <c r="BA295">
        <v>1134.43</v>
      </c>
      <c r="BB295">
        <v>0.98899999999999999</v>
      </c>
      <c r="BC295">
        <v>0.96183206106870223</v>
      </c>
      <c r="BD295">
        <v>0.86430000000000007</v>
      </c>
      <c r="BE295">
        <v>0.82220000000000004</v>
      </c>
    </row>
    <row r="296" spans="1:57" x14ac:dyDescent="0.35">
      <c r="A296" t="s">
        <v>1172</v>
      </c>
      <c r="B296" t="s">
        <v>1173</v>
      </c>
      <c r="C296" t="s">
        <v>606</v>
      </c>
      <c r="D296" t="s">
        <v>549</v>
      </c>
      <c r="E296" t="s">
        <v>557</v>
      </c>
      <c r="F296" t="s">
        <v>123</v>
      </c>
      <c r="G296" t="s">
        <v>628</v>
      </c>
      <c r="H296">
        <v>124</v>
      </c>
      <c r="I296">
        <v>0.1082265826696085</v>
      </c>
      <c r="J296">
        <v>137</v>
      </c>
      <c r="K296">
        <v>10713</v>
      </c>
      <c r="L296">
        <v>2885</v>
      </c>
      <c r="M296" t="s">
        <v>649</v>
      </c>
      <c r="N296">
        <v>9.82</v>
      </c>
      <c r="O296">
        <v>10.64</v>
      </c>
      <c r="P296">
        <v>34.700000000000003</v>
      </c>
      <c r="Q296">
        <v>11.4</v>
      </c>
      <c r="R296">
        <v>1</v>
      </c>
      <c r="S296">
        <v>3.39E-2</v>
      </c>
      <c r="T296">
        <v>2.3900000000000001E-2</v>
      </c>
      <c r="U296">
        <v>0.86909999999999998</v>
      </c>
      <c r="AH296">
        <v>186.78</v>
      </c>
      <c r="AI296">
        <v>11.69</v>
      </c>
      <c r="AJ296">
        <v>195.55</v>
      </c>
      <c r="AK296">
        <v>29.95</v>
      </c>
      <c r="AL296">
        <v>423.97</v>
      </c>
      <c r="AM296">
        <v>0.31353318425696841</v>
      </c>
      <c r="AN296">
        <v>617.61</v>
      </c>
      <c r="AO296">
        <v>193.64</v>
      </c>
      <c r="AP296">
        <v>0.3135</v>
      </c>
      <c r="AQ296">
        <v>0.6865</v>
      </c>
      <c r="AR296">
        <v>91602</v>
      </c>
      <c r="AS296">
        <v>7634</v>
      </c>
      <c r="AT296">
        <v>0.1928</v>
      </c>
      <c r="AU296">
        <v>83774</v>
      </c>
      <c r="AV296">
        <v>83774</v>
      </c>
      <c r="AW296">
        <v>85825</v>
      </c>
      <c r="AX296">
        <v>2372</v>
      </c>
      <c r="AY296">
        <v>420.63</v>
      </c>
      <c r="AZ296">
        <v>0.85880000000000001</v>
      </c>
      <c r="BA296">
        <v>80.41</v>
      </c>
      <c r="BB296">
        <v>0.97609999999999997</v>
      </c>
      <c r="BC296">
        <v>0.9229323308270676</v>
      </c>
      <c r="BD296">
        <v>0.84340000000000004</v>
      </c>
      <c r="BE296">
        <v>0.75980000000000003</v>
      </c>
    </row>
    <row r="297" spans="1:57" x14ac:dyDescent="0.35">
      <c r="A297" t="s">
        <v>1174</v>
      </c>
      <c r="B297" t="s">
        <v>1175</v>
      </c>
      <c r="C297" t="s">
        <v>548</v>
      </c>
      <c r="D297" t="s">
        <v>549</v>
      </c>
      <c r="E297" t="s">
        <v>550</v>
      </c>
      <c r="F297" t="s">
        <v>123</v>
      </c>
      <c r="G297" t="s">
        <v>558</v>
      </c>
      <c r="H297">
        <v>134</v>
      </c>
      <c r="I297">
        <v>0.1034010285593646</v>
      </c>
      <c r="J297">
        <v>148</v>
      </c>
      <c r="K297">
        <v>1596</v>
      </c>
      <c r="L297">
        <v>194</v>
      </c>
      <c r="M297" t="s">
        <v>622</v>
      </c>
      <c r="N297">
        <v>8.15</v>
      </c>
      <c r="O297">
        <v>9.09</v>
      </c>
      <c r="P297">
        <v>82.5</v>
      </c>
      <c r="Q297">
        <v>75.900000000000006</v>
      </c>
      <c r="R297">
        <v>6</v>
      </c>
      <c r="S297">
        <v>0.31680000000000003</v>
      </c>
      <c r="T297">
        <v>1.0800000000000001E-2</v>
      </c>
      <c r="U297">
        <v>0.95379999999999998</v>
      </c>
      <c r="AH297">
        <v>826.6</v>
      </c>
      <c r="AI297">
        <v>118.62</v>
      </c>
      <c r="AJ297">
        <v>227.46</v>
      </c>
      <c r="AK297">
        <v>90.85</v>
      </c>
      <c r="AL297">
        <v>1263.53</v>
      </c>
      <c r="AM297">
        <v>0.37228198098500248</v>
      </c>
      <c r="AN297">
        <v>2012.89</v>
      </c>
      <c r="AO297">
        <v>749.36</v>
      </c>
      <c r="AP297">
        <v>0.37230000000000002</v>
      </c>
      <c r="AQ297">
        <v>0.62770000000000004</v>
      </c>
      <c r="AR297">
        <v>10033</v>
      </c>
      <c r="AS297">
        <v>836</v>
      </c>
      <c r="AT297">
        <v>0.22259999999999999</v>
      </c>
      <c r="AU297">
        <v>8631</v>
      </c>
      <c r="AV297">
        <v>8631</v>
      </c>
      <c r="AW297">
        <v>8725</v>
      </c>
      <c r="AX297">
        <v>460</v>
      </c>
      <c r="AY297">
        <v>69.69</v>
      </c>
      <c r="AZ297">
        <v>0.95799999999999996</v>
      </c>
      <c r="BA297">
        <v>145.72999999999999</v>
      </c>
      <c r="BB297">
        <v>0.98919999999999997</v>
      </c>
      <c r="BC297">
        <v>0.8965896589658966</v>
      </c>
      <c r="BD297">
        <v>0.8538</v>
      </c>
      <c r="BE297">
        <v>0.75719999999999998</v>
      </c>
    </row>
    <row r="298" spans="1:57" x14ac:dyDescent="0.35">
      <c r="A298" t="s">
        <v>1176</v>
      </c>
      <c r="B298" t="s">
        <v>1177</v>
      </c>
      <c r="C298" t="s">
        <v>562</v>
      </c>
      <c r="D298" t="s">
        <v>556</v>
      </c>
      <c r="E298" t="s">
        <v>551</v>
      </c>
      <c r="F298" t="s">
        <v>123</v>
      </c>
      <c r="G298" t="s">
        <v>551</v>
      </c>
      <c r="H298">
        <v>2378</v>
      </c>
      <c r="I298">
        <v>8.7282584069293165E-2</v>
      </c>
      <c r="J298">
        <v>2586</v>
      </c>
      <c r="K298">
        <v>5832</v>
      </c>
      <c r="L298">
        <v>626</v>
      </c>
      <c r="M298" t="s">
        <v>563</v>
      </c>
      <c r="N298">
        <v>2.54</v>
      </c>
      <c r="O298">
        <v>2.71</v>
      </c>
      <c r="P298">
        <v>45.9</v>
      </c>
      <c r="Q298">
        <v>52.3</v>
      </c>
      <c r="R298">
        <v>2</v>
      </c>
      <c r="S298">
        <v>0.15709999999999999</v>
      </c>
      <c r="T298">
        <v>2.1999999999999999E-2</v>
      </c>
      <c r="U298">
        <v>0.93479999999999996</v>
      </c>
      <c r="AH298">
        <v>846.71</v>
      </c>
      <c r="AI298">
        <v>60.71</v>
      </c>
      <c r="AJ298">
        <v>30.95</v>
      </c>
      <c r="AK298">
        <v>96.46</v>
      </c>
      <c r="AL298">
        <v>1034.83</v>
      </c>
      <c r="AM298">
        <v>0.29470168862798513</v>
      </c>
      <c r="AN298">
        <v>1467.22</v>
      </c>
      <c r="AO298">
        <v>432.39</v>
      </c>
      <c r="AP298">
        <v>0.29470000000000002</v>
      </c>
      <c r="AQ298">
        <v>0.70530000000000004</v>
      </c>
      <c r="AR298">
        <v>37886</v>
      </c>
      <c r="AS298">
        <v>3157</v>
      </c>
      <c r="AT298">
        <v>0.1736</v>
      </c>
      <c r="AU298">
        <v>32680</v>
      </c>
      <c r="AV298">
        <v>32680</v>
      </c>
      <c r="AW298">
        <v>33415</v>
      </c>
      <c r="AX298">
        <v>2766</v>
      </c>
      <c r="AY298">
        <v>124.93</v>
      </c>
      <c r="AZ298">
        <v>0.92459999999999998</v>
      </c>
      <c r="BA298">
        <v>434.54</v>
      </c>
      <c r="BB298">
        <v>0.97799999999999998</v>
      </c>
      <c r="BC298">
        <v>0.93726937269372701</v>
      </c>
      <c r="BD298">
        <v>0.83379999999999999</v>
      </c>
      <c r="BE298">
        <v>0.76429999999999998</v>
      </c>
    </row>
    <row r="299" spans="1:57" x14ac:dyDescent="0.35">
      <c r="A299" t="s">
        <v>1178</v>
      </c>
      <c r="B299" t="s">
        <v>1179</v>
      </c>
      <c r="C299" t="s">
        <v>562</v>
      </c>
      <c r="D299" t="s">
        <v>549</v>
      </c>
      <c r="E299" t="s">
        <v>557</v>
      </c>
      <c r="F299" t="s">
        <v>123</v>
      </c>
      <c r="G299" t="s">
        <v>566</v>
      </c>
      <c r="H299">
        <v>165</v>
      </c>
      <c r="I299">
        <v>-3.0784481180959129E-2</v>
      </c>
      <c r="J299">
        <v>160</v>
      </c>
      <c r="K299">
        <v>18886</v>
      </c>
      <c r="L299">
        <v>854</v>
      </c>
      <c r="M299" t="s">
        <v>593</v>
      </c>
      <c r="N299">
        <v>4.26</v>
      </c>
      <c r="O299">
        <v>5.0199999999999996</v>
      </c>
      <c r="P299">
        <v>26.3</v>
      </c>
      <c r="Q299">
        <v>38.799999999999997</v>
      </c>
      <c r="R299">
        <v>1</v>
      </c>
      <c r="S299">
        <v>1.5100000000000001E-2</v>
      </c>
      <c r="T299">
        <v>2.23E-2</v>
      </c>
      <c r="U299">
        <v>0.84899999999999998</v>
      </c>
      <c r="AH299">
        <v>1191.93</v>
      </c>
      <c r="AI299">
        <v>5.86</v>
      </c>
      <c r="AJ299">
        <v>58.25</v>
      </c>
      <c r="AK299">
        <v>143.55000000000001</v>
      </c>
      <c r="AL299">
        <v>1399.59</v>
      </c>
      <c r="AM299">
        <v>0.30809783108209687</v>
      </c>
      <c r="AN299">
        <v>2022.81</v>
      </c>
      <c r="AO299">
        <v>623.22</v>
      </c>
      <c r="AP299">
        <v>0.30809999999999998</v>
      </c>
      <c r="AQ299">
        <v>0.69189999999999996</v>
      </c>
      <c r="AR299">
        <v>95333</v>
      </c>
      <c r="AS299">
        <v>7944</v>
      </c>
      <c r="AT299">
        <v>0.106</v>
      </c>
      <c r="AU299">
        <v>77301</v>
      </c>
      <c r="AV299">
        <v>77301</v>
      </c>
      <c r="AW299">
        <v>79064</v>
      </c>
      <c r="AX299">
        <v>11773</v>
      </c>
      <c r="AY299">
        <v>985.01</v>
      </c>
      <c r="AZ299">
        <v>0.85650000000000004</v>
      </c>
      <c r="BA299">
        <v>177.77</v>
      </c>
      <c r="BB299">
        <v>0.97770000000000001</v>
      </c>
      <c r="BC299">
        <v>0.84860557768924305</v>
      </c>
      <c r="BD299">
        <v>0.87629999999999997</v>
      </c>
      <c r="BE299">
        <v>0.72709999999999997</v>
      </c>
    </row>
    <row r="300" spans="1:57" x14ac:dyDescent="0.35">
      <c r="A300" t="s">
        <v>1180</v>
      </c>
      <c r="B300" t="s">
        <v>1181</v>
      </c>
      <c r="C300" t="s">
        <v>606</v>
      </c>
      <c r="D300" t="s">
        <v>549</v>
      </c>
      <c r="E300" t="s">
        <v>557</v>
      </c>
      <c r="F300" t="s">
        <v>123</v>
      </c>
      <c r="G300" t="s">
        <v>628</v>
      </c>
      <c r="H300">
        <v>610</v>
      </c>
      <c r="I300">
        <v>2.7781177915340428E-3</v>
      </c>
      <c r="J300">
        <v>612</v>
      </c>
      <c r="K300">
        <v>6931</v>
      </c>
      <c r="L300">
        <v>2201</v>
      </c>
      <c r="M300" t="s">
        <v>614</v>
      </c>
      <c r="N300">
        <v>4.62</v>
      </c>
      <c r="O300">
        <v>4.83</v>
      </c>
      <c r="P300">
        <v>18.8</v>
      </c>
      <c r="Q300">
        <v>40.299999999999997</v>
      </c>
      <c r="R300">
        <v>2</v>
      </c>
      <c r="S300">
        <v>1.8800000000000001E-2</v>
      </c>
      <c r="T300">
        <v>1.01E-2</v>
      </c>
      <c r="U300">
        <v>0.82120000000000004</v>
      </c>
      <c r="AH300">
        <v>1022.6</v>
      </c>
      <c r="AI300">
        <v>7.94</v>
      </c>
      <c r="AJ300">
        <v>82.57</v>
      </c>
      <c r="AK300">
        <v>129.75</v>
      </c>
      <c r="AL300">
        <v>1242.8599999999999</v>
      </c>
      <c r="AM300">
        <v>0.18911917900090011</v>
      </c>
      <c r="AN300">
        <v>1532.73</v>
      </c>
      <c r="AO300">
        <v>289.87</v>
      </c>
      <c r="AP300">
        <v>0.18909999999999999</v>
      </c>
      <c r="AQ300">
        <v>0.81089999999999995</v>
      </c>
      <c r="AR300">
        <v>82732</v>
      </c>
      <c r="AS300">
        <v>6894</v>
      </c>
      <c r="AT300">
        <v>0.20380000000000001</v>
      </c>
      <c r="AU300">
        <v>78002</v>
      </c>
      <c r="AV300">
        <v>78002</v>
      </c>
      <c r="AW300">
        <v>78798</v>
      </c>
      <c r="AX300">
        <v>6075</v>
      </c>
      <c r="AY300">
        <v>489.04</v>
      </c>
      <c r="AZ300">
        <v>0.92549999999999999</v>
      </c>
      <c r="BA300">
        <v>114.21</v>
      </c>
      <c r="BB300">
        <v>0.9899</v>
      </c>
      <c r="BC300">
        <v>0.95652173913043481</v>
      </c>
      <c r="BD300">
        <v>0.86540000000000006</v>
      </c>
      <c r="BE300">
        <v>0.81940000000000002</v>
      </c>
    </row>
    <row r="301" spans="1:57" x14ac:dyDescent="0.35">
      <c r="A301" t="s">
        <v>1182</v>
      </c>
      <c r="B301" t="s">
        <v>1183</v>
      </c>
      <c r="C301" t="s">
        <v>555</v>
      </c>
      <c r="D301" t="s">
        <v>556</v>
      </c>
      <c r="E301" t="s">
        <v>557</v>
      </c>
      <c r="F301" t="s">
        <v>123</v>
      </c>
      <c r="G301" t="s">
        <v>566</v>
      </c>
      <c r="H301">
        <v>2254</v>
      </c>
      <c r="I301">
        <v>6.91092465859479E-2</v>
      </c>
      <c r="J301">
        <v>2410</v>
      </c>
      <c r="K301">
        <v>11861</v>
      </c>
      <c r="L301">
        <v>2327</v>
      </c>
      <c r="M301" t="s">
        <v>601</v>
      </c>
      <c r="N301">
        <v>3.87</v>
      </c>
      <c r="O301">
        <v>4.3099999999999996</v>
      </c>
      <c r="P301">
        <v>37.5</v>
      </c>
      <c r="Q301">
        <v>20.399999999999999</v>
      </c>
      <c r="R301">
        <v>1</v>
      </c>
      <c r="S301">
        <v>6.3600000000000004E-2</v>
      </c>
      <c r="T301">
        <v>3.8999999999999998E-3</v>
      </c>
      <c r="U301">
        <v>0.84540000000000004</v>
      </c>
      <c r="AH301">
        <v>229.57</v>
      </c>
      <c r="AI301">
        <v>31.08</v>
      </c>
      <c r="AJ301">
        <v>124.28</v>
      </c>
      <c r="AK301">
        <v>34.799999999999997</v>
      </c>
      <c r="AL301">
        <v>419.73</v>
      </c>
      <c r="AM301">
        <v>0.26848030502902559</v>
      </c>
      <c r="AN301">
        <v>573.78</v>
      </c>
      <c r="AO301">
        <v>154.05000000000001</v>
      </c>
      <c r="AP301">
        <v>0.26850000000000002</v>
      </c>
      <c r="AQ301">
        <v>0.73150000000000004</v>
      </c>
      <c r="AR301">
        <v>79420</v>
      </c>
      <c r="AS301">
        <v>6618</v>
      </c>
      <c r="AT301">
        <v>0.182</v>
      </c>
      <c r="AU301">
        <v>69886</v>
      </c>
      <c r="AV301">
        <v>69886</v>
      </c>
      <c r="AW301">
        <v>70160</v>
      </c>
      <c r="AX301">
        <v>2320</v>
      </c>
      <c r="AY301">
        <v>166.65</v>
      </c>
      <c r="AZ301">
        <v>0.85140000000000005</v>
      </c>
      <c r="BA301">
        <v>147.55000000000001</v>
      </c>
      <c r="BB301">
        <v>0.99609999999999999</v>
      </c>
      <c r="BC301">
        <v>0.89791183294663579</v>
      </c>
      <c r="BD301">
        <v>0.86569999999999991</v>
      </c>
      <c r="BE301">
        <v>0.77429999999999999</v>
      </c>
    </row>
    <row r="302" spans="1:57" x14ac:dyDescent="0.35">
      <c r="A302" t="s">
        <v>1184</v>
      </c>
      <c r="B302" t="s">
        <v>1185</v>
      </c>
      <c r="C302" t="s">
        <v>606</v>
      </c>
      <c r="D302" t="s">
        <v>549</v>
      </c>
      <c r="E302" t="s">
        <v>551</v>
      </c>
      <c r="F302" t="s">
        <v>290</v>
      </c>
      <c r="G302" t="s">
        <v>551</v>
      </c>
      <c r="H302">
        <v>1225</v>
      </c>
      <c r="I302">
        <v>-3.0392868655564759E-3</v>
      </c>
      <c r="J302">
        <v>1221</v>
      </c>
      <c r="K302">
        <v>3230</v>
      </c>
      <c r="L302">
        <v>648</v>
      </c>
      <c r="V302" t="s">
        <v>1186</v>
      </c>
      <c r="W302">
        <v>16296</v>
      </c>
      <c r="X302">
        <v>1.01701609222196</v>
      </c>
      <c r="Y302">
        <v>29</v>
      </c>
      <c r="Z302">
        <v>4665</v>
      </c>
      <c r="AA302">
        <v>1.2077689971905571E-2</v>
      </c>
      <c r="AB302">
        <v>0.88415855007307165</v>
      </c>
      <c r="AC302">
        <v>24.379242759306251</v>
      </c>
      <c r="AD302">
        <v>90</v>
      </c>
      <c r="AE302">
        <v>1166.46</v>
      </c>
      <c r="AF302">
        <v>1190.8399999999999</v>
      </c>
      <c r="AG302">
        <v>1205.4000000000001</v>
      </c>
      <c r="AH302">
        <v>880.79</v>
      </c>
      <c r="AL302">
        <v>1205.4000000000001</v>
      </c>
      <c r="AM302">
        <v>0.32909927798952482</v>
      </c>
      <c r="AN302">
        <v>1796.69</v>
      </c>
      <c r="AO302">
        <v>591.29</v>
      </c>
      <c r="AP302">
        <v>0.3291</v>
      </c>
      <c r="AQ302">
        <v>0.67090000000000005</v>
      </c>
      <c r="AR302">
        <v>22833</v>
      </c>
      <c r="AS302">
        <v>1903</v>
      </c>
      <c r="AT302">
        <v>0.20430000000000001</v>
      </c>
      <c r="AU302">
        <v>20251</v>
      </c>
      <c r="AV302">
        <v>20251</v>
      </c>
      <c r="AW302">
        <v>20499</v>
      </c>
      <c r="AX302">
        <v>20499</v>
      </c>
      <c r="AY302">
        <v>0</v>
      </c>
      <c r="BA302">
        <v>0</v>
      </c>
      <c r="BB302">
        <v>0</v>
      </c>
      <c r="BC302">
        <v>0</v>
      </c>
      <c r="BD302">
        <v>0</v>
      </c>
      <c r="BE302">
        <v>0</v>
      </c>
    </row>
    <row r="303" spans="1:57" x14ac:dyDescent="0.35">
      <c r="A303" t="s">
        <v>1187</v>
      </c>
      <c r="B303" t="s">
        <v>1188</v>
      </c>
      <c r="C303" t="s">
        <v>573</v>
      </c>
      <c r="D303" t="s">
        <v>556</v>
      </c>
      <c r="E303" t="s">
        <v>550</v>
      </c>
      <c r="F303" t="s">
        <v>290</v>
      </c>
      <c r="G303" t="s">
        <v>551</v>
      </c>
      <c r="H303">
        <v>1381</v>
      </c>
      <c r="I303">
        <v>1.048292007888239E-2</v>
      </c>
      <c r="J303">
        <v>1395</v>
      </c>
      <c r="K303">
        <v>949</v>
      </c>
      <c r="L303">
        <v>162</v>
      </c>
      <c r="V303" t="s">
        <v>1189</v>
      </c>
      <c r="W303">
        <v>15173</v>
      </c>
      <c r="X303">
        <v>1.0157368967662599</v>
      </c>
      <c r="Y303">
        <v>28</v>
      </c>
      <c r="Z303">
        <v>2138</v>
      </c>
      <c r="AA303">
        <v>3.6051469397092743E-2</v>
      </c>
      <c r="AB303">
        <v>0.89452048649606097</v>
      </c>
      <c r="AC303">
        <v>4.5311942641365652</v>
      </c>
      <c r="AD303">
        <v>15</v>
      </c>
      <c r="AE303">
        <v>1085.07</v>
      </c>
      <c r="AF303">
        <v>1089.5999999999999</v>
      </c>
      <c r="AG303">
        <v>1130.3499999999999</v>
      </c>
      <c r="AH303">
        <v>323.48</v>
      </c>
      <c r="AL303">
        <v>1130.3499999999999</v>
      </c>
      <c r="AM303">
        <v>0.21773567457909129</v>
      </c>
      <c r="AN303">
        <v>1444.97</v>
      </c>
      <c r="AO303">
        <v>314.62</v>
      </c>
      <c r="AP303">
        <v>0.2177</v>
      </c>
      <c r="AQ303">
        <v>0.7823</v>
      </c>
      <c r="AR303">
        <v>5066</v>
      </c>
      <c r="AS303">
        <v>422</v>
      </c>
      <c r="AT303">
        <v>0.2109</v>
      </c>
      <c r="AU303">
        <v>4279</v>
      </c>
      <c r="AV303">
        <v>4279</v>
      </c>
      <c r="AW303">
        <v>4439</v>
      </c>
      <c r="AX303">
        <v>4439</v>
      </c>
      <c r="AY303">
        <v>0</v>
      </c>
      <c r="BA303">
        <v>0</v>
      </c>
      <c r="BB303">
        <v>0</v>
      </c>
      <c r="BC303">
        <v>0</v>
      </c>
      <c r="BD303">
        <v>0</v>
      </c>
      <c r="BE303">
        <v>0</v>
      </c>
    </row>
    <row r="304" spans="1:57" x14ac:dyDescent="0.35">
      <c r="A304" t="s">
        <v>1190</v>
      </c>
      <c r="B304" t="s">
        <v>1191</v>
      </c>
      <c r="C304" t="s">
        <v>606</v>
      </c>
      <c r="D304" t="s">
        <v>549</v>
      </c>
      <c r="E304" t="s">
        <v>551</v>
      </c>
      <c r="F304" t="s">
        <v>290</v>
      </c>
      <c r="G304" t="s">
        <v>551</v>
      </c>
      <c r="H304">
        <v>2494</v>
      </c>
      <c r="I304">
        <v>0.1301637863207783</v>
      </c>
      <c r="J304">
        <v>2819</v>
      </c>
      <c r="K304">
        <v>3348</v>
      </c>
      <c r="L304">
        <v>946</v>
      </c>
      <c r="V304" t="s">
        <v>1192</v>
      </c>
      <c r="W304">
        <v>22675</v>
      </c>
      <c r="X304">
        <v>0.90071291833014566</v>
      </c>
      <c r="Y304">
        <v>4</v>
      </c>
      <c r="Z304">
        <v>1736</v>
      </c>
      <c r="AA304">
        <v>1.282393878634377E-2</v>
      </c>
      <c r="AB304">
        <v>0.85516417262963462</v>
      </c>
      <c r="AC304">
        <v>16.019979681537631</v>
      </c>
      <c r="AD304">
        <v>30</v>
      </c>
      <c r="AE304">
        <v>159.44</v>
      </c>
      <c r="AF304">
        <v>175.46</v>
      </c>
      <c r="AG304">
        <v>177.74</v>
      </c>
      <c r="AH304">
        <v>793.66</v>
      </c>
      <c r="AL304">
        <v>177.74</v>
      </c>
      <c r="AM304">
        <v>0.2005635451311337</v>
      </c>
      <c r="AN304">
        <v>222.33</v>
      </c>
      <c r="AO304">
        <v>44.59</v>
      </c>
      <c r="AP304">
        <v>0.2006</v>
      </c>
      <c r="AQ304">
        <v>0.7994</v>
      </c>
      <c r="AR304">
        <v>45573</v>
      </c>
      <c r="AS304">
        <v>3798</v>
      </c>
      <c r="AT304">
        <v>0.24579999999999999</v>
      </c>
      <c r="AU304">
        <v>43171</v>
      </c>
      <c r="AV304">
        <v>43171</v>
      </c>
      <c r="AW304">
        <v>43732</v>
      </c>
      <c r="AX304">
        <v>43732</v>
      </c>
      <c r="AY304">
        <v>0</v>
      </c>
      <c r="BA304">
        <v>0</v>
      </c>
      <c r="BB304">
        <v>0</v>
      </c>
      <c r="BC304">
        <v>0</v>
      </c>
      <c r="BD304">
        <v>0</v>
      </c>
      <c r="BE304">
        <v>0</v>
      </c>
    </row>
    <row r="305" spans="1:57" x14ac:dyDescent="0.35">
      <c r="A305" t="s">
        <v>1193</v>
      </c>
      <c r="B305" t="s">
        <v>1194</v>
      </c>
      <c r="C305" t="s">
        <v>548</v>
      </c>
      <c r="D305" t="s">
        <v>549</v>
      </c>
      <c r="E305" t="s">
        <v>550</v>
      </c>
      <c r="F305" t="s">
        <v>290</v>
      </c>
      <c r="G305" t="s">
        <v>551</v>
      </c>
      <c r="H305">
        <v>1060</v>
      </c>
      <c r="I305">
        <v>2.9396698815279159E-2</v>
      </c>
      <c r="J305">
        <v>1091</v>
      </c>
      <c r="K305">
        <v>2845</v>
      </c>
      <c r="L305">
        <v>399</v>
      </c>
      <c r="V305" t="s">
        <v>1195</v>
      </c>
      <c r="W305">
        <v>7747</v>
      </c>
      <c r="X305">
        <v>0.94654473731747668</v>
      </c>
      <c r="Y305">
        <v>17</v>
      </c>
      <c r="Z305">
        <v>3105</v>
      </c>
      <c r="AA305">
        <v>9.5876037220176697E-3</v>
      </c>
      <c r="AB305">
        <v>0.92199282137790561</v>
      </c>
      <c r="AC305">
        <v>15.62553508382698</v>
      </c>
      <c r="AD305">
        <v>45</v>
      </c>
      <c r="AE305">
        <v>941.56</v>
      </c>
      <c r="AF305">
        <v>957.19</v>
      </c>
      <c r="AG305">
        <v>966.45</v>
      </c>
      <c r="AH305">
        <v>2403.3200000000002</v>
      </c>
      <c r="AL305">
        <v>966.45</v>
      </c>
      <c r="AM305">
        <v>0.22845670205610391</v>
      </c>
      <c r="AN305">
        <v>1252.6199999999999</v>
      </c>
      <c r="AO305">
        <v>286.17</v>
      </c>
      <c r="AP305">
        <v>0.22850000000000001</v>
      </c>
      <c r="AQ305">
        <v>0.77149999999999996</v>
      </c>
      <c r="AR305">
        <v>17478</v>
      </c>
      <c r="AS305">
        <v>1456</v>
      </c>
      <c r="AT305">
        <v>0.17749999999999999</v>
      </c>
      <c r="AU305">
        <v>15032</v>
      </c>
      <c r="AV305">
        <v>15032</v>
      </c>
      <c r="AW305">
        <v>15178</v>
      </c>
      <c r="AX305">
        <v>15178</v>
      </c>
      <c r="AY305">
        <v>0</v>
      </c>
      <c r="BA305">
        <v>0</v>
      </c>
      <c r="BB305">
        <v>0</v>
      </c>
      <c r="BC305">
        <v>0</v>
      </c>
      <c r="BD305">
        <v>0</v>
      </c>
      <c r="BE305">
        <v>0</v>
      </c>
    </row>
    <row r="306" spans="1:57" x14ac:dyDescent="0.35">
      <c r="A306" t="s">
        <v>1196</v>
      </c>
      <c r="B306" t="s">
        <v>1197</v>
      </c>
      <c r="C306" t="s">
        <v>562</v>
      </c>
      <c r="D306" t="s">
        <v>556</v>
      </c>
      <c r="E306" t="s">
        <v>557</v>
      </c>
      <c r="F306" t="s">
        <v>290</v>
      </c>
      <c r="G306" t="s">
        <v>551</v>
      </c>
      <c r="H306">
        <v>1817</v>
      </c>
      <c r="I306">
        <v>6.6741999990902676E-2</v>
      </c>
      <c r="J306">
        <v>1938</v>
      </c>
      <c r="K306">
        <v>12975</v>
      </c>
      <c r="L306">
        <v>1612</v>
      </c>
      <c r="V306" t="s">
        <v>1198</v>
      </c>
      <c r="W306">
        <v>11420</v>
      </c>
      <c r="X306">
        <v>1.0469926038510871</v>
      </c>
      <c r="Y306">
        <v>28</v>
      </c>
      <c r="Z306">
        <v>4217</v>
      </c>
      <c r="AA306">
        <v>2.2685195983492609E-3</v>
      </c>
      <c r="AB306">
        <v>0.85322873950579814</v>
      </c>
      <c r="AC306">
        <v>14.06981718594295</v>
      </c>
      <c r="AD306">
        <v>30</v>
      </c>
      <c r="AE306">
        <v>613.25</v>
      </c>
      <c r="AF306">
        <v>627.32000000000005</v>
      </c>
      <c r="AG306">
        <v>628.74</v>
      </c>
      <c r="AH306">
        <v>581.37</v>
      </c>
      <c r="AL306">
        <v>628.74</v>
      </c>
      <c r="AM306">
        <v>0.21037515699820841</v>
      </c>
      <c r="AN306">
        <v>796.25</v>
      </c>
      <c r="AO306">
        <v>167.51</v>
      </c>
      <c r="AP306">
        <v>0.2104</v>
      </c>
      <c r="AQ306">
        <v>0.78959999999999997</v>
      </c>
      <c r="AR306">
        <v>95942</v>
      </c>
      <c r="AS306">
        <v>7995</v>
      </c>
      <c r="AT306">
        <v>0.1381</v>
      </c>
      <c r="AU306">
        <v>84579</v>
      </c>
      <c r="AV306">
        <v>84579</v>
      </c>
      <c r="AW306">
        <v>84771</v>
      </c>
      <c r="AX306">
        <v>84771</v>
      </c>
      <c r="AY306">
        <v>0</v>
      </c>
      <c r="BA306">
        <v>0</v>
      </c>
      <c r="BB306">
        <v>0</v>
      </c>
      <c r="BC306">
        <v>0</v>
      </c>
      <c r="BD306">
        <v>0</v>
      </c>
      <c r="BE306">
        <v>0</v>
      </c>
    </row>
    <row r="307" spans="1:57" x14ac:dyDescent="0.35">
      <c r="A307" t="s">
        <v>1199</v>
      </c>
      <c r="B307" t="s">
        <v>1200</v>
      </c>
      <c r="C307" t="s">
        <v>573</v>
      </c>
      <c r="D307" t="s">
        <v>556</v>
      </c>
      <c r="E307" t="s">
        <v>550</v>
      </c>
      <c r="F307" t="s">
        <v>290</v>
      </c>
      <c r="G307" t="s">
        <v>558</v>
      </c>
      <c r="H307">
        <v>1136</v>
      </c>
      <c r="I307">
        <v>0.16067797554013871</v>
      </c>
      <c r="J307">
        <v>1319</v>
      </c>
      <c r="K307">
        <v>1833</v>
      </c>
      <c r="L307">
        <v>478</v>
      </c>
      <c r="V307" t="s">
        <v>1201</v>
      </c>
      <c r="W307">
        <v>11776</v>
      </c>
      <c r="X307">
        <v>1.127205906368997</v>
      </c>
      <c r="Y307">
        <v>11</v>
      </c>
      <c r="Z307">
        <v>1382</v>
      </c>
      <c r="AA307">
        <v>2.264180960185247E-3</v>
      </c>
      <c r="AB307">
        <v>0.92150462236085917</v>
      </c>
      <c r="AC307">
        <v>11.600453072421921</v>
      </c>
      <c r="AD307">
        <v>90</v>
      </c>
      <c r="AE307">
        <v>979.25</v>
      </c>
      <c r="AF307">
        <v>990.85</v>
      </c>
      <c r="AG307">
        <v>993.1</v>
      </c>
      <c r="AH307">
        <v>297.58</v>
      </c>
      <c r="AL307">
        <v>993.1</v>
      </c>
      <c r="AM307">
        <v>0.20372815925909901</v>
      </c>
      <c r="AN307">
        <v>1247.19</v>
      </c>
      <c r="AO307">
        <v>254.09</v>
      </c>
      <c r="AP307">
        <v>0.20369999999999999</v>
      </c>
      <c r="AQ307">
        <v>0.79630000000000001</v>
      </c>
      <c r="AR307">
        <v>20103</v>
      </c>
      <c r="AS307">
        <v>1675</v>
      </c>
      <c r="AT307">
        <v>0.19020000000000001</v>
      </c>
      <c r="AU307">
        <v>18748</v>
      </c>
      <c r="AV307">
        <v>18748</v>
      </c>
      <c r="AW307">
        <v>18791</v>
      </c>
      <c r="AX307">
        <v>18791</v>
      </c>
      <c r="AY307">
        <v>0</v>
      </c>
      <c r="BA307">
        <v>0</v>
      </c>
      <c r="BB307">
        <v>0</v>
      </c>
      <c r="BC307">
        <v>0</v>
      </c>
      <c r="BD307">
        <v>0</v>
      </c>
      <c r="BE307">
        <v>0</v>
      </c>
    </row>
    <row r="308" spans="1:57" x14ac:dyDescent="0.35">
      <c r="A308" t="s">
        <v>1202</v>
      </c>
      <c r="B308" t="s">
        <v>1203</v>
      </c>
      <c r="C308" t="s">
        <v>606</v>
      </c>
      <c r="D308" t="s">
        <v>549</v>
      </c>
      <c r="E308" t="s">
        <v>551</v>
      </c>
      <c r="F308" t="s">
        <v>290</v>
      </c>
      <c r="G308" t="s">
        <v>558</v>
      </c>
      <c r="H308">
        <v>1471</v>
      </c>
      <c r="I308">
        <v>0.118785015287417</v>
      </c>
      <c r="J308">
        <v>1646</v>
      </c>
      <c r="K308">
        <v>5988</v>
      </c>
      <c r="L308">
        <v>404</v>
      </c>
      <c r="V308" t="s">
        <v>1201</v>
      </c>
      <c r="W308">
        <v>11776</v>
      </c>
      <c r="X308">
        <v>1.127205906368997</v>
      </c>
      <c r="Y308">
        <v>11</v>
      </c>
      <c r="Z308">
        <v>1382</v>
      </c>
      <c r="AA308">
        <v>2.264180960185247E-3</v>
      </c>
      <c r="AB308">
        <v>0.92150462236085917</v>
      </c>
      <c r="AC308">
        <v>11.600453072421921</v>
      </c>
      <c r="AD308">
        <v>90</v>
      </c>
      <c r="AE308">
        <v>1753.97</v>
      </c>
      <c r="AF308">
        <v>1765.57</v>
      </c>
      <c r="AG308">
        <v>1769.58</v>
      </c>
      <c r="AH308">
        <v>1125.8800000000001</v>
      </c>
      <c r="AL308">
        <v>1769.58</v>
      </c>
      <c r="AM308">
        <v>0.25621271071702167</v>
      </c>
      <c r="AN308">
        <v>2379.15</v>
      </c>
      <c r="AO308">
        <v>609.57000000000005</v>
      </c>
      <c r="AP308">
        <v>0.25619999999999998</v>
      </c>
      <c r="AQ308">
        <v>0.74380000000000002</v>
      </c>
      <c r="AR308">
        <v>49420</v>
      </c>
      <c r="AS308">
        <v>4118</v>
      </c>
      <c r="AT308">
        <v>9.1600000000000001E-2</v>
      </c>
      <c r="AU308">
        <v>43836</v>
      </c>
      <c r="AV308">
        <v>43836</v>
      </c>
      <c r="AW308">
        <v>43935</v>
      </c>
      <c r="AX308">
        <v>43935</v>
      </c>
      <c r="AY308">
        <v>0</v>
      </c>
      <c r="BA308">
        <v>0</v>
      </c>
      <c r="BB308">
        <v>0</v>
      </c>
      <c r="BC308">
        <v>0</v>
      </c>
      <c r="BD308">
        <v>0</v>
      </c>
      <c r="BE308">
        <v>0</v>
      </c>
    </row>
    <row r="309" spans="1:57" x14ac:dyDescent="0.35">
      <c r="A309" t="s">
        <v>1204</v>
      </c>
      <c r="B309" t="s">
        <v>1205</v>
      </c>
      <c r="C309" t="s">
        <v>548</v>
      </c>
      <c r="D309" t="s">
        <v>556</v>
      </c>
      <c r="E309" t="s">
        <v>550</v>
      </c>
      <c r="F309" t="s">
        <v>290</v>
      </c>
      <c r="G309" t="s">
        <v>558</v>
      </c>
      <c r="H309">
        <v>674</v>
      </c>
      <c r="I309">
        <v>-8.261727813200323E-3</v>
      </c>
      <c r="J309">
        <v>668</v>
      </c>
      <c r="K309">
        <v>1829</v>
      </c>
      <c r="L309">
        <v>597</v>
      </c>
      <c r="V309" t="s">
        <v>1206</v>
      </c>
      <c r="W309">
        <v>15965</v>
      </c>
      <c r="X309">
        <v>1.1548850970305311</v>
      </c>
      <c r="Y309">
        <v>3</v>
      </c>
      <c r="Z309">
        <v>2790</v>
      </c>
      <c r="AA309">
        <v>3.0909831847442101E-2</v>
      </c>
      <c r="AB309">
        <v>0.92857880765972944</v>
      </c>
      <c r="AC309">
        <v>19.732245138954902</v>
      </c>
      <c r="AD309">
        <v>45</v>
      </c>
      <c r="AE309">
        <v>1274.93</v>
      </c>
      <c r="AF309">
        <v>1294.6600000000001</v>
      </c>
      <c r="AG309">
        <v>1335.96</v>
      </c>
      <c r="AH309">
        <v>500.04</v>
      </c>
      <c r="AL309">
        <v>1335.96</v>
      </c>
      <c r="AM309">
        <v>0.37695962847088349</v>
      </c>
      <c r="AN309">
        <v>2144.2600000000002</v>
      </c>
      <c r="AO309">
        <v>808.3</v>
      </c>
      <c r="AP309">
        <v>0.377</v>
      </c>
      <c r="AQ309">
        <v>0.623</v>
      </c>
      <c r="AR309">
        <v>18277</v>
      </c>
      <c r="AS309">
        <v>1523</v>
      </c>
      <c r="AT309">
        <v>0.2326</v>
      </c>
      <c r="AU309">
        <v>17045</v>
      </c>
      <c r="AV309">
        <v>17045</v>
      </c>
      <c r="AW309">
        <v>17589</v>
      </c>
      <c r="AX309">
        <v>17589</v>
      </c>
      <c r="AY309">
        <v>0</v>
      </c>
      <c r="BA309">
        <v>0</v>
      </c>
      <c r="BB309">
        <v>0</v>
      </c>
      <c r="BC309">
        <v>0</v>
      </c>
      <c r="BD309">
        <v>0</v>
      </c>
      <c r="BE309">
        <v>0</v>
      </c>
    </row>
    <row r="310" spans="1:57" x14ac:dyDescent="0.35">
      <c r="A310" t="s">
        <v>1207</v>
      </c>
      <c r="B310" t="s">
        <v>1208</v>
      </c>
      <c r="C310" t="s">
        <v>606</v>
      </c>
      <c r="D310" t="s">
        <v>549</v>
      </c>
      <c r="E310" t="s">
        <v>551</v>
      </c>
      <c r="F310" t="s">
        <v>290</v>
      </c>
      <c r="G310" t="s">
        <v>558</v>
      </c>
      <c r="H310">
        <v>193</v>
      </c>
      <c r="I310">
        <v>1.724200789884649E-2</v>
      </c>
      <c r="J310">
        <v>196</v>
      </c>
      <c r="K310">
        <v>6621</v>
      </c>
      <c r="L310">
        <v>608</v>
      </c>
      <c r="V310" t="s">
        <v>1209</v>
      </c>
      <c r="W310">
        <v>22340</v>
      </c>
      <c r="X310">
        <v>0.88970772378422391</v>
      </c>
      <c r="Y310">
        <v>3</v>
      </c>
      <c r="Z310">
        <v>4593</v>
      </c>
      <c r="AA310">
        <v>1.436518853005217E-2</v>
      </c>
      <c r="AB310">
        <v>0.95450879671652333</v>
      </c>
      <c r="AC310">
        <v>16.941556678085941</v>
      </c>
      <c r="AD310">
        <v>45</v>
      </c>
      <c r="AE310">
        <v>335.41</v>
      </c>
      <c r="AF310">
        <v>352.35</v>
      </c>
      <c r="AG310">
        <v>357.49</v>
      </c>
      <c r="AH310">
        <v>1360.41</v>
      </c>
      <c r="AL310">
        <v>357.49</v>
      </c>
      <c r="AM310">
        <v>0.27676491168467948</v>
      </c>
      <c r="AN310">
        <v>494.29</v>
      </c>
      <c r="AO310">
        <v>136.80000000000001</v>
      </c>
      <c r="AP310">
        <v>0.27679999999999999</v>
      </c>
      <c r="AQ310">
        <v>0.72319999999999995</v>
      </c>
      <c r="AR310">
        <v>48367</v>
      </c>
      <c r="AS310">
        <v>4031</v>
      </c>
      <c r="AT310">
        <v>0.1003</v>
      </c>
      <c r="AU310">
        <v>42354</v>
      </c>
      <c r="AV310">
        <v>42354</v>
      </c>
      <c r="AW310">
        <v>42971</v>
      </c>
      <c r="AX310">
        <v>42971</v>
      </c>
      <c r="AY310">
        <v>0</v>
      </c>
      <c r="BA310">
        <v>0</v>
      </c>
      <c r="BB310">
        <v>0</v>
      </c>
      <c r="BC310">
        <v>0</v>
      </c>
      <c r="BD310">
        <v>0</v>
      </c>
      <c r="BE310">
        <v>0</v>
      </c>
    </row>
    <row r="311" spans="1:57" x14ac:dyDescent="0.35">
      <c r="A311" t="s">
        <v>1210</v>
      </c>
      <c r="B311" t="s">
        <v>1211</v>
      </c>
      <c r="C311" t="s">
        <v>562</v>
      </c>
      <c r="D311" t="s">
        <v>549</v>
      </c>
      <c r="E311" t="s">
        <v>557</v>
      </c>
      <c r="F311" t="s">
        <v>290</v>
      </c>
      <c r="G311" t="s">
        <v>551</v>
      </c>
      <c r="H311">
        <v>1052</v>
      </c>
      <c r="I311">
        <v>6.8991932752913973E-2</v>
      </c>
      <c r="J311">
        <v>1125</v>
      </c>
      <c r="K311">
        <v>7663</v>
      </c>
      <c r="L311">
        <v>834</v>
      </c>
      <c r="V311" t="s">
        <v>1212</v>
      </c>
      <c r="W311">
        <v>10895</v>
      </c>
      <c r="X311">
        <v>1.052455450398905</v>
      </c>
      <c r="Y311">
        <v>4</v>
      </c>
      <c r="Z311">
        <v>4993</v>
      </c>
      <c r="AA311">
        <v>2.6513927757161469E-2</v>
      </c>
      <c r="AB311">
        <v>0.94364936835283397</v>
      </c>
      <c r="AC311">
        <v>21.87585399665377</v>
      </c>
      <c r="AD311">
        <v>60</v>
      </c>
      <c r="AE311">
        <v>173.63</v>
      </c>
      <c r="AF311">
        <v>195.5</v>
      </c>
      <c r="AG311">
        <v>200.83</v>
      </c>
      <c r="AH311">
        <v>734</v>
      </c>
      <c r="AL311">
        <v>200.83</v>
      </c>
      <c r="AM311">
        <v>0.19698009520383081</v>
      </c>
      <c r="AN311">
        <v>250.09</v>
      </c>
      <c r="AO311">
        <v>49.26</v>
      </c>
      <c r="AP311">
        <v>0.19700000000000001</v>
      </c>
      <c r="AQ311">
        <v>0.80300000000000005</v>
      </c>
      <c r="AR311">
        <v>41795</v>
      </c>
      <c r="AS311">
        <v>3483</v>
      </c>
      <c r="AT311">
        <v>0.13569999999999999</v>
      </c>
      <c r="AU311">
        <v>34966</v>
      </c>
      <c r="AV311">
        <v>34966</v>
      </c>
      <c r="AW311">
        <v>35918</v>
      </c>
      <c r="AX311">
        <v>35918</v>
      </c>
      <c r="AY311">
        <v>0</v>
      </c>
      <c r="BA311">
        <v>0</v>
      </c>
      <c r="BB311">
        <v>0</v>
      </c>
      <c r="BC311">
        <v>0</v>
      </c>
      <c r="BD311">
        <v>0</v>
      </c>
      <c r="BE311">
        <v>0</v>
      </c>
    </row>
    <row r="312" spans="1:57" x14ac:dyDescent="0.35">
      <c r="A312" t="s">
        <v>1213</v>
      </c>
      <c r="B312" t="s">
        <v>1214</v>
      </c>
      <c r="C312" t="s">
        <v>562</v>
      </c>
      <c r="D312" t="s">
        <v>549</v>
      </c>
      <c r="E312" t="s">
        <v>557</v>
      </c>
      <c r="F312" t="s">
        <v>290</v>
      </c>
      <c r="G312" t="s">
        <v>558</v>
      </c>
      <c r="H312">
        <v>1740</v>
      </c>
      <c r="I312">
        <v>0.15554497170410581</v>
      </c>
      <c r="J312">
        <v>2011</v>
      </c>
      <c r="K312">
        <v>13290</v>
      </c>
      <c r="L312">
        <v>2657</v>
      </c>
      <c r="V312" t="s">
        <v>1186</v>
      </c>
      <c r="W312">
        <v>16296</v>
      </c>
      <c r="X312">
        <v>1.01701609222196</v>
      </c>
      <c r="Y312">
        <v>29</v>
      </c>
      <c r="Z312">
        <v>4665</v>
      </c>
      <c r="AA312">
        <v>1.2077689971905571E-2</v>
      </c>
      <c r="AB312">
        <v>0.88415855007307165</v>
      </c>
      <c r="AC312">
        <v>24.379242759306251</v>
      </c>
      <c r="AD312">
        <v>90</v>
      </c>
      <c r="AE312">
        <v>909.3</v>
      </c>
      <c r="AF312">
        <v>933.68</v>
      </c>
      <c r="AG312">
        <v>945.09</v>
      </c>
      <c r="AH312">
        <v>1198.1099999999999</v>
      </c>
      <c r="AL312">
        <v>945.09</v>
      </c>
      <c r="AM312">
        <v>0.16924291734521851</v>
      </c>
      <c r="AN312">
        <v>1137.6199999999999</v>
      </c>
      <c r="AO312">
        <v>192.53</v>
      </c>
      <c r="AP312">
        <v>0.16919999999999999</v>
      </c>
      <c r="AQ312">
        <v>0.83079999999999998</v>
      </c>
      <c r="AR312">
        <v>98154</v>
      </c>
      <c r="AS312">
        <v>8180</v>
      </c>
      <c r="AT312">
        <v>0.21870000000000001</v>
      </c>
      <c r="AU312">
        <v>87521</v>
      </c>
      <c r="AV312">
        <v>87521</v>
      </c>
      <c r="AW312">
        <v>88591</v>
      </c>
      <c r="AX312">
        <v>88591</v>
      </c>
      <c r="AY312">
        <v>0</v>
      </c>
      <c r="BA312">
        <v>0</v>
      </c>
      <c r="BB312">
        <v>0</v>
      </c>
      <c r="BC312">
        <v>0</v>
      </c>
      <c r="BD312">
        <v>0</v>
      </c>
      <c r="BE312">
        <v>0</v>
      </c>
    </row>
    <row r="313" spans="1:57" x14ac:dyDescent="0.35">
      <c r="A313" t="s">
        <v>1215</v>
      </c>
      <c r="B313" t="s">
        <v>1216</v>
      </c>
      <c r="C313" t="s">
        <v>548</v>
      </c>
      <c r="D313" t="s">
        <v>549</v>
      </c>
      <c r="E313" t="s">
        <v>551</v>
      </c>
      <c r="F313" t="s">
        <v>290</v>
      </c>
      <c r="G313" t="s">
        <v>558</v>
      </c>
      <c r="H313">
        <v>1120</v>
      </c>
      <c r="I313">
        <v>0.13850575873209561</v>
      </c>
      <c r="J313">
        <v>1275</v>
      </c>
      <c r="K313">
        <v>3444</v>
      </c>
      <c r="L313">
        <v>414</v>
      </c>
      <c r="V313" t="s">
        <v>1217</v>
      </c>
      <c r="W313">
        <v>23141</v>
      </c>
      <c r="X313">
        <v>0.85573258176235034</v>
      </c>
      <c r="Y313">
        <v>9</v>
      </c>
      <c r="Z313">
        <v>1778</v>
      </c>
      <c r="AA313">
        <v>3.0710943264635849E-2</v>
      </c>
      <c r="AB313">
        <v>0.88203174316882715</v>
      </c>
      <c r="AC313">
        <v>3.7705379260622389</v>
      </c>
      <c r="AD313">
        <v>45</v>
      </c>
      <c r="AE313">
        <v>124.14</v>
      </c>
      <c r="AF313">
        <v>127.91</v>
      </c>
      <c r="AG313">
        <v>131.96</v>
      </c>
      <c r="AH313">
        <v>1641.12</v>
      </c>
      <c r="AL313">
        <v>131.96</v>
      </c>
      <c r="AM313">
        <v>0.32403903628448127</v>
      </c>
      <c r="AN313">
        <v>195.22</v>
      </c>
      <c r="AO313">
        <v>63.26</v>
      </c>
      <c r="AP313">
        <v>0.32400000000000001</v>
      </c>
      <c r="AQ313">
        <v>0.67600000000000005</v>
      </c>
      <c r="AR313">
        <v>23792</v>
      </c>
      <c r="AS313">
        <v>1983</v>
      </c>
      <c r="AT313">
        <v>0.18149999999999999</v>
      </c>
      <c r="AU313">
        <v>20762</v>
      </c>
      <c r="AV313">
        <v>20762</v>
      </c>
      <c r="AW313">
        <v>21420</v>
      </c>
      <c r="AX313">
        <v>21420</v>
      </c>
      <c r="AY313">
        <v>0</v>
      </c>
      <c r="BA313">
        <v>0</v>
      </c>
      <c r="BB313">
        <v>0</v>
      </c>
      <c r="BC313">
        <v>0</v>
      </c>
      <c r="BD313">
        <v>0</v>
      </c>
      <c r="BE313">
        <v>0</v>
      </c>
    </row>
    <row r="314" spans="1:57" x14ac:dyDescent="0.35">
      <c r="A314" t="s">
        <v>1218</v>
      </c>
      <c r="B314" t="s">
        <v>1219</v>
      </c>
      <c r="C314" t="s">
        <v>555</v>
      </c>
      <c r="D314" t="s">
        <v>549</v>
      </c>
      <c r="E314" t="s">
        <v>557</v>
      </c>
      <c r="F314" t="s">
        <v>290</v>
      </c>
      <c r="G314" t="s">
        <v>551</v>
      </c>
      <c r="H314">
        <v>248</v>
      </c>
      <c r="I314">
        <v>0.1205484701566526</v>
      </c>
      <c r="J314">
        <v>278</v>
      </c>
      <c r="K314">
        <v>7595</v>
      </c>
      <c r="L314">
        <v>1199</v>
      </c>
      <c r="V314" t="s">
        <v>1220</v>
      </c>
      <c r="W314">
        <v>16447</v>
      </c>
      <c r="X314">
        <v>0.89505501759695993</v>
      </c>
      <c r="Y314">
        <v>8</v>
      </c>
      <c r="Z314">
        <v>2427</v>
      </c>
      <c r="AA314">
        <v>1.9871424108949459E-2</v>
      </c>
      <c r="AB314">
        <v>0.98767923972527805</v>
      </c>
      <c r="AC314">
        <v>11.17296217622472</v>
      </c>
      <c r="AD314">
        <v>15</v>
      </c>
      <c r="AE314">
        <v>735.61</v>
      </c>
      <c r="AF314">
        <v>746.79</v>
      </c>
      <c r="AG314">
        <v>761.93</v>
      </c>
      <c r="AH314">
        <v>656.07</v>
      </c>
      <c r="AL314">
        <v>761.93</v>
      </c>
      <c r="AM314">
        <v>0.24569969110909701</v>
      </c>
      <c r="AN314">
        <v>1010.11</v>
      </c>
      <c r="AO314">
        <v>248.18</v>
      </c>
      <c r="AP314">
        <v>0.2457</v>
      </c>
      <c r="AQ314">
        <v>0.75429999999999997</v>
      </c>
      <c r="AR314">
        <v>59425</v>
      </c>
      <c r="AS314">
        <v>4952</v>
      </c>
      <c r="AT314">
        <v>0.1469</v>
      </c>
      <c r="AU314">
        <v>53029</v>
      </c>
      <c r="AV314">
        <v>53029</v>
      </c>
      <c r="AW314">
        <v>54104</v>
      </c>
      <c r="AX314">
        <v>54104</v>
      </c>
      <c r="AY314">
        <v>0</v>
      </c>
      <c r="BA314">
        <v>0</v>
      </c>
      <c r="BB314">
        <v>0</v>
      </c>
      <c r="BC314">
        <v>0</v>
      </c>
      <c r="BD314">
        <v>0</v>
      </c>
      <c r="BE314">
        <v>0</v>
      </c>
    </row>
    <row r="315" spans="1:57" x14ac:dyDescent="0.35">
      <c r="A315" t="s">
        <v>1221</v>
      </c>
      <c r="B315" t="s">
        <v>1222</v>
      </c>
      <c r="C315" t="s">
        <v>562</v>
      </c>
      <c r="D315" t="s">
        <v>556</v>
      </c>
      <c r="E315" t="s">
        <v>557</v>
      </c>
      <c r="F315" t="s">
        <v>290</v>
      </c>
      <c r="G315" t="s">
        <v>551</v>
      </c>
      <c r="H315">
        <v>153</v>
      </c>
      <c r="I315">
        <v>7.8965475678082028E-2</v>
      </c>
      <c r="J315">
        <v>165</v>
      </c>
      <c r="K315">
        <v>2040</v>
      </c>
      <c r="L315">
        <v>555</v>
      </c>
      <c r="V315" t="s">
        <v>1223</v>
      </c>
      <c r="W315">
        <v>27619</v>
      </c>
      <c r="X315">
        <v>0.97606099749584052</v>
      </c>
      <c r="Y315">
        <v>9</v>
      </c>
      <c r="Z315">
        <v>2656</v>
      </c>
      <c r="AA315">
        <v>3.3661406645974237E-2</v>
      </c>
      <c r="AB315">
        <v>0.87427105149108808</v>
      </c>
      <c r="AC315">
        <v>10.99439397418454</v>
      </c>
      <c r="AD315">
        <v>30</v>
      </c>
      <c r="AE315">
        <v>829.45</v>
      </c>
      <c r="AF315">
        <v>840.44</v>
      </c>
      <c r="AG315">
        <v>869.72</v>
      </c>
      <c r="AH315">
        <v>557.30999999999995</v>
      </c>
      <c r="AL315">
        <v>869.72</v>
      </c>
      <c r="AM315">
        <v>0.35545773664633978</v>
      </c>
      <c r="AN315">
        <v>1349.36</v>
      </c>
      <c r="AO315">
        <v>479.64</v>
      </c>
      <c r="AP315">
        <v>0.35549999999999998</v>
      </c>
      <c r="AQ315">
        <v>0.64449999999999996</v>
      </c>
      <c r="AR315">
        <v>35368</v>
      </c>
      <c r="AS315">
        <v>2947</v>
      </c>
      <c r="AT315">
        <v>0.1605</v>
      </c>
      <c r="AU315">
        <v>33883</v>
      </c>
      <c r="AV315">
        <v>33883</v>
      </c>
      <c r="AW315">
        <v>35063</v>
      </c>
      <c r="AX315">
        <v>35063</v>
      </c>
      <c r="AY315">
        <v>0</v>
      </c>
      <c r="BA315">
        <v>0</v>
      </c>
      <c r="BB315">
        <v>0</v>
      </c>
      <c r="BC315">
        <v>0</v>
      </c>
      <c r="BD315">
        <v>0</v>
      </c>
      <c r="BE315">
        <v>0</v>
      </c>
    </row>
    <row r="316" spans="1:57" x14ac:dyDescent="0.35">
      <c r="A316" t="s">
        <v>1224</v>
      </c>
      <c r="B316" t="s">
        <v>1225</v>
      </c>
      <c r="C316" t="s">
        <v>606</v>
      </c>
      <c r="D316" t="s">
        <v>556</v>
      </c>
      <c r="E316" t="s">
        <v>551</v>
      </c>
      <c r="F316" t="s">
        <v>290</v>
      </c>
      <c r="G316" t="s">
        <v>566</v>
      </c>
      <c r="H316">
        <v>1867</v>
      </c>
      <c r="I316">
        <v>0.18721148895778261</v>
      </c>
      <c r="J316">
        <v>2217</v>
      </c>
      <c r="K316">
        <v>4051</v>
      </c>
      <c r="L316">
        <v>1677</v>
      </c>
      <c r="V316" t="s">
        <v>1198</v>
      </c>
      <c r="W316">
        <v>11420</v>
      </c>
      <c r="X316">
        <v>1.0469926038510871</v>
      </c>
      <c r="Y316">
        <v>28</v>
      </c>
      <c r="Z316">
        <v>4217</v>
      </c>
      <c r="AA316">
        <v>2.2685195983492609E-3</v>
      </c>
      <c r="AB316">
        <v>0.85322873950579814</v>
      </c>
      <c r="AC316">
        <v>14.06981718594295</v>
      </c>
      <c r="AD316">
        <v>30</v>
      </c>
      <c r="AE316">
        <v>758.58</v>
      </c>
      <c r="AF316">
        <v>772.65</v>
      </c>
      <c r="AG316">
        <v>774.41</v>
      </c>
      <c r="AH316">
        <v>218.99</v>
      </c>
      <c r="AL316">
        <v>774.41</v>
      </c>
      <c r="AM316">
        <v>0.31487769216019262</v>
      </c>
      <c r="AN316">
        <v>1130.32</v>
      </c>
      <c r="AO316">
        <v>355.91</v>
      </c>
      <c r="AP316">
        <v>0.31490000000000001</v>
      </c>
      <c r="AQ316">
        <v>0.68510000000000004</v>
      </c>
      <c r="AR316">
        <v>47696</v>
      </c>
      <c r="AS316">
        <v>3975</v>
      </c>
      <c r="AT316">
        <v>0.2253</v>
      </c>
      <c r="AU316">
        <v>45322</v>
      </c>
      <c r="AV316">
        <v>45322</v>
      </c>
      <c r="AW316">
        <v>45425</v>
      </c>
      <c r="AX316">
        <v>45425</v>
      </c>
      <c r="AY316">
        <v>0</v>
      </c>
      <c r="BA316">
        <v>0</v>
      </c>
      <c r="BB316">
        <v>0</v>
      </c>
      <c r="BC316">
        <v>0</v>
      </c>
      <c r="BD316">
        <v>0</v>
      </c>
      <c r="BE316">
        <v>0</v>
      </c>
    </row>
    <row r="317" spans="1:57" x14ac:dyDescent="0.35">
      <c r="A317" t="s">
        <v>1226</v>
      </c>
      <c r="B317" t="s">
        <v>1227</v>
      </c>
      <c r="C317" t="s">
        <v>606</v>
      </c>
      <c r="D317" t="s">
        <v>556</v>
      </c>
      <c r="E317" t="s">
        <v>550</v>
      </c>
      <c r="F317" t="s">
        <v>290</v>
      </c>
      <c r="G317" t="s">
        <v>566</v>
      </c>
      <c r="H317">
        <v>327</v>
      </c>
      <c r="I317">
        <v>-3.9585795404329403E-2</v>
      </c>
      <c r="J317">
        <v>314</v>
      </c>
      <c r="K317">
        <v>2221</v>
      </c>
      <c r="L317">
        <v>332</v>
      </c>
      <c r="V317" t="s">
        <v>1209</v>
      </c>
      <c r="W317">
        <v>22340</v>
      </c>
      <c r="X317">
        <v>0.88970772378422391</v>
      </c>
      <c r="Y317">
        <v>3</v>
      </c>
      <c r="Z317">
        <v>4593</v>
      </c>
      <c r="AA317">
        <v>1.436518853005217E-2</v>
      </c>
      <c r="AB317">
        <v>0.95450879671652333</v>
      </c>
      <c r="AC317">
        <v>16.941556678085941</v>
      </c>
      <c r="AD317">
        <v>45</v>
      </c>
      <c r="AE317">
        <v>618.27</v>
      </c>
      <c r="AF317">
        <v>635.21</v>
      </c>
      <c r="AG317">
        <v>644.47</v>
      </c>
      <c r="AH317">
        <v>1301.81</v>
      </c>
      <c r="AL317">
        <v>644.47</v>
      </c>
      <c r="AM317">
        <v>0.34906036263534213</v>
      </c>
      <c r="AN317">
        <v>990.06</v>
      </c>
      <c r="AO317">
        <v>345.59</v>
      </c>
      <c r="AP317">
        <v>0.34910000000000002</v>
      </c>
      <c r="AQ317">
        <v>0.65090000000000003</v>
      </c>
      <c r="AR317">
        <v>17940</v>
      </c>
      <c r="AS317">
        <v>1495</v>
      </c>
      <c r="AT317">
        <v>0.13780000000000001</v>
      </c>
      <c r="AU317">
        <v>16051</v>
      </c>
      <c r="AV317">
        <v>16051</v>
      </c>
      <c r="AW317">
        <v>16285</v>
      </c>
      <c r="AX317">
        <v>16285</v>
      </c>
      <c r="AY317">
        <v>0</v>
      </c>
      <c r="BA317">
        <v>0</v>
      </c>
      <c r="BB317">
        <v>0</v>
      </c>
      <c r="BC317">
        <v>0</v>
      </c>
      <c r="BD317">
        <v>0</v>
      </c>
      <c r="BE317">
        <v>0</v>
      </c>
    </row>
    <row r="318" spans="1:57" x14ac:dyDescent="0.35">
      <c r="A318" t="s">
        <v>1228</v>
      </c>
      <c r="B318" t="s">
        <v>1229</v>
      </c>
      <c r="C318" t="s">
        <v>606</v>
      </c>
      <c r="D318" t="s">
        <v>556</v>
      </c>
      <c r="E318" t="s">
        <v>557</v>
      </c>
      <c r="F318" t="s">
        <v>290</v>
      </c>
      <c r="G318" t="s">
        <v>566</v>
      </c>
      <c r="H318">
        <v>2995</v>
      </c>
      <c r="I318">
        <v>-1.8612446309336662E-2</v>
      </c>
      <c r="J318">
        <v>2939</v>
      </c>
      <c r="K318">
        <v>8717</v>
      </c>
      <c r="L318">
        <v>1983</v>
      </c>
      <c r="V318" t="s">
        <v>1230</v>
      </c>
      <c r="W318">
        <v>13529</v>
      </c>
      <c r="X318">
        <v>1.0158768529556319</v>
      </c>
      <c r="Y318">
        <v>26</v>
      </c>
      <c r="Z318">
        <v>4093</v>
      </c>
      <c r="AA318">
        <v>3.8679701676037237E-2</v>
      </c>
      <c r="AB318">
        <v>0.93498479467613582</v>
      </c>
      <c r="AC318">
        <v>8.3479811865184974</v>
      </c>
      <c r="AD318">
        <v>90</v>
      </c>
      <c r="AE318">
        <v>609.89</v>
      </c>
      <c r="AF318">
        <v>618.24</v>
      </c>
      <c r="AG318">
        <v>643.12</v>
      </c>
      <c r="AH318">
        <v>469.46</v>
      </c>
      <c r="AL318">
        <v>643.12</v>
      </c>
      <c r="AM318">
        <v>0.21798650985461221</v>
      </c>
      <c r="AN318">
        <v>822.39</v>
      </c>
      <c r="AO318">
        <v>179.27</v>
      </c>
      <c r="AP318">
        <v>0.218</v>
      </c>
      <c r="AQ318">
        <v>0.78200000000000003</v>
      </c>
      <c r="AR318">
        <v>90294</v>
      </c>
      <c r="AS318">
        <v>7524</v>
      </c>
      <c r="AT318">
        <v>0.2278</v>
      </c>
      <c r="AU318">
        <v>83560</v>
      </c>
      <c r="AV318">
        <v>83560</v>
      </c>
      <c r="AW318">
        <v>86922</v>
      </c>
      <c r="AX318">
        <v>86922</v>
      </c>
      <c r="AY318">
        <v>0</v>
      </c>
      <c r="BA318">
        <v>0</v>
      </c>
      <c r="BB318">
        <v>0</v>
      </c>
      <c r="BC318">
        <v>0</v>
      </c>
      <c r="BD318">
        <v>0</v>
      </c>
      <c r="BE318">
        <v>0</v>
      </c>
    </row>
    <row r="319" spans="1:57" x14ac:dyDescent="0.35">
      <c r="A319" t="s">
        <v>1231</v>
      </c>
      <c r="B319" t="s">
        <v>1232</v>
      </c>
      <c r="C319" t="s">
        <v>606</v>
      </c>
      <c r="D319" t="s">
        <v>549</v>
      </c>
      <c r="E319" t="s">
        <v>557</v>
      </c>
      <c r="F319" t="s">
        <v>290</v>
      </c>
      <c r="G319" t="s">
        <v>566</v>
      </c>
      <c r="H319">
        <v>2524</v>
      </c>
      <c r="I319">
        <v>3.545092637304563E-2</v>
      </c>
      <c r="J319">
        <v>2613</v>
      </c>
      <c r="K319">
        <v>3455</v>
      </c>
      <c r="L319">
        <v>695</v>
      </c>
      <c r="V319" t="s">
        <v>1233</v>
      </c>
      <c r="W319">
        <v>13838</v>
      </c>
      <c r="X319">
        <v>0.86820964947491663</v>
      </c>
      <c r="Y319">
        <v>9</v>
      </c>
      <c r="Z319">
        <v>2535</v>
      </c>
      <c r="AA319">
        <v>3.7803666716024413E-2</v>
      </c>
      <c r="AB319">
        <v>0.92886035049837545</v>
      </c>
      <c r="AC319">
        <v>10.86457955841807</v>
      </c>
      <c r="AD319">
        <v>30</v>
      </c>
      <c r="AE319">
        <v>572.39</v>
      </c>
      <c r="AF319">
        <v>583.25</v>
      </c>
      <c r="AG319">
        <v>606.16999999999996</v>
      </c>
      <c r="AH319">
        <v>897.56</v>
      </c>
      <c r="AL319">
        <v>606.16999999999996</v>
      </c>
      <c r="AM319">
        <v>0.32308973061526453</v>
      </c>
      <c r="AN319">
        <v>895.5</v>
      </c>
      <c r="AO319">
        <v>289.33</v>
      </c>
      <c r="AP319">
        <v>0.3231</v>
      </c>
      <c r="AQ319">
        <v>0.67689999999999995</v>
      </c>
      <c r="AR319">
        <v>44719</v>
      </c>
      <c r="AS319">
        <v>3727</v>
      </c>
      <c r="AT319">
        <v>9.5000000000000001E-2</v>
      </c>
      <c r="AU319">
        <v>41959</v>
      </c>
      <c r="AV319">
        <v>41959</v>
      </c>
      <c r="AW319">
        <v>43608</v>
      </c>
      <c r="AX319">
        <v>43608</v>
      </c>
      <c r="AY319">
        <v>0</v>
      </c>
      <c r="BA319">
        <v>0</v>
      </c>
      <c r="BB319">
        <v>0</v>
      </c>
      <c r="BC319">
        <v>0</v>
      </c>
      <c r="BD319">
        <v>0</v>
      </c>
      <c r="BE319">
        <v>0</v>
      </c>
    </row>
    <row r="320" spans="1:57" x14ac:dyDescent="0.35">
      <c r="A320" t="s">
        <v>1234</v>
      </c>
      <c r="B320" t="s">
        <v>1235</v>
      </c>
      <c r="C320" t="s">
        <v>555</v>
      </c>
      <c r="D320" t="s">
        <v>549</v>
      </c>
      <c r="E320" t="s">
        <v>551</v>
      </c>
      <c r="F320" t="s">
        <v>290</v>
      </c>
      <c r="G320" t="s">
        <v>551</v>
      </c>
      <c r="H320">
        <v>1472</v>
      </c>
      <c r="I320">
        <v>0.19354861095408929</v>
      </c>
      <c r="J320">
        <v>1757</v>
      </c>
      <c r="K320">
        <v>3051</v>
      </c>
      <c r="L320">
        <v>652</v>
      </c>
      <c r="V320" t="s">
        <v>1236</v>
      </c>
      <c r="W320">
        <v>19257</v>
      </c>
      <c r="X320">
        <v>1.1698774473114251</v>
      </c>
      <c r="Y320">
        <v>12</v>
      </c>
      <c r="Z320">
        <v>362</v>
      </c>
      <c r="AA320">
        <v>2.70793937492988E-2</v>
      </c>
      <c r="AB320">
        <v>0.96441110802817021</v>
      </c>
      <c r="AC320">
        <v>14.769618666787631</v>
      </c>
      <c r="AD320">
        <v>60</v>
      </c>
      <c r="AE320">
        <v>1202.1099999999999</v>
      </c>
      <c r="AF320">
        <v>1216.8800000000001</v>
      </c>
      <c r="AG320">
        <v>1250.74</v>
      </c>
      <c r="AH320">
        <v>1210.5</v>
      </c>
      <c r="AL320">
        <v>1250.74</v>
      </c>
      <c r="AM320">
        <v>0.21601549617342969</v>
      </c>
      <c r="AN320">
        <v>1595.36</v>
      </c>
      <c r="AO320">
        <v>344.62</v>
      </c>
      <c r="AP320">
        <v>0.216</v>
      </c>
      <c r="AQ320">
        <v>0.78400000000000003</v>
      </c>
      <c r="AR320">
        <v>24290</v>
      </c>
      <c r="AS320">
        <v>2024</v>
      </c>
      <c r="AT320">
        <v>0.21210000000000001</v>
      </c>
      <c r="AU320">
        <v>21891</v>
      </c>
      <c r="AV320">
        <v>21891</v>
      </c>
      <c r="AW320">
        <v>22500</v>
      </c>
      <c r="AX320">
        <v>22500</v>
      </c>
      <c r="AY320">
        <v>0</v>
      </c>
      <c r="BA320">
        <v>0</v>
      </c>
      <c r="BB320">
        <v>0</v>
      </c>
      <c r="BC320">
        <v>0</v>
      </c>
      <c r="BD320">
        <v>0</v>
      </c>
      <c r="BE320">
        <v>0</v>
      </c>
    </row>
    <row r="321" spans="1:57" x14ac:dyDescent="0.35">
      <c r="A321" t="s">
        <v>1237</v>
      </c>
      <c r="B321" t="s">
        <v>1238</v>
      </c>
      <c r="C321" t="s">
        <v>548</v>
      </c>
      <c r="D321" t="s">
        <v>549</v>
      </c>
      <c r="E321" t="s">
        <v>551</v>
      </c>
      <c r="F321" t="s">
        <v>290</v>
      </c>
      <c r="G321" t="s">
        <v>551</v>
      </c>
      <c r="H321">
        <v>713</v>
      </c>
      <c r="I321">
        <v>-1.1918053584330301E-2</v>
      </c>
      <c r="J321">
        <v>705</v>
      </c>
      <c r="K321">
        <v>5252</v>
      </c>
      <c r="L321">
        <v>1069</v>
      </c>
      <c r="V321" t="s">
        <v>1186</v>
      </c>
      <c r="W321">
        <v>16296</v>
      </c>
      <c r="X321">
        <v>1.01701609222196</v>
      </c>
      <c r="Y321">
        <v>29</v>
      </c>
      <c r="Z321">
        <v>4665</v>
      </c>
      <c r="AA321">
        <v>1.2077689971905571E-2</v>
      </c>
      <c r="AB321">
        <v>0.88415855007307165</v>
      </c>
      <c r="AC321">
        <v>24.379242759306251</v>
      </c>
      <c r="AD321">
        <v>90</v>
      </c>
      <c r="AE321">
        <v>1729.43</v>
      </c>
      <c r="AF321">
        <v>1753.81</v>
      </c>
      <c r="AG321">
        <v>1775.25</v>
      </c>
      <c r="AH321">
        <v>1372.98</v>
      </c>
      <c r="AL321">
        <v>1775.25</v>
      </c>
      <c r="AM321">
        <v>0.38476711986257289</v>
      </c>
      <c r="AN321">
        <v>2885.49</v>
      </c>
      <c r="AO321">
        <v>1110.24</v>
      </c>
      <c r="AP321">
        <v>0.38479999999999998</v>
      </c>
      <c r="AQ321">
        <v>0.61519999999999997</v>
      </c>
      <c r="AR321">
        <v>53367</v>
      </c>
      <c r="AS321">
        <v>4447</v>
      </c>
      <c r="AT321">
        <v>0.22409999999999999</v>
      </c>
      <c r="AU321">
        <v>49184</v>
      </c>
      <c r="AV321">
        <v>49184</v>
      </c>
      <c r="AW321">
        <v>49785</v>
      </c>
      <c r="AX321">
        <v>49785</v>
      </c>
      <c r="AY321">
        <v>0</v>
      </c>
      <c r="BA321">
        <v>0</v>
      </c>
      <c r="BB321">
        <v>0</v>
      </c>
      <c r="BC321">
        <v>0</v>
      </c>
      <c r="BD321">
        <v>0</v>
      </c>
      <c r="BE321">
        <v>0</v>
      </c>
    </row>
    <row r="322" spans="1:57" x14ac:dyDescent="0.35">
      <c r="A322" t="s">
        <v>1239</v>
      </c>
      <c r="B322" t="s">
        <v>1240</v>
      </c>
      <c r="C322" t="s">
        <v>606</v>
      </c>
      <c r="D322" t="s">
        <v>549</v>
      </c>
      <c r="E322" t="s">
        <v>551</v>
      </c>
      <c r="F322" t="s">
        <v>290</v>
      </c>
      <c r="G322" t="s">
        <v>551</v>
      </c>
      <c r="H322">
        <v>2963</v>
      </c>
      <c r="I322">
        <v>-3.5538887638209851E-2</v>
      </c>
      <c r="J322">
        <v>2858</v>
      </c>
      <c r="K322">
        <v>2603</v>
      </c>
      <c r="L322">
        <v>441</v>
      </c>
      <c r="V322" t="s">
        <v>1201</v>
      </c>
      <c r="W322">
        <v>11776</v>
      </c>
      <c r="X322">
        <v>1.127205906368997</v>
      </c>
      <c r="Y322">
        <v>11</v>
      </c>
      <c r="Z322">
        <v>1382</v>
      </c>
      <c r="AA322">
        <v>2.264180960185247E-3</v>
      </c>
      <c r="AB322">
        <v>0.92150462236085917</v>
      </c>
      <c r="AC322">
        <v>11.600453072421921</v>
      </c>
      <c r="AD322">
        <v>90</v>
      </c>
      <c r="AE322">
        <v>852.59</v>
      </c>
      <c r="AF322">
        <v>864.19</v>
      </c>
      <c r="AG322">
        <v>866.15</v>
      </c>
      <c r="AH322">
        <v>410.51</v>
      </c>
      <c r="AL322">
        <v>866.15</v>
      </c>
      <c r="AM322">
        <v>0.30909357038334362</v>
      </c>
      <c r="AN322">
        <v>1253.6400000000001</v>
      </c>
      <c r="AO322">
        <v>387.49</v>
      </c>
      <c r="AP322">
        <v>0.30909999999999999</v>
      </c>
      <c r="AQ322">
        <v>0.69089999999999996</v>
      </c>
      <c r="AR322">
        <v>29342</v>
      </c>
      <c r="AS322">
        <v>2445</v>
      </c>
      <c r="AT322">
        <v>0.1109</v>
      </c>
      <c r="AU322">
        <v>27180</v>
      </c>
      <c r="AV322">
        <v>27180</v>
      </c>
      <c r="AW322">
        <v>27242</v>
      </c>
      <c r="AX322">
        <v>27242</v>
      </c>
      <c r="AY322">
        <v>0</v>
      </c>
      <c r="BA322">
        <v>0</v>
      </c>
      <c r="BB322">
        <v>0</v>
      </c>
      <c r="BC322">
        <v>0</v>
      </c>
      <c r="BD322">
        <v>0</v>
      </c>
      <c r="BE322">
        <v>0</v>
      </c>
    </row>
    <row r="323" spans="1:57" x14ac:dyDescent="0.35">
      <c r="A323" t="s">
        <v>1241</v>
      </c>
      <c r="B323" t="s">
        <v>1242</v>
      </c>
      <c r="C323" t="s">
        <v>573</v>
      </c>
      <c r="D323" t="s">
        <v>549</v>
      </c>
      <c r="E323" t="s">
        <v>550</v>
      </c>
      <c r="F323" t="s">
        <v>290</v>
      </c>
      <c r="G323" t="s">
        <v>551</v>
      </c>
      <c r="H323">
        <v>127</v>
      </c>
      <c r="I323">
        <v>0.14423200258180641</v>
      </c>
      <c r="J323">
        <v>145</v>
      </c>
      <c r="K323">
        <v>622</v>
      </c>
      <c r="L323">
        <v>83</v>
      </c>
      <c r="V323" t="s">
        <v>1217</v>
      </c>
      <c r="W323">
        <v>23141</v>
      </c>
      <c r="X323">
        <v>0.85573258176235034</v>
      </c>
      <c r="Y323">
        <v>9</v>
      </c>
      <c r="Z323">
        <v>1778</v>
      </c>
      <c r="AA323">
        <v>3.0710943264635849E-2</v>
      </c>
      <c r="AB323">
        <v>0.88203174316882715</v>
      </c>
      <c r="AC323">
        <v>3.7705379260622389</v>
      </c>
      <c r="AD323">
        <v>45</v>
      </c>
      <c r="AE323">
        <v>2003.21</v>
      </c>
      <c r="AF323">
        <v>2006.98</v>
      </c>
      <c r="AG323">
        <v>2070.5700000000002</v>
      </c>
      <c r="AH323">
        <v>1816.18</v>
      </c>
      <c r="AL323">
        <v>2070.5700000000002</v>
      </c>
      <c r="AM323">
        <v>0.23112795004383549</v>
      </c>
      <c r="AN323">
        <v>2693</v>
      </c>
      <c r="AO323">
        <v>622.42999999999995</v>
      </c>
      <c r="AP323">
        <v>0.2311</v>
      </c>
      <c r="AQ323">
        <v>0.76890000000000003</v>
      </c>
      <c r="AR323">
        <v>5198</v>
      </c>
      <c r="AS323">
        <v>433</v>
      </c>
      <c r="AT323">
        <v>0.1532</v>
      </c>
      <c r="AU323">
        <v>4659</v>
      </c>
      <c r="AV323">
        <v>4659</v>
      </c>
      <c r="AW323">
        <v>4807</v>
      </c>
      <c r="AX323">
        <v>4807</v>
      </c>
      <c r="AY323">
        <v>0</v>
      </c>
      <c r="BA323">
        <v>0</v>
      </c>
      <c r="BB323">
        <v>0</v>
      </c>
      <c r="BC323">
        <v>0</v>
      </c>
      <c r="BD323">
        <v>0</v>
      </c>
      <c r="BE323">
        <v>0</v>
      </c>
    </row>
    <row r="324" spans="1:57" x14ac:dyDescent="0.35">
      <c r="A324" t="s">
        <v>1243</v>
      </c>
      <c r="B324" t="s">
        <v>1244</v>
      </c>
      <c r="C324" t="s">
        <v>606</v>
      </c>
      <c r="D324" t="s">
        <v>549</v>
      </c>
      <c r="E324" t="s">
        <v>550</v>
      </c>
      <c r="F324" t="s">
        <v>290</v>
      </c>
      <c r="G324" t="s">
        <v>558</v>
      </c>
      <c r="H324">
        <v>838</v>
      </c>
      <c r="I324">
        <v>-1.3259322602947579E-2</v>
      </c>
      <c r="J324">
        <v>827</v>
      </c>
      <c r="K324">
        <v>1537</v>
      </c>
      <c r="L324">
        <v>357</v>
      </c>
      <c r="V324" t="s">
        <v>1220</v>
      </c>
      <c r="W324">
        <v>16447</v>
      </c>
      <c r="X324">
        <v>0.89505501759695993</v>
      </c>
      <c r="Y324">
        <v>8</v>
      </c>
      <c r="Z324">
        <v>2427</v>
      </c>
      <c r="AA324">
        <v>1.9871424108949459E-2</v>
      </c>
      <c r="AB324">
        <v>0.98767923972527805</v>
      </c>
      <c r="AC324">
        <v>11.17296217622472</v>
      </c>
      <c r="AD324">
        <v>15</v>
      </c>
      <c r="AE324">
        <v>1980.56</v>
      </c>
      <c r="AF324">
        <v>1991.73</v>
      </c>
      <c r="AG324">
        <v>2032.11</v>
      </c>
      <c r="AH324">
        <v>2233.5100000000002</v>
      </c>
      <c r="AL324">
        <v>2032.11</v>
      </c>
      <c r="AM324">
        <v>0.21737796557306821</v>
      </c>
      <c r="AN324">
        <v>2596.54</v>
      </c>
      <c r="AO324">
        <v>564.42999999999995</v>
      </c>
      <c r="AP324">
        <v>0.21740000000000001</v>
      </c>
      <c r="AQ324">
        <v>0.78259999999999996</v>
      </c>
      <c r="AR324">
        <v>21955</v>
      </c>
      <c r="AS324">
        <v>1830</v>
      </c>
      <c r="AT324">
        <v>0.1081</v>
      </c>
      <c r="AU324">
        <v>20775</v>
      </c>
      <c r="AV324">
        <v>20775</v>
      </c>
      <c r="AW324">
        <v>21196</v>
      </c>
      <c r="AX324">
        <v>21196</v>
      </c>
      <c r="AY324">
        <v>0</v>
      </c>
      <c r="BA324">
        <v>0</v>
      </c>
      <c r="BB324">
        <v>0</v>
      </c>
      <c r="BC324">
        <v>0</v>
      </c>
      <c r="BD324">
        <v>0</v>
      </c>
      <c r="BE324">
        <v>0</v>
      </c>
    </row>
    <row r="325" spans="1:57" x14ac:dyDescent="0.35">
      <c r="A325" t="s">
        <v>1245</v>
      </c>
      <c r="B325" t="s">
        <v>1246</v>
      </c>
      <c r="C325" t="s">
        <v>562</v>
      </c>
      <c r="D325" t="s">
        <v>556</v>
      </c>
      <c r="E325" t="s">
        <v>551</v>
      </c>
      <c r="F325" t="s">
        <v>290</v>
      </c>
      <c r="G325" t="s">
        <v>566</v>
      </c>
      <c r="H325">
        <v>1063</v>
      </c>
      <c r="I325">
        <v>3.4335035254255873E-2</v>
      </c>
      <c r="J325">
        <v>1099</v>
      </c>
      <c r="K325">
        <v>4873</v>
      </c>
      <c r="L325">
        <v>781</v>
      </c>
      <c r="V325" t="s">
        <v>1198</v>
      </c>
      <c r="W325">
        <v>11420</v>
      </c>
      <c r="X325">
        <v>1.0469926038510871</v>
      </c>
      <c r="Y325">
        <v>28</v>
      </c>
      <c r="Z325">
        <v>4217</v>
      </c>
      <c r="AA325">
        <v>2.2685195983492609E-3</v>
      </c>
      <c r="AB325">
        <v>0.85322873950579814</v>
      </c>
      <c r="AC325">
        <v>14.06981718594295</v>
      </c>
      <c r="AD325">
        <v>30</v>
      </c>
      <c r="AE325">
        <v>313.35000000000002</v>
      </c>
      <c r="AF325">
        <v>327.42</v>
      </c>
      <c r="AG325">
        <v>328.16</v>
      </c>
      <c r="AH325">
        <v>1054.8699999999999</v>
      </c>
      <c r="AL325">
        <v>328.16</v>
      </c>
      <c r="AM325">
        <v>0.1977316462679109</v>
      </c>
      <c r="AN325">
        <v>409.04</v>
      </c>
      <c r="AO325">
        <v>80.88</v>
      </c>
      <c r="AP325">
        <v>0.19769999999999999</v>
      </c>
      <c r="AQ325">
        <v>0.80230000000000001</v>
      </c>
      <c r="AR325">
        <v>25762</v>
      </c>
      <c r="AS325">
        <v>2147</v>
      </c>
      <c r="AT325">
        <v>0.2001</v>
      </c>
      <c r="AU325">
        <v>21670</v>
      </c>
      <c r="AV325">
        <v>21670</v>
      </c>
      <c r="AW325">
        <v>21719</v>
      </c>
      <c r="AX325">
        <v>21719</v>
      </c>
      <c r="AY325">
        <v>0</v>
      </c>
      <c r="BA325">
        <v>0</v>
      </c>
      <c r="BB325">
        <v>0</v>
      </c>
      <c r="BC325">
        <v>0</v>
      </c>
      <c r="BD325">
        <v>0</v>
      </c>
      <c r="BE325">
        <v>0</v>
      </c>
    </row>
    <row r="326" spans="1:57" x14ac:dyDescent="0.35">
      <c r="A326" t="s">
        <v>1247</v>
      </c>
      <c r="B326" t="s">
        <v>1248</v>
      </c>
      <c r="C326" t="s">
        <v>562</v>
      </c>
      <c r="D326" t="s">
        <v>556</v>
      </c>
      <c r="E326" t="s">
        <v>551</v>
      </c>
      <c r="F326" t="s">
        <v>290</v>
      </c>
      <c r="G326" t="s">
        <v>551</v>
      </c>
      <c r="H326">
        <v>183</v>
      </c>
      <c r="I326">
        <v>0.1077304475572908</v>
      </c>
      <c r="J326">
        <v>203</v>
      </c>
      <c r="K326">
        <v>8131</v>
      </c>
      <c r="L326">
        <v>1273</v>
      </c>
      <c r="V326" t="s">
        <v>1209</v>
      </c>
      <c r="W326">
        <v>22340</v>
      </c>
      <c r="X326">
        <v>0.88970772378422391</v>
      </c>
      <c r="Y326">
        <v>3</v>
      </c>
      <c r="Z326">
        <v>4593</v>
      </c>
      <c r="AA326">
        <v>1.436518853005217E-2</v>
      </c>
      <c r="AB326">
        <v>0.95450879671652333</v>
      </c>
      <c r="AC326">
        <v>16.941556678085941</v>
      </c>
      <c r="AD326">
        <v>45</v>
      </c>
      <c r="AE326">
        <v>140.29</v>
      </c>
      <c r="AF326">
        <v>157.22999999999999</v>
      </c>
      <c r="AG326">
        <v>159.53</v>
      </c>
      <c r="AH326">
        <v>1143.42</v>
      </c>
      <c r="AL326">
        <v>159.53</v>
      </c>
      <c r="AM326">
        <v>0.32366023972343189</v>
      </c>
      <c r="AN326">
        <v>235.87</v>
      </c>
      <c r="AO326">
        <v>76.34</v>
      </c>
      <c r="AP326">
        <v>0.32369999999999999</v>
      </c>
      <c r="AQ326">
        <v>0.67630000000000001</v>
      </c>
      <c r="AR326">
        <v>45133</v>
      </c>
      <c r="AS326">
        <v>3761</v>
      </c>
      <c r="AT326">
        <v>0.17100000000000001</v>
      </c>
      <c r="AU326">
        <v>38275</v>
      </c>
      <c r="AV326">
        <v>38275</v>
      </c>
      <c r="AW326">
        <v>38833</v>
      </c>
      <c r="AX326">
        <v>38833</v>
      </c>
      <c r="AY326">
        <v>0</v>
      </c>
      <c r="BA326">
        <v>0</v>
      </c>
      <c r="BB326">
        <v>0</v>
      </c>
      <c r="BC326">
        <v>0</v>
      </c>
      <c r="BD326">
        <v>0</v>
      </c>
      <c r="BE326">
        <v>0</v>
      </c>
    </row>
    <row r="327" spans="1:57" x14ac:dyDescent="0.35">
      <c r="A327" t="s">
        <v>1249</v>
      </c>
      <c r="B327" t="s">
        <v>1250</v>
      </c>
      <c r="C327" t="s">
        <v>548</v>
      </c>
      <c r="D327" t="s">
        <v>549</v>
      </c>
      <c r="E327" t="s">
        <v>551</v>
      </c>
      <c r="F327" t="s">
        <v>290</v>
      </c>
      <c r="G327" t="s">
        <v>566</v>
      </c>
      <c r="H327">
        <v>776</v>
      </c>
      <c r="I327">
        <v>0.19057755074694599</v>
      </c>
      <c r="J327">
        <v>924</v>
      </c>
      <c r="K327">
        <v>8611</v>
      </c>
      <c r="L327">
        <v>1298</v>
      </c>
      <c r="V327" t="s">
        <v>1251</v>
      </c>
      <c r="W327">
        <v>5860</v>
      </c>
      <c r="X327">
        <v>0.87337391594646552</v>
      </c>
      <c r="Y327">
        <v>10</v>
      </c>
      <c r="Z327">
        <v>3872</v>
      </c>
      <c r="AA327">
        <v>2.4680306001966499E-2</v>
      </c>
      <c r="AB327">
        <v>0.91241658539950277</v>
      </c>
      <c r="AC327">
        <v>4.299423063814066</v>
      </c>
      <c r="AD327">
        <v>45</v>
      </c>
      <c r="AE327">
        <v>236.97</v>
      </c>
      <c r="AF327">
        <v>241.27</v>
      </c>
      <c r="AG327">
        <v>247.37</v>
      </c>
      <c r="AH327">
        <v>1754.23</v>
      </c>
      <c r="AL327">
        <v>247.37</v>
      </c>
      <c r="AM327">
        <v>0.20467890324948179</v>
      </c>
      <c r="AN327">
        <v>311.02999999999997</v>
      </c>
      <c r="AO327">
        <v>63.66</v>
      </c>
      <c r="AP327">
        <v>0.20469999999999999</v>
      </c>
      <c r="AQ327">
        <v>0.79530000000000001</v>
      </c>
      <c r="AR327">
        <v>55150</v>
      </c>
      <c r="AS327">
        <v>4596</v>
      </c>
      <c r="AT327">
        <v>0.188</v>
      </c>
      <c r="AU327">
        <v>47837</v>
      </c>
      <c r="AV327">
        <v>47837</v>
      </c>
      <c r="AW327">
        <v>49048</v>
      </c>
      <c r="AX327">
        <v>49048</v>
      </c>
      <c r="AY327">
        <v>0</v>
      </c>
      <c r="BA327">
        <v>0</v>
      </c>
      <c r="BB327">
        <v>0</v>
      </c>
      <c r="BC327">
        <v>0</v>
      </c>
      <c r="BD327">
        <v>0</v>
      </c>
      <c r="BE327">
        <v>0</v>
      </c>
    </row>
    <row r="328" spans="1:57" x14ac:dyDescent="0.35">
      <c r="A328" t="s">
        <v>1252</v>
      </c>
      <c r="B328" t="s">
        <v>1253</v>
      </c>
      <c r="C328" t="s">
        <v>573</v>
      </c>
      <c r="D328" t="s">
        <v>549</v>
      </c>
      <c r="E328" t="s">
        <v>551</v>
      </c>
      <c r="F328" t="s">
        <v>290</v>
      </c>
      <c r="G328" t="s">
        <v>566</v>
      </c>
      <c r="H328">
        <v>502</v>
      </c>
      <c r="I328">
        <v>-8.5625550449610205E-3</v>
      </c>
      <c r="J328">
        <v>498</v>
      </c>
      <c r="K328">
        <v>2773</v>
      </c>
      <c r="L328">
        <v>578</v>
      </c>
      <c r="V328" t="s">
        <v>1254</v>
      </c>
      <c r="W328">
        <v>5854</v>
      </c>
      <c r="X328">
        <v>0.91145858569464455</v>
      </c>
      <c r="Y328">
        <v>3</v>
      </c>
      <c r="Z328">
        <v>3574</v>
      </c>
      <c r="AA328">
        <v>2.7866807159081141E-2</v>
      </c>
      <c r="AB328">
        <v>0.92433084166439905</v>
      </c>
      <c r="AC328">
        <v>12.299012785181111</v>
      </c>
      <c r="AD328">
        <v>60</v>
      </c>
      <c r="AE328">
        <v>119.38</v>
      </c>
      <c r="AF328">
        <v>131.68</v>
      </c>
      <c r="AG328">
        <v>135.44999999999999</v>
      </c>
      <c r="AH328">
        <v>489.56</v>
      </c>
      <c r="AL328">
        <v>135.44999999999999</v>
      </c>
      <c r="AM328">
        <v>0.29882581648187218</v>
      </c>
      <c r="AN328">
        <v>193.18</v>
      </c>
      <c r="AO328">
        <v>57.73</v>
      </c>
      <c r="AP328">
        <v>0.29880000000000001</v>
      </c>
      <c r="AQ328">
        <v>0.70120000000000005</v>
      </c>
      <c r="AR328">
        <v>42052</v>
      </c>
      <c r="AS328">
        <v>3504</v>
      </c>
      <c r="AT328">
        <v>0.1134</v>
      </c>
      <c r="AU328">
        <v>39857</v>
      </c>
      <c r="AV328">
        <v>39857</v>
      </c>
      <c r="AW328">
        <v>41000</v>
      </c>
      <c r="AX328">
        <v>41000</v>
      </c>
      <c r="AY328">
        <v>0</v>
      </c>
      <c r="BA328">
        <v>0</v>
      </c>
      <c r="BB328">
        <v>0</v>
      </c>
      <c r="BC328">
        <v>0</v>
      </c>
      <c r="BD328">
        <v>0</v>
      </c>
      <c r="BE328">
        <v>0</v>
      </c>
    </row>
    <row r="329" spans="1:57" x14ac:dyDescent="0.35">
      <c r="A329" t="s">
        <v>1255</v>
      </c>
      <c r="B329" t="s">
        <v>1256</v>
      </c>
      <c r="C329" t="s">
        <v>548</v>
      </c>
      <c r="D329" t="s">
        <v>556</v>
      </c>
      <c r="E329" t="s">
        <v>550</v>
      </c>
      <c r="F329" t="s">
        <v>290</v>
      </c>
      <c r="G329" t="s">
        <v>558</v>
      </c>
      <c r="H329">
        <v>110</v>
      </c>
      <c r="I329">
        <v>4.7964574102269723E-2</v>
      </c>
      <c r="J329">
        <v>115</v>
      </c>
      <c r="K329">
        <v>2740</v>
      </c>
      <c r="L329">
        <v>279</v>
      </c>
      <c r="V329" t="s">
        <v>1186</v>
      </c>
      <c r="W329">
        <v>16296</v>
      </c>
      <c r="X329">
        <v>1.01701609222196</v>
      </c>
      <c r="Y329">
        <v>29</v>
      </c>
      <c r="Z329">
        <v>4665</v>
      </c>
      <c r="AA329">
        <v>1.2077689971905571E-2</v>
      </c>
      <c r="AB329">
        <v>0.88415855007307165</v>
      </c>
      <c r="AC329">
        <v>24.379242759306251</v>
      </c>
      <c r="AD329">
        <v>90</v>
      </c>
      <c r="AE329">
        <v>255.07</v>
      </c>
      <c r="AF329">
        <v>279.44</v>
      </c>
      <c r="AG329">
        <v>282.86</v>
      </c>
      <c r="AH329">
        <v>1115.3699999999999</v>
      </c>
      <c r="AL329">
        <v>282.86</v>
      </c>
      <c r="AM329">
        <v>0.2161587567313393</v>
      </c>
      <c r="AN329">
        <v>360.86</v>
      </c>
      <c r="AO329">
        <v>78</v>
      </c>
      <c r="AP329">
        <v>0.2162</v>
      </c>
      <c r="AQ329">
        <v>0.78380000000000005</v>
      </c>
      <c r="AR329">
        <v>16469</v>
      </c>
      <c r="AS329">
        <v>1372</v>
      </c>
      <c r="AT329">
        <v>0.11600000000000001</v>
      </c>
      <c r="AU329">
        <v>14008</v>
      </c>
      <c r="AV329">
        <v>14008</v>
      </c>
      <c r="AW329">
        <v>14179</v>
      </c>
      <c r="AX329">
        <v>14179</v>
      </c>
      <c r="AY329">
        <v>0</v>
      </c>
      <c r="BA329">
        <v>0</v>
      </c>
      <c r="BB329">
        <v>0</v>
      </c>
      <c r="BC329">
        <v>0</v>
      </c>
      <c r="BD329">
        <v>0</v>
      </c>
      <c r="BE329">
        <v>0</v>
      </c>
    </row>
    <row r="330" spans="1:57" x14ac:dyDescent="0.35">
      <c r="A330" t="s">
        <v>1257</v>
      </c>
      <c r="B330" t="s">
        <v>1258</v>
      </c>
      <c r="C330" t="s">
        <v>548</v>
      </c>
      <c r="D330" t="s">
        <v>549</v>
      </c>
      <c r="E330" t="s">
        <v>551</v>
      </c>
      <c r="F330" t="s">
        <v>290</v>
      </c>
      <c r="G330" t="s">
        <v>551</v>
      </c>
      <c r="H330">
        <v>431</v>
      </c>
      <c r="I330">
        <v>1.4885445794022579E-2</v>
      </c>
      <c r="J330">
        <v>437</v>
      </c>
      <c r="K330">
        <v>5984</v>
      </c>
      <c r="L330">
        <v>287</v>
      </c>
      <c r="V330" t="s">
        <v>1220</v>
      </c>
      <c r="W330">
        <v>16447</v>
      </c>
      <c r="X330">
        <v>0.89505501759695993</v>
      </c>
      <c r="Y330">
        <v>8</v>
      </c>
      <c r="Z330">
        <v>2427</v>
      </c>
      <c r="AA330">
        <v>1.9871424108949459E-2</v>
      </c>
      <c r="AB330">
        <v>0.98767923972527805</v>
      </c>
      <c r="AC330">
        <v>11.17296217622472</v>
      </c>
      <c r="AD330">
        <v>15</v>
      </c>
      <c r="AE330">
        <v>1128.76</v>
      </c>
      <c r="AF330">
        <v>1139.94</v>
      </c>
      <c r="AG330">
        <v>1163.05</v>
      </c>
      <c r="AH330">
        <v>987.64</v>
      </c>
      <c r="AL330">
        <v>1163.05</v>
      </c>
      <c r="AM330">
        <v>0.31549223619846711</v>
      </c>
      <c r="AN330">
        <v>1699.1</v>
      </c>
      <c r="AO330">
        <v>536.04999999999995</v>
      </c>
      <c r="AP330">
        <v>0.3155</v>
      </c>
      <c r="AQ330">
        <v>0.6845</v>
      </c>
      <c r="AR330">
        <v>34953</v>
      </c>
      <c r="AS330">
        <v>2913</v>
      </c>
      <c r="AT330">
        <v>8.7099999999999997E-2</v>
      </c>
      <c r="AU330">
        <v>29256</v>
      </c>
      <c r="AV330">
        <v>29256</v>
      </c>
      <c r="AW330">
        <v>29849</v>
      </c>
      <c r="AX330">
        <v>29849</v>
      </c>
      <c r="AY330">
        <v>0</v>
      </c>
      <c r="BA330">
        <v>0</v>
      </c>
      <c r="BB330">
        <v>0</v>
      </c>
      <c r="BC330">
        <v>0</v>
      </c>
      <c r="BD330">
        <v>0</v>
      </c>
      <c r="BE330">
        <v>0</v>
      </c>
    </row>
    <row r="331" spans="1:57" x14ac:dyDescent="0.35">
      <c r="A331" t="s">
        <v>1259</v>
      </c>
      <c r="B331" t="s">
        <v>1260</v>
      </c>
      <c r="C331" t="s">
        <v>562</v>
      </c>
      <c r="D331" t="s">
        <v>556</v>
      </c>
      <c r="E331" t="s">
        <v>551</v>
      </c>
      <c r="F331" t="s">
        <v>290</v>
      </c>
      <c r="G331" t="s">
        <v>558</v>
      </c>
      <c r="H331">
        <v>1882</v>
      </c>
      <c r="I331">
        <v>0.133030651710739</v>
      </c>
      <c r="J331">
        <v>2132</v>
      </c>
      <c r="K331">
        <v>9163</v>
      </c>
      <c r="L331">
        <v>964</v>
      </c>
      <c r="V331" t="s">
        <v>1261</v>
      </c>
      <c r="W331">
        <v>6734</v>
      </c>
      <c r="X331">
        <v>0.86974657160199664</v>
      </c>
      <c r="Y331">
        <v>3</v>
      </c>
      <c r="Z331">
        <v>2059</v>
      </c>
      <c r="AA331">
        <v>1.6695943159420419E-2</v>
      </c>
      <c r="AB331">
        <v>0.98114219842314276</v>
      </c>
      <c r="AC331">
        <v>5.1629817153578443</v>
      </c>
      <c r="AD331">
        <v>60</v>
      </c>
      <c r="AE331">
        <v>138.93</v>
      </c>
      <c r="AF331">
        <v>144.09</v>
      </c>
      <c r="AG331">
        <v>146.54</v>
      </c>
      <c r="AH331">
        <v>176.66</v>
      </c>
      <c r="AL331">
        <v>146.54</v>
      </c>
      <c r="AM331">
        <v>0.35373493213513479</v>
      </c>
      <c r="AN331">
        <v>226.75</v>
      </c>
      <c r="AO331">
        <v>80.209999999999994</v>
      </c>
      <c r="AP331">
        <v>0.35370000000000001</v>
      </c>
      <c r="AQ331">
        <v>0.64629999999999999</v>
      </c>
      <c r="AR331">
        <v>55475</v>
      </c>
      <c r="AS331">
        <v>4623</v>
      </c>
      <c r="AT331">
        <v>0.1348</v>
      </c>
      <c r="AU331">
        <v>47276</v>
      </c>
      <c r="AV331">
        <v>47276</v>
      </c>
      <c r="AW331">
        <v>48079</v>
      </c>
      <c r="AX331">
        <v>48079</v>
      </c>
      <c r="AY331">
        <v>0</v>
      </c>
      <c r="BA331">
        <v>0</v>
      </c>
      <c r="BB331">
        <v>0</v>
      </c>
      <c r="BC331">
        <v>0</v>
      </c>
      <c r="BD331">
        <v>0</v>
      </c>
      <c r="BE331">
        <v>0</v>
      </c>
    </row>
    <row r="332" spans="1:57" x14ac:dyDescent="0.35">
      <c r="A332" t="s">
        <v>1262</v>
      </c>
      <c r="B332" t="s">
        <v>1263</v>
      </c>
      <c r="C332" t="s">
        <v>606</v>
      </c>
      <c r="D332" t="s">
        <v>556</v>
      </c>
      <c r="E332" t="s">
        <v>550</v>
      </c>
      <c r="F332" t="s">
        <v>290</v>
      </c>
      <c r="G332" t="s">
        <v>558</v>
      </c>
      <c r="H332">
        <v>861</v>
      </c>
      <c r="I332">
        <v>6.9225026616992494E-2</v>
      </c>
      <c r="J332">
        <v>921</v>
      </c>
      <c r="K332">
        <v>1709</v>
      </c>
      <c r="L332">
        <v>575</v>
      </c>
      <c r="V332" t="s">
        <v>1251</v>
      </c>
      <c r="W332">
        <v>5860</v>
      </c>
      <c r="X332">
        <v>0.87337391594646552</v>
      </c>
      <c r="Y332">
        <v>10</v>
      </c>
      <c r="Z332">
        <v>3872</v>
      </c>
      <c r="AA332">
        <v>2.4680306001966499E-2</v>
      </c>
      <c r="AB332">
        <v>0.91241658539950277</v>
      </c>
      <c r="AC332">
        <v>4.299423063814066</v>
      </c>
      <c r="AD332">
        <v>45</v>
      </c>
      <c r="AE332">
        <v>515.54</v>
      </c>
      <c r="AF332">
        <v>519.84</v>
      </c>
      <c r="AG332">
        <v>533</v>
      </c>
      <c r="AH332">
        <v>423.85</v>
      </c>
      <c r="AL332">
        <v>533</v>
      </c>
      <c r="AM332">
        <v>0.34450631078616328</v>
      </c>
      <c r="AN332">
        <v>813.13</v>
      </c>
      <c r="AO332">
        <v>280.13</v>
      </c>
      <c r="AP332">
        <v>0.34449999999999997</v>
      </c>
      <c r="AQ332">
        <v>0.65549999999999997</v>
      </c>
      <c r="AR332">
        <v>25470</v>
      </c>
      <c r="AS332">
        <v>2122</v>
      </c>
      <c r="AT332">
        <v>0.17519999999999999</v>
      </c>
      <c r="AU332">
        <v>24336</v>
      </c>
      <c r="AV332">
        <v>24336</v>
      </c>
      <c r="AW332">
        <v>24952</v>
      </c>
      <c r="AX332">
        <v>24952</v>
      </c>
      <c r="AY332">
        <v>0</v>
      </c>
      <c r="BA332">
        <v>0</v>
      </c>
      <c r="BB332">
        <v>0</v>
      </c>
      <c r="BC332">
        <v>0</v>
      </c>
      <c r="BD332">
        <v>0</v>
      </c>
      <c r="BE332">
        <v>0</v>
      </c>
    </row>
    <row r="333" spans="1:57" x14ac:dyDescent="0.35">
      <c r="A333" t="s">
        <v>1264</v>
      </c>
      <c r="B333" t="s">
        <v>1265</v>
      </c>
      <c r="C333" t="s">
        <v>555</v>
      </c>
      <c r="D333" t="s">
        <v>549</v>
      </c>
      <c r="E333" t="s">
        <v>551</v>
      </c>
      <c r="F333" t="s">
        <v>290</v>
      </c>
      <c r="G333" t="s">
        <v>566</v>
      </c>
      <c r="H333">
        <v>1353</v>
      </c>
      <c r="I333">
        <v>0.16380174625459251</v>
      </c>
      <c r="J333">
        <v>1575</v>
      </c>
      <c r="K333">
        <v>6756</v>
      </c>
      <c r="L333">
        <v>945</v>
      </c>
      <c r="V333" t="s">
        <v>1198</v>
      </c>
      <c r="W333">
        <v>11420</v>
      </c>
      <c r="X333">
        <v>1.0469926038510871</v>
      </c>
      <c r="Y333">
        <v>28</v>
      </c>
      <c r="Z333">
        <v>4217</v>
      </c>
      <c r="AA333">
        <v>2.2685195983492609E-3</v>
      </c>
      <c r="AB333">
        <v>0.85322873950579814</v>
      </c>
      <c r="AC333">
        <v>14.06981718594295</v>
      </c>
      <c r="AD333">
        <v>30</v>
      </c>
      <c r="AE333">
        <v>1608.48</v>
      </c>
      <c r="AF333">
        <v>1622.55</v>
      </c>
      <c r="AG333">
        <v>1626.24</v>
      </c>
      <c r="AH333">
        <v>912.49</v>
      </c>
      <c r="AL333">
        <v>1626.24</v>
      </c>
      <c r="AM333">
        <v>0.34021283273269542</v>
      </c>
      <c r="AN333">
        <v>2464.79</v>
      </c>
      <c r="AO333">
        <v>838.55</v>
      </c>
      <c r="AP333">
        <v>0.3402</v>
      </c>
      <c r="AQ333">
        <v>0.65980000000000005</v>
      </c>
      <c r="AR333">
        <v>46086</v>
      </c>
      <c r="AS333">
        <v>3840</v>
      </c>
      <c r="AT333">
        <v>0.2258</v>
      </c>
      <c r="AU333">
        <v>40275</v>
      </c>
      <c r="AV333">
        <v>40275</v>
      </c>
      <c r="AW333">
        <v>40367</v>
      </c>
      <c r="AX333">
        <v>40367</v>
      </c>
      <c r="AY333">
        <v>0</v>
      </c>
      <c r="BA333">
        <v>0</v>
      </c>
      <c r="BB333">
        <v>0</v>
      </c>
      <c r="BC333">
        <v>0</v>
      </c>
      <c r="BD333">
        <v>0</v>
      </c>
      <c r="BE333">
        <v>0</v>
      </c>
    </row>
    <row r="334" spans="1:57" x14ac:dyDescent="0.35">
      <c r="A334" t="s">
        <v>1266</v>
      </c>
      <c r="B334" t="s">
        <v>1267</v>
      </c>
      <c r="C334" t="s">
        <v>606</v>
      </c>
      <c r="D334" t="s">
        <v>549</v>
      </c>
      <c r="E334" t="s">
        <v>551</v>
      </c>
      <c r="F334" t="s">
        <v>290</v>
      </c>
      <c r="G334" t="s">
        <v>551</v>
      </c>
      <c r="H334">
        <v>315</v>
      </c>
      <c r="I334">
        <v>0.15201982058895749</v>
      </c>
      <c r="J334">
        <v>363</v>
      </c>
      <c r="K334">
        <v>3439</v>
      </c>
      <c r="L334">
        <v>449</v>
      </c>
      <c r="V334" t="s">
        <v>1268</v>
      </c>
      <c r="W334">
        <v>18545</v>
      </c>
      <c r="X334">
        <v>0.93504606856145123</v>
      </c>
      <c r="Y334">
        <v>17</v>
      </c>
      <c r="Z334">
        <v>3545</v>
      </c>
      <c r="AA334">
        <v>1.0313040343776669E-2</v>
      </c>
      <c r="AB334">
        <v>0.92813428028242773</v>
      </c>
      <c r="AC334">
        <v>11.28823193433494</v>
      </c>
      <c r="AD334">
        <v>15</v>
      </c>
      <c r="AE334">
        <v>130.5</v>
      </c>
      <c r="AF334">
        <v>141.79</v>
      </c>
      <c r="AG334">
        <v>143.26</v>
      </c>
      <c r="AH334">
        <v>1023.71</v>
      </c>
      <c r="AL334">
        <v>143.26</v>
      </c>
      <c r="AM334">
        <v>0.19693060142306301</v>
      </c>
      <c r="AN334">
        <v>178.39</v>
      </c>
      <c r="AO334">
        <v>35.130000000000003</v>
      </c>
      <c r="AP334">
        <v>0.19689999999999999</v>
      </c>
      <c r="AQ334">
        <v>0.80310000000000004</v>
      </c>
      <c r="AR334">
        <v>19633</v>
      </c>
      <c r="AS334">
        <v>1636</v>
      </c>
      <c r="AT334">
        <v>0.19339999999999999</v>
      </c>
      <c r="AU334">
        <v>16643</v>
      </c>
      <c r="AV334">
        <v>16643</v>
      </c>
      <c r="AW334">
        <v>16816</v>
      </c>
      <c r="AX334">
        <v>16816</v>
      </c>
      <c r="AY334">
        <v>0</v>
      </c>
      <c r="BA334">
        <v>0</v>
      </c>
      <c r="BB334">
        <v>0</v>
      </c>
      <c r="BC334">
        <v>0</v>
      </c>
      <c r="BD334">
        <v>0</v>
      </c>
      <c r="BE334">
        <v>0</v>
      </c>
    </row>
    <row r="335" spans="1:57" x14ac:dyDescent="0.35">
      <c r="A335" t="s">
        <v>1269</v>
      </c>
      <c r="B335" t="s">
        <v>1270</v>
      </c>
      <c r="C335" t="s">
        <v>562</v>
      </c>
      <c r="D335" t="s">
        <v>549</v>
      </c>
      <c r="E335" t="s">
        <v>557</v>
      </c>
      <c r="F335" t="s">
        <v>290</v>
      </c>
      <c r="G335" t="s">
        <v>566</v>
      </c>
      <c r="H335">
        <v>1375</v>
      </c>
      <c r="I335">
        <v>0.115608502925267</v>
      </c>
      <c r="J335">
        <v>1534</v>
      </c>
      <c r="K335">
        <v>12674</v>
      </c>
      <c r="L335">
        <v>2207</v>
      </c>
      <c r="V335" t="s">
        <v>1271</v>
      </c>
      <c r="W335">
        <v>10423</v>
      </c>
      <c r="X335">
        <v>1.186167740515518</v>
      </c>
      <c r="Y335">
        <v>7</v>
      </c>
      <c r="Z335">
        <v>3208</v>
      </c>
      <c r="AA335">
        <v>3.5540181041194913E-2</v>
      </c>
      <c r="AB335">
        <v>0.87641899516779309</v>
      </c>
      <c r="AC335">
        <v>8.4140411096201824</v>
      </c>
      <c r="AD335">
        <v>45</v>
      </c>
      <c r="AE335">
        <v>1320.74</v>
      </c>
      <c r="AF335">
        <v>1329.15</v>
      </c>
      <c r="AG335">
        <v>1378.13</v>
      </c>
      <c r="AH335">
        <v>581.08000000000004</v>
      </c>
      <c r="AL335">
        <v>1378.13</v>
      </c>
      <c r="AM335">
        <v>0.1720962367461297</v>
      </c>
      <c r="AN335">
        <v>1664.6</v>
      </c>
      <c r="AO335">
        <v>286.47000000000003</v>
      </c>
      <c r="AP335">
        <v>0.1721</v>
      </c>
      <c r="AQ335">
        <v>0.82789999999999997</v>
      </c>
      <c r="AR335">
        <v>92780</v>
      </c>
      <c r="AS335">
        <v>7732</v>
      </c>
      <c r="AT335">
        <v>0.154</v>
      </c>
      <c r="AU335">
        <v>82313</v>
      </c>
      <c r="AV335">
        <v>82313</v>
      </c>
      <c r="AW335">
        <v>85346</v>
      </c>
      <c r="AX335">
        <v>85346</v>
      </c>
      <c r="AY335">
        <v>0</v>
      </c>
      <c r="BA335">
        <v>0</v>
      </c>
      <c r="BB335">
        <v>0</v>
      </c>
      <c r="BC335">
        <v>0</v>
      </c>
      <c r="BD335">
        <v>0</v>
      </c>
      <c r="BE335">
        <v>0</v>
      </c>
    </row>
    <row r="336" spans="1:57" x14ac:dyDescent="0.35">
      <c r="A336" t="s">
        <v>1272</v>
      </c>
      <c r="B336" t="s">
        <v>1273</v>
      </c>
      <c r="C336" t="s">
        <v>555</v>
      </c>
      <c r="D336" t="s">
        <v>556</v>
      </c>
      <c r="E336" t="s">
        <v>550</v>
      </c>
      <c r="F336" t="s">
        <v>290</v>
      </c>
      <c r="G336" t="s">
        <v>558</v>
      </c>
      <c r="H336">
        <v>1604</v>
      </c>
      <c r="I336">
        <v>7.0387335068963566E-2</v>
      </c>
      <c r="J336">
        <v>1717</v>
      </c>
      <c r="K336">
        <v>1852</v>
      </c>
      <c r="L336">
        <v>472</v>
      </c>
      <c r="V336" t="s">
        <v>1274</v>
      </c>
      <c r="W336">
        <v>21448</v>
      </c>
      <c r="X336">
        <v>0.80625456269647766</v>
      </c>
      <c r="Y336">
        <v>11</v>
      </c>
      <c r="Z336">
        <v>2127</v>
      </c>
      <c r="AA336">
        <v>1.315255063928545E-2</v>
      </c>
      <c r="AB336">
        <v>0.85197117518011178</v>
      </c>
      <c r="AC336">
        <v>6.5733752940425187</v>
      </c>
      <c r="AD336">
        <v>45</v>
      </c>
      <c r="AE336">
        <v>430.67</v>
      </c>
      <c r="AF336">
        <v>437.25</v>
      </c>
      <c r="AG336">
        <v>443.07</v>
      </c>
      <c r="AH336">
        <v>517.15</v>
      </c>
      <c r="AL336">
        <v>443.07</v>
      </c>
      <c r="AM336">
        <v>0.32473720712184639</v>
      </c>
      <c r="AN336">
        <v>656.14</v>
      </c>
      <c r="AO336">
        <v>213.07</v>
      </c>
      <c r="AP336">
        <v>0.32469999999999999</v>
      </c>
      <c r="AQ336">
        <v>0.67530000000000001</v>
      </c>
      <c r="AR336">
        <v>12601</v>
      </c>
      <c r="AS336">
        <v>1050</v>
      </c>
      <c r="AT336">
        <v>0.24199999999999999</v>
      </c>
      <c r="AU336">
        <v>11221</v>
      </c>
      <c r="AV336">
        <v>11221</v>
      </c>
      <c r="AW336">
        <v>11371</v>
      </c>
      <c r="AX336">
        <v>11371</v>
      </c>
      <c r="AY336">
        <v>0</v>
      </c>
      <c r="BA336">
        <v>0</v>
      </c>
      <c r="BB336">
        <v>0</v>
      </c>
      <c r="BC336">
        <v>0</v>
      </c>
      <c r="BD336">
        <v>0</v>
      </c>
      <c r="BE336">
        <v>0</v>
      </c>
    </row>
    <row r="337" spans="1:57" x14ac:dyDescent="0.35">
      <c r="A337" t="s">
        <v>1275</v>
      </c>
      <c r="B337" t="s">
        <v>1276</v>
      </c>
      <c r="C337" t="s">
        <v>548</v>
      </c>
      <c r="D337" t="s">
        <v>556</v>
      </c>
      <c r="E337" t="s">
        <v>557</v>
      </c>
      <c r="F337" t="s">
        <v>290</v>
      </c>
      <c r="G337" t="s">
        <v>551</v>
      </c>
      <c r="H337">
        <v>516</v>
      </c>
      <c r="I337">
        <v>0.1468872714646948</v>
      </c>
      <c r="J337">
        <v>592</v>
      </c>
      <c r="K337">
        <v>10876</v>
      </c>
      <c r="L337">
        <v>1697</v>
      </c>
      <c r="V337" t="s">
        <v>1277</v>
      </c>
      <c r="W337">
        <v>25666</v>
      </c>
      <c r="X337">
        <v>0.87460740415994176</v>
      </c>
      <c r="Y337">
        <v>5</v>
      </c>
      <c r="Z337">
        <v>759</v>
      </c>
      <c r="AA337">
        <v>1.4386438397671619E-2</v>
      </c>
      <c r="AB337">
        <v>0.88083374665917669</v>
      </c>
      <c r="AC337">
        <v>18.356439246074409</v>
      </c>
      <c r="AD337">
        <v>45</v>
      </c>
      <c r="AE337">
        <v>139.29</v>
      </c>
      <c r="AF337">
        <v>157.65</v>
      </c>
      <c r="AG337">
        <v>159.94999999999999</v>
      </c>
      <c r="AH337">
        <v>294.47000000000003</v>
      </c>
      <c r="AL337">
        <v>159.94999999999999</v>
      </c>
      <c r="AM337">
        <v>0.2420868034485878</v>
      </c>
      <c r="AN337">
        <v>211.04</v>
      </c>
      <c r="AO337">
        <v>51.09</v>
      </c>
      <c r="AP337">
        <v>0.24210000000000001</v>
      </c>
      <c r="AQ337">
        <v>0.75790000000000002</v>
      </c>
      <c r="AR337">
        <v>91584</v>
      </c>
      <c r="AS337">
        <v>7632</v>
      </c>
      <c r="AT337">
        <v>0.20230000000000001</v>
      </c>
      <c r="AU337">
        <v>82405</v>
      </c>
      <c r="AV337">
        <v>82405</v>
      </c>
      <c r="AW337">
        <v>83608</v>
      </c>
      <c r="AX337">
        <v>83608</v>
      </c>
      <c r="AY337">
        <v>0</v>
      </c>
      <c r="BA337">
        <v>0</v>
      </c>
      <c r="BB337">
        <v>0</v>
      </c>
      <c r="BC337">
        <v>0</v>
      </c>
      <c r="BD337">
        <v>0</v>
      </c>
      <c r="BE337">
        <v>0</v>
      </c>
    </row>
    <row r="338" spans="1:57" x14ac:dyDescent="0.35">
      <c r="A338" t="s">
        <v>1278</v>
      </c>
      <c r="B338" t="s">
        <v>1279</v>
      </c>
      <c r="C338" t="s">
        <v>562</v>
      </c>
      <c r="D338" t="s">
        <v>556</v>
      </c>
      <c r="E338" t="s">
        <v>551</v>
      </c>
      <c r="F338" t="s">
        <v>290</v>
      </c>
      <c r="G338" t="s">
        <v>566</v>
      </c>
      <c r="H338">
        <v>2900</v>
      </c>
      <c r="I338">
        <v>0.19359305966981441</v>
      </c>
      <c r="J338">
        <v>3461</v>
      </c>
      <c r="K338">
        <v>2846</v>
      </c>
      <c r="L338">
        <v>476</v>
      </c>
      <c r="V338" t="s">
        <v>1280</v>
      </c>
      <c r="W338">
        <v>6154</v>
      </c>
      <c r="X338">
        <v>1.1425297167512369</v>
      </c>
      <c r="Y338">
        <v>24</v>
      </c>
      <c r="Z338">
        <v>3291</v>
      </c>
      <c r="AA338">
        <v>3.5735263752916482E-2</v>
      </c>
      <c r="AB338">
        <v>0.96912998282745177</v>
      </c>
      <c r="AC338">
        <v>23.519604867081789</v>
      </c>
      <c r="AD338">
        <v>60</v>
      </c>
      <c r="AE338">
        <v>982.97</v>
      </c>
      <c r="AF338">
        <v>1006.49</v>
      </c>
      <c r="AG338">
        <v>1043.79</v>
      </c>
      <c r="AH338">
        <v>855.49</v>
      </c>
      <c r="AL338">
        <v>1043.79</v>
      </c>
      <c r="AM338">
        <v>0.25808655660083679</v>
      </c>
      <c r="AN338">
        <v>1406.89</v>
      </c>
      <c r="AO338">
        <v>363.1</v>
      </c>
      <c r="AP338">
        <v>0.2581</v>
      </c>
      <c r="AQ338">
        <v>0.7419</v>
      </c>
      <c r="AR338">
        <v>22008</v>
      </c>
      <c r="AS338">
        <v>1834</v>
      </c>
      <c r="AT338">
        <v>0.23810000000000001</v>
      </c>
      <c r="AU338">
        <v>19638</v>
      </c>
      <c r="AV338">
        <v>19638</v>
      </c>
      <c r="AW338">
        <v>20366</v>
      </c>
      <c r="AX338">
        <v>20366</v>
      </c>
      <c r="AY338">
        <v>0</v>
      </c>
      <c r="BA338">
        <v>0</v>
      </c>
      <c r="BB338">
        <v>0</v>
      </c>
      <c r="BC338">
        <v>0</v>
      </c>
      <c r="BD338">
        <v>0</v>
      </c>
      <c r="BE338">
        <v>0</v>
      </c>
    </row>
    <row r="339" spans="1:57" x14ac:dyDescent="0.35">
      <c r="A339" t="s">
        <v>1281</v>
      </c>
      <c r="B339" t="s">
        <v>1282</v>
      </c>
      <c r="C339" t="s">
        <v>606</v>
      </c>
      <c r="D339" t="s">
        <v>549</v>
      </c>
      <c r="E339" t="s">
        <v>557</v>
      </c>
      <c r="F339" t="s">
        <v>290</v>
      </c>
      <c r="G339" t="s">
        <v>558</v>
      </c>
      <c r="H339">
        <v>2015</v>
      </c>
      <c r="I339">
        <v>2.0619685994256658E-2</v>
      </c>
      <c r="J339">
        <v>2057</v>
      </c>
      <c r="K339">
        <v>3748</v>
      </c>
      <c r="L339">
        <v>1213</v>
      </c>
      <c r="V339" t="s">
        <v>1198</v>
      </c>
      <c r="W339">
        <v>11420</v>
      </c>
      <c r="X339">
        <v>1.0469926038510871</v>
      </c>
      <c r="Y339">
        <v>28</v>
      </c>
      <c r="Z339">
        <v>4217</v>
      </c>
      <c r="AA339">
        <v>2.2685195983492609E-3</v>
      </c>
      <c r="AB339">
        <v>0.85322873950579814</v>
      </c>
      <c r="AC339">
        <v>14.06981718594295</v>
      </c>
      <c r="AD339">
        <v>30</v>
      </c>
      <c r="AE339">
        <v>918.11</v>
      </c>
      <c r="AF339">
        <v>932.18</v>
      </c>
      <c r="AG339">
        <v>934.3</v>
      </c>
      <c r="AH339">
        <v>1313.29</v>
      </c>
      <c r="AL339">
        <v>934.3</v>
      </c>
      <c r="AM339">
        <v>0.15778727319834779</v>
      </c>
      <c r="AN339">
        <v>1109.3399999999999</v>
      </c>
      <c r="AO339">
        <v>175.04</v>
      </c>
      <c r="AP339">
        <v>0.1578</v>
      </c>
      <c r="AQ339">
        <v>0.84219999999999995</v>
      </c>
      <c r="AR339">
        <v>67952</v>
      </c>
      <c r="AS339">
        <v>5663</v>
      </c>
      <c r="AT339">
        <v>0.16969999999999999</v>
      </c>
      <c r="AU339">
        <v>65417</v>
      </c>
      <c r="AV339">
        <v>65417</v>
      </c>
      <c r="AW339">
        <v>65566</v>
      </c>
      <c r="AX339">
        <v>65566</v>
      </c>
      <c r="AY339">
        <v>0</v>
      </c>
      <c r="BA339">
        <v>0</v>
      </c>
      <c r="BB339">
        <v>0</v>
      </c>
      <c r="BC339">
        <v>0</v>
      </c>
      <c r="BD339">
        <v>0</v>
      </c>
      <c r="BE339">
        <v>0</v>
      </c>
    </row>
    <row r="340" spans="1:57" x14ac:dyDescent="0.35">
      <c r="A340" t="s">
        <v>1283</v>
      </c>
      <c r="B340" t="s">
        <v>1284</v>
      </c>
      <c r="C340" t="s">
        <v>562</v>
      </c>
      <c r="D340" t="s">
        <v>556</v>
      </c>
      <c r="E340" t="s">
        <v>551</v>
      </c>
      <c r="F340" t="s">
        <v>290</v>
      </c>
      <c r="G340" t="s">
        <v>551</v>
      </c>
      <c r="H340">
        <v>208</v>
      </c>
      <c r="I340">
        <v>3.8262597900075593E-2</v>
      </c>
      <c r="J340">
        <v>216</v>
      </c>
      <c r="K340">
        <v>7494</v>
      </c>
      <c r="L340">
        <v>995</v>
      </c>
      <c r="V340" t="s">
        <v>1285</v>
      </c>
      <c r="W340">
        <v>5995</v>
      </c>
      <c r="X340">
        <v>1.0391599915244341</v>
      </c>
      <c r="Y340">
        <v>18</v>
      </c>
      <c r="Z340">
        <v>3442</v>
      </c>
      <c r="AA340">
        <v>5.3627150779729411E-3</v>
      </c>
      <c r="AB340">
        <v>0.87743760073868027</v>
      </c>
      <c r="AC340">
        <v>3.0402276449423762</v>
      </c>
      <c r="AD340">
        <v>90</v>
      </c>
      <c r="AE340">
        <v>1104.3900000000001</v>
      </c>
      <c r="AF340">
        <v>1107.43</v>
      </c>
      <c r="AG340">
        <v>1113.4000000000001</v>
      </c>
      <c r="AH340">
        <v>259.31</v>
      </c>
      <c r="AL340">
        <v>1113.4000000000001</v>
      </c>
      <c r="AM340">
        <v>0.21489411231876229</v>
      </c>
      <c r="AN340">
        <v>1418.15</v>
      </c>
      <c r="AO340">
        <v>304.75</v>
      </c>
      <c r="AP340">
        <v>0.21490000000000001</v>
      </c>
      <c r="AQ340">
        <v>0.78510000000000002</v>
      </c>
      <c r="AR340">
        <v>51386</v>
      </c>
      <c r="AS340">
        <v>4282</v>
      </c>
      <c r="AT340">
        <v>0.124</v>
      </c>
      <c r="AU340">
        <v>44887</v>
      </c>
      <c r="AV340">
        <v>44887</v>
      </c>
      <c r="AW340">
        <v>45129</v>
      </c>
      <c r="AX340">
        <v>45129</v>
      </c>
      <c r="AY340">
        <v>0</v>
      </c>
      <c r="BA340">
        <v>0</v>
      </c>
      <c r="BB340">
        <v>0</v>
      </c>
      <c r="BC340">
        <v>0</v>
      </c>
      <c r="BD340">
        <v>0</v>
      </c>
      <c r="BE340">
        <v>0</v>
      </c>
    </row>
    <row r="341" spans="1:57" x14ac:dyDescent="0.35">
      <c r="A341" t="s">
        <v>1286</v>
      </c>
      <c r="B341" t="s">
        <v>1287</v>
      </c>
      <c r="C341" t="s">
        <v>573</v>
      </c>
      <c r="D341" t="s">
        <v>549</v>
      </c>
      <c r="E341" t="s">
        <v>551</v>
      </c>
      <c r="F341" t="s">
        <v>290</v>
      </c>
      <c r="G341" t="s">
        <v>551</v>
      </c>
      <c r="H341">
        <v>898</v>
      </c>
      <c r="I341">
        <v>8.6126442262306993E-2</v>
      </c>
      <c r="J341">
        <v>975</v>
      </c>
      <c r="K341">
        <v>2512</v>
      </c>
      <c r="L341">
        <v>338</v>
      </c>
      <c r="V341" t="s">
        <v>1217</v>
      </c>
      <c r="W341">
        <v>23141</v>
      </c>
      <c r="X341">
        <v>0.85573258176235034</v>
      </c>
      <c r="Y341">
        <v>9</v>
      </c>
      <c r="Z341">
        <v>1778</v>
      </c>
      <c r="AA341">
        <v>3.0710943264635849E-2</v>
      </c>
      <c r="AB341">
        <v>0.88203174316882715</v>
      </c>
      <c r="AC341">
        <v>3.7705379260622389</v>
      </c>
      <c r="AD341">
        <v>45</v>
      </c>
      <c r="AE341">
        <v>1154.9100000000001</v>
      </c>
      <c r="AF341">
        <v>1158.69</v>
      </c>
      <c r="AG341">
        <v>1195.4000000000001</v>
      </c>
      <c r="AH341">
        <v>1250.78</v>
      </c>
      <c r="AL341">
        <v>1195.4000000000001</v>
      </c>
      <c r="AM341">
        <v>0.158419100968616</v>
      </c>
      <c r="AN341">
        <v>1420.42</v>
      </c>
      <c r="AO341">
        <v>225.02</v>
      </c>
      <c r="AP341">
        <v>0.15840000000000001</v>
      </c>
      <c r="AQ341">
        <v>0.84160000000000001</v>
      </c>
      <c r="AR341">
        <v>40373</v>
      </c>
      <c r="AS341">
        <v>3364</v>
      </c>
      <c r="AT341">
        <v>8.8999999999999996E-2</v>
      </c>
      <c r="AU341">
        <v>38199</v>
      </c>
      <c r="AV341">
        <v>38199</v>
      </c>
      <c r="AW341">
        <v>39409</v>
      </c>
      <c r="AX341">
        <v>39409</v>
      </c>
      <c r="AY341">
        <v>0</v>
      </c>
      <c r="BA341">
        <v>0</v>
      </c>
      <c r="BB341">
        <v>0</v>
      </c>
      <c r="BC341">
        <v>0</v>
      </c>
      <c r="BD341">
        <v>0</v>
      </c>
      <c r="BE341">
        <v>0</v>
      </c>
    </row>
    <row r="342" spans="1:57" x14ac:dyDescent="0.35">
      <c r="A342" t="s">
        <v>1288</v>
      </c>
      <c r="B342" t="s">
        <v>1289</v>
      </c>
      <c r="C342" t="s">
        <v>555</v>
      </c>
      <c r="D342" t="s">
        <v>556</v>
      </c>
      <c r="E342" t="s">
        <v>551</v>
      </c>
      <c r="F342" t="s">
        <v>290</v>
      </c>
      <c r="G342" t="s">
        <v>628</v>
      </c>
      <c r="H342">
        <v>974</v>
      </c>
      <c r="I342">
        <v>-3.2748101846795927E-2</v>
      </c>
      <c r="J342">
        <v>942</v>
      </c>
      <c r="K342">
        <v>4129</v>
      </c>
      <c r="L342">
        <v>1045</v>
      </c>
      <c r="V342" t="s">
        <v>1236</v>
      </c>
      <c r="W342">
        <v>19257</v>
      </c>
      <c r="X342">
        <v>1.1698774473114251</v>
      </c>
      <c r="Y342">
        <v>12</v>
      </c>
      <c r="Z342">
        <v>362</v>
      </c>
      <c r="AA342">
        <v>2.70793937492988E-2</v>
      </c>
      <c r="AB342">
        <v>0.96441110802817021</v>
      </c>
      <c r="AC342">
        <v>14.769618666787631</v>
      </c>
      <c r="AD342">
        <v>60</v>
      </c>
      <c r="AE342">
        <v>1146.3599999999999</v>
      </c>
      <c r="AF342">
        <v>1161.1300000000001</v>
      </c>
      <c r="AG342">
        <v>1193.45</v>
      </c>
      <c r="AH342">
        <v>337.47</v>
      </c>
      <c r="AL342">
        <v>1193.45</v>
      </c>
      <c r="AM342">
        <v>0.3697964431503119</v>
      </c>
      <c r="AN342">
        <v>1893.75</v>
      </c>
      <c r="AO342">
        <v>700.3</v>
      </c>
      <c r="AP342">
        <v>0.36980000000000002</v>
      </c>
      <c r="AQ342">
        <v>0.63019999999999998</v>
      </c>
      <c r="AR342">
        <v>35827</v>
      </c>
      <c r="AS342">
        <v>2986</v>
      </c>
      <c r="AT342">
        <v>0.2034</v>
      </c>
      <c r="AU342">
        <v>32743</v>
      </c>
      <c r="AV342">
        <v>32743</v>
      </c>
      <c r="AW342">
        <v>33654</v>
      </c>
      <c r="AX342">
        <v>33654</v>
      </c>
      <c r="AY342">
        <v>0</v>
      </c>
      <c r="BA342">
        <v>0</v>
      </c>
      <c r="BB342">
        <v>0</v>
      </c>
      <c r="BC342">
        <v>0</v>
      </c>
      <c r="BD342">
        <v>0</v>
      </c>
      <c r="BE342">
        <v>0</v>
      </c>
    </row>
    <row r="343" spans="1:57" x14ac:dyDescent="0.35">
      <c r="A343" t="s">
        <v>1290</v>
      </c>
      <c r="B343" t="s">
        <v>1291</v>
      </c>
      <c r="C343" t="s">
        <v>562</v>
      </c>
      <c r="D343" t="s">
        <v>556</v>
      </c>
      <c r="E343" t="s">
        <v>550</v>
      </c>
      <c r="F343" t="s">
        <v>290</v>
      </c>
      <c r="G343" t="s">
        <v>558</v>
      </c>
      <c r="H343">
        <v>1493</v>
      </c>
      <c r="I343">
        <v>0.1434765554426663</v>
      </c>
      <c r="J343">
        <v>1707</v>
      </c>
      <c r="K343">
        <v>538</v>
      </c>
      <c r="L343">
        <v>53</v>
      </c>
      <c r="V343" t="s">
        <v>1268</v>
      </c>
      <c r="W343">
        <v>18545</v>
      </c>
      <c r="X343">
        <v>0.93504606856145123</v>
      </c>
      <c r="Y343">
        <v>17</v>
      </c>
      <c r="Z343">
        <v>3545</v>
      </c>
      <c r="AA343">
        <v>1.0313040343776669E-2</v>
      </c>
      <c r="AB343">
        <v>0.92813428028242773</v>
      </c>
      <c r="AC343">
        <v>11.28823193433494</v>
      </c>
      <c r="AD343">
        <v>15</v>
      </c>
      <c r="AE343">
        <v>499.72</v>
      </c>
      <c r="AF343">
        <v>511.01</v>
      </c>
      <c r="AG343">
        <v>516.34</v>
      </c>
      <c r="AH343">
        <v>1127.77</v>
      </c>
      <c r="AL343">
        <v>516.34</v>
      </c>
      <c r="AM343">
        <v>0.21084917080463261</v>
      </c>
      <c r="AN343">
        <v>654.29999999999995</v>
      </c>
      <c r="AO343">
        <v>137.96</v>
      </c>
      <c r="AP343">
        <v>0.2109</v>
      </c>
      <c r="AQ343">
        <v>0.78910000000000002</v>
      </c>
      <c r="AR343">
        <v>5731</v>
      </c>
      <c r="AS343">
        <v>478</v>
      </c>
      <c r="AT343">
        <v>0.10059999999999999</v>
      </c>
      <c r="AU343">
        <v>5246</v>
      </c>
      <c r="AV343">
        <v>5246</v>
      </c>
      <c r="AW343">
        <v>5301</v>
      </c>
      <c r="AX343">
        <v>5301</v>
      </c>
      <c r="AY343">
        <v>0</v>
      </c>
      <c r="BA343">
        <v>0</v>
      </c>
      <c r="BB343">
        <v>0</v>
      </c>
      <c r="BC343">
        <v>0</v>
      </c>
      <c r="BD343">
        <v>0</v>
      </c>
      <c r="BE343">
        <v>0</v>
      </c>
    </row>
    <row r="344" spans="1:57" x14ac:dyDescent="0.35">
      <c r="A344" t="s">
        <v>1292</v>
      </c>
      <c r="B344" t="s">
        <v>1293</v>
      </c>
      <c r="C344" t="s">
        <v>606</v>
      </c>
      <c r="D344" t="s">
        <v>556</v>
      </c>
      <c r="E344" t="s">
        <v>551</v>
      </c>
      <c r="F344" t="s">
        <v>290</v>
      </c>
      <c r="G344" t="s">
        <v>628</v>
      </c>
      <c r="H344">
        <v>1376</v>
      </c>
      <c r="I344">
        <v>-4.0607227400273158E-2</v>
      </c>
      <c r="J344">
        <v>1320</v>
      </c>
      <c r="K344">
        <v>3692</v>
      </c>
      <c r="L344">
        <v>498</v>
      </c>
      <c r="V344" t="s">
        <v>1294</v>
      </c>
      <c r="W344">
        <v>27299</v>
      </c>
      <c r="X344">
        <v>1.1718790609370291</v>
      </c>
      <c r="Y344">
        <v>15</v>
      </c>
      <c r="Z344">
        <v>1697</v>
      </c>
      <c r="AA344">
        <v>2.6069342747396088E-2</v>
      </c>
      <c r="AB344">
        <v>0.97200448262628047</v>
      </c>
      <c r="AC344">
        <v>20.484457768679629</v>
      </c>
      <c r="AD344">
        <v>60</v>
      </c>
      <c r="AE344">
        <v>326.64</v>
      </c>
      <c r="AF344">
        <v>347.12</v>
      </c>
      <c r="AG344">
        <v>356.42</v>
      </c>
      <c r="AH344">
        <v>400.09</v>
      </c>
      <c r="AL344">
        <v>356.42</v>
      </c>
      <c r="AM344">
        <v>0.28933429239325198</v>
      </c>
      <c r="AN344">
        <v>501.53</v>
      </c>
      <c r="AO344">
        <v>145.11000000000001</v>
      </c>
      <c r="AP344">
        <v>0.2893</v>
      </c>
      <c r="AQ344">
        <v>0.7107</v>
      </c>
      <c r="AR344">
        <v>28007</v>
      </c>
      <c r="AS344">
        <v>2334</v>
      </c>
      <c r="AT344">
        <v>0.13150000000000001</v>
      </c>
      <c r="AU344">
        <v>24813</v>
      </c>
      <c r="AV344">
        <v>24813</v>
      </c>
      <c r="AW344">
        <v>25477</v>
      </c>
      <c r="AX344">
        <v>25477</v>
      </c>
      <c r="AY344">
        <v>0</v>
      </c>
      <c r="BA344">
        <v>0</v>
      </c>
      <c r="BB344">
        <v>0</v>
      </c>
      <c r="BC344">
        <v>0</v>
      </c>
      <c r="BD344">
        <v>0</v>
      </c>
      <c r="BE344">
        <v>0</v>
      </c>
    </row>
    <row r="345" spans="1:57" x14ac:dyDescent="0.35">
      <c r="A345" t="s">
        <v>1295</v>
      </c>
      <c r="B345" t="s">
        <v>1296</v>
      </c>
      <c r="C345" t="s">
        <v>606</v>
      </c>
      <c r="D345" t="s">
        <v>556</v>
      </c>
      <c r="E345" t="s">
        <v>551</v>
      </c>
      <c r="F345" t="s">
        <v>290</v>
      </c>
      <c r="G345" t="s">
        <v>551</v>
      </c>
      <c r="H345">
        <v>2673</v>
      </c>
      <c r="I345">
        <v>1.400627682457273E-4</v>
      </c>
      <c r="J345">
        <v>2673</v>
      </c>
      <c r="K345">
        <v>2321</v>
      </c>
      <c r="L345">
        <v>639</v>
      </c>
      <c r="V345" t="s">
        <v>1277</v>
      </c>
      <c r="W345">
        <v>25666</v>
      </c>
      <c r="X345">
        <v>0.87460740415994176</v>
      </c>
      <c r="Y345">
        <v>5</v>
      </c>
      <c r="Z345">
        <v>759</v>
      </c>
      <c r="AA345">
        <v>1.4386438397671619E-2</v>
      </c>
      <c r="AB345">
        <v>0.88083374665917669</v>
      </c>
      <c r="AC345">
        <v>18.356439246074409</v>
      </c>
      <c r="AD345">
        <v>45</v>
      </c>
      <c r="AE345">
        <v>805.24</v>
      </c>
      <c r="AF345">
        <v>823.6</v>
      </c>
      <c r="AG345">
        <v>835.62</v>
      </c>
      <c r="AH345">
        <v>254.41</v>
      </c>
      <c r="AL345">
        <v>835.62</v>
      </c>
      <c r="AM345">
        <v>0.1597448301652826</v>
      </c>
      <c r="AN345">
        <v>994.48</v>
      </c>
      <c r="AO345">
        <v>158.86000000000001</v>
      </c>
      <c r="AP345">
        <v>0.15970000000000001</v>
      </c>
      <c r="AQ345">
        <v>0.84030000000000005</v>
      </c>
      <c r="AR345">
        <v>33157</v>
      </c>
      <c r="AS345">
        <v>2763</v>
      </c>
      <c r="AT345">
        <v>0.17050000000000001</v>
      </c>
      <c r="AU345">
        <v>31475</v>
      </c>
      <c r="AV345">
        <v>31475</v>
      </c>
      <c r="AW345">
        <v>31934</v>
      </c>
      <c r="AX345">
        <v>31934</v>
      </c>
      <c r="AY345">
        <v>0</v>
      </c>
      <c r="BA345">
        <v>0</v>
      </c>
      <c r="BB345">
        <v>0</v>
      </c>
      <c r="BC345">
        <v>0</v>
      </c>
      <c r="BD345">
        <v>0</v>
      </c>
      <c r="BE345">
        <v>0</v>
      </c>
    </row>
    <row r="346" spans="1:57" x14ac:dyDescent="0.35">
      <c r="A346" t="s">
        <v>1297</v>
      </c>
      <c r="B346" t="s">
        <v>1298</v>
      </c>
      <c r="C346" t="s">
        <v>548</v>
      </c>
      <c r="D346" t="s">
        <v>556</v>
      </c>
      <c r="E346" t="s">
        <v>550</v>
      </c>
      <c r="F346" t="s">
        <v>290</v>
      </c>
      <c r="G346" t="s">
        <v>628</v>
      </c>
      <c r="H346">
        <v>1843</v>
      </c>
      <c r="I346">
        <v>6.0733708212612619E-3</v>
      </c>
      <c r="J346">
        <v>1854</v>
      </c>
      <c r="K346">
        <v>2609</v>
      </c>
      <c r="L346">
        <v>445</v>
      </c>
      <c r="V346" t="s">
        <v>1261</v>
      </c>
      <c r="W346">
        <v>6734</v>
      </c>
      <c r="X346">
        <v>0.86974657160199664</v>
      </c>
      <c r="Y346">
        <v>3</v>
      </c>
      <c r="Z346">
        <v>2059</v>
      </c>
      <c r="AA346">
        <v>1.6695943159420419E-2</v>
      </c>
      <c r="AB346">
        <v>0.98114219842314276</v>
      </c>
      <c r="AC346">
        <v>5.1629817153578443</v>
      </c>
      <c r="AD346">
        <v>60</v>
      </c>
      <c r="AE346">
        <v>1154.97</v>
      </c>
      <c r="AF346">
        <v>1160.1300000000001</v>
      </c>
      <c r="AG346">
        <v>1179.83</v>
      </c>
      <c r="AH346">
        <v>547.20000000000005</v>
      </c>
      <c r="AL346">
        <v>1179.83</v>
      </c>
      <c r="AM346">
        <v>0.31671184782641448</v>
      </c>
      <c r="AN346">
        <v>1726.69</v>
      </c>
      <c r="AO346">
        <v>546.86</v>
      </c>
      <c r="AP346">
        <v>0.31669999999999998</v>
      </c>
      <c r="AQ346">
        <v>0.68330000000000002</v>
      </c>
      <c r="AR346">
        <v>16970</v>
      </c>
      <c r="AS346">
        <v>1414</v>
      </c>
      <c r="AT346">
        <v>0.17599999999999999</v>
      </c>
      <c r="AU346">
        <v>14806</v>
      </c>
      <c r="AV346">
        <v>14806</v>
      </c>
      <c r="AW346">
        <v>15057</v>
      </c>
      <c r="AX346">
        <v>15057</v>
      </c>
      <c r="AY346">
        <v>0</v>
      </c>
      <c r="BA346">
        <v>0</v>
      </c>
      <c r="BB346">
        <v>0</v>
      </c>
      <c r="BC346">
        <v>0</v>
      </c>
      <c r="BD346">
        <v>0</v>
      </c>
      <c r="BE346">
        <v>0</v>
      </c>
    </row>
    <row r="347" spans="1:57" x14ac:dyDescent="0.35">
      <c r="A347" t="s">
        <v>1299</v>
      </c>
      <c r="B347" t="s">
        <v>1300</v>
      </c>
      <c r="C347" t="s">
        <v>606</v>
      </c>
      <c r="D347" t="s">
        <v>549</v>
      </c>
      <c r="E347" t="s">
        <v>551</v>
      </c>
      <c r="F347" t="s">
        <v>290</v>
      </c>
      <c r="G347" t="s">
        <v>566</v>
      </c>
      <c r="H347">
        <v>1036</v>
      </c>
      <c r="I347">
        <v>1.3203401522300141E-2</v>
      </c>
      <c r="J347">
        <v>1050</v>
      </c>
      <c r="K347">
        <v>8516</v>
      </c>
      <c r="L347">
        <v>942</v>
      </c>
      <c r="V347" t="s">
        <v>1301</v>
      </c>
      <c r="W347">
        <v>16363</v>
      </c>
      <c r="X347">
        <v>0.85714672716877638</v>
      </c>
      <c r="Y347">
        <v>5</v>
      </c>
      <c r="Z347">
        <v>1785</v>
      </c>
      <c r="AA347">
        <v>4.1436400030298104E-3</v>
      </c>
      <c r="AB347">
        <v>0.95107982811735547</v>
      </c>
      <c r="AC347">
        <v>23.586712307362259</v>
      </c>
      <c r="AD347">
        <v>30</v>
      </c>
      <c r="AE347">
        <v>1529.03</v>
      </c>
      <c r="AF347">
        <v>1552.62</v>
      </c>
      <c r="AG347">
        <v>1559.08</v>
      </c>
      <c r="AH347">
        <v>577.67999999999995</v>
      </c>
      <c r="AL347">
        <v>1559.08</v>
      </c>
      <c r="AM347">
        <v>0.23075683643852349</v>
      </c>
      <c r="AN347">
        <v>2026.77</v>
      </c>
      <c r="AO347">
        <v>467.69</v>
      </c>
      <c r="AP347">
        <v>0.23080000000000001</v>
      </c>
      <c r="AQ347">
        <v>0.76919999999999999</v>
      </c>
      <c r="AR347">
        <v>50315</v>
      </c>
      <c r="AS347">
        <v>4193</v>
      </c>
      <c r="AT347">
        <v>0.18210000000000001</v>
      </c>
      <c r="AU347">
        <v>42741</v>
      </c>
      <c r="AV347">
        <v>42741</v>
      </c>
      <c r="AW347">
        <v>42919</v>
      </c>
      <c r="AX347">
        <v>42919</v>
      </c>
      <c r="AY347">
        <v>0</v>
      </c>
      <c r="BA347">
        <v>0</v>
      </c>
      <c r="BB347">
        <v>0</v>
      </c>
      <c r="BC347">
        <v>0</v>
      </c>
      <c r="BD347">
        <v>0</v>
      </c>
      <c r="BE347">
        <v>0</v>
      </c>
    </row>
    <row r="348" spans="1:57" x14ac:dyDescent="0.35">
      <c r="A348" t="s">
        <v>1302</v>
      </c>
      <c r="B348" t="s">
        <v>1303</v>
      </c>
      <c r="C348" t="s">
        <v>548</v>
      </c>
      <c r="D348" t="s">
        <v>556</v>
      </c>
      <c r="E348" t="s">
        <v>550</v>
      </c>
      <c r="F348" t="s">
        <v>290</v>
      </c>
      <c r="G348" t="s">
        <v>551</v>
      </c>
      <c r="H348">
        <v>521</v>
      </c>
      <c r="I348">
        <v>4.8298800256980558E-2</v>
      </c>
      <c r="J348">
        <v>546</v>
      </c>
      <c r="K348">
        <v>1219</v>
      </c>
      <c r="L348">
        <v>242</v>
      </c>
      <c r="V348" t="s">
        <v>1304</v>
      </c>
      <c r="W348">
        <v>29829</v>
      </c>
      <c r="X348">
        <v>0.80367882064665186</v>
      </c>
      <c r="Y348">
        <v>27</v>
      </c>
      <c r="Z348">
        <v>198</v>
      </c>
      <c r="AA348">
        <v>3.8999225796702057E-2</v>
      </c>
      <c r="AB348">
        <v>0.88974893646324515</v>
      </c>
      <c r="AC348">
        <v>9.0233687879210489</v>
      </c>
      <c r="AD348">
        <v>30</v>
      </c>
      <c r="AE348">
        <v>588.19000000000005</v>
      </c>
      <c r="AF348">
        <v>597.22</v>
      </c>
      <c r="AG348">
        <v>621.45000000000005</v>
      </c>
      <c r="AH348">
        <v>1415.45</v>
      </c>
      <c r="AL348">
        <v>621.45000000000005</v>
      </c>
      <c r="AM348">
        <v>0.37447979673941639</v>
      </c>
      <c r="AN348">
        <v>993.49</v>
      </c>
      <c r="AO348">
        <v>372.04</v>
      </c>
      <c r="AP348">
        <v>0.3745</v>
      </c>
      <c r="AQ348">
        <v>0.62549999999999994</v>
      </c>
      <c r="AR348">
        <v>16362</v>
      </c>
      <c r="AS348">
        <v>1364</v>
      </c>
      <c r="AT348">
        <v>0.10829999999999999</v>
      </c>
      <c r="AU348">
        <v>15385</v>
      </c>
      <c r="AV348">
        <v>15385</v>
      </c>
      <c r="AW348">
        <v>16009</v>
      </c>
      <c r="AX348">
        <v>16009</v>
      </c>
      <c r="AY348">
        <v>0</v>
      </c>
      <c r="BA348">
        <v>0</v>
      </c>
      <c r="BB348">
        <v>0</v>
      </c>
      <c r="BC348">
        <v>0</v>
      </c>
      <c r="BD348">
        <v>0</v>
      </c>
      <c r="BE348">
        <v>0</v>
      </c>
    </row>
    <row r="349" spans="1:57" x14ac:dyDescent="0.35">
      <c r="A349" t="s">
        <v>1305</v>
      </c>
      <c r="B349" t="s">
        <v>1306</v>
      </c>
      <c r="C349" t="s">
        <v>606</v>
      </c>
      <c r="D349" t="s">
        <v>556</v>
      </c>
      <c r="E349" t="s">
        <v>551</v>
      </c>
      <c r="F349" t="s">
        <v>290</v>
      </c>
      <c r="G349" t="s">
        <v>551</v>
      </c>
      <c r="H349">
        <v>1766</v>
      </c>
      <c r="I349">
        <v>7.9399075328880506E-2</v>
      </c>
      <c r="J349">
        <v>1906</v>
      </c>
      <c r="K349">
        <v>2374</v>
      </c>
      <c r="L349">
        <v>539</v>
      </c>
      <c r="V349" t="s">
        <v>1274</v>
      </c>
      <c r="W349">
        <v>21448</v>
      </c>
      <c r="X349">
        <v>0.80625456269647766</v>
      </c>
      <c r="Y349">
        <v>11</v>
      </c>
      <c r="Z349">
        <v>2127</v>
      </c>
      <c r="AA349">
        <v>1.315255063928545E-2</v>
      </c>
      <c r="AB349">
        <v>0.85197117518011178</v>
      </c>
      <c r="AC349">
        <v>6.5733752940425187</v>
      </c>
      <c r="AD349">
        <v>45</v>
      </c>
      <c r="AE349">
        <v>400.43</v>
      </c>
      <c r="AF349">
        <v>407.01</v>
      </c>
      <c r="AG349">
        <v>412.43</v>
      </c>
      <c r="AH349">
        <v>1021.73</v>
      </c>
      <c r="AL349">
        <v>412.43</v>
      </c>
      <c r="AM349">
        <v>0.37202954723350901</v>
      </c>
      <c r="AN349">
        <v>656.77</v>
      </c>
      <c r="AO349">
        <v>244.34</v>
      </c>
      <c r="AP349">
        <v>0.372</v>
      </c>
      <c r="AQ349">
        <v>0.628</v>
      </c>
      <c r="AR349">
        <v>36164</v>
      </c>
      <c r="AS349">
        <v>3014</v>
      </c>
      <c r="AT349">
        <v>0.14460000000000001</v>
      </c>
      <c r="AU349">
        <v>34329</v>
      </c>
      <c r="AV349">
        <v>34329</v>
      </c>
      <c r="AW349">
        <v>34787</v>
      </c>
      <c r="AX349">
        <v>34787</v>
      </c>
      <c r="AY349">
        <v>0</v>
      </c>
      <c r="BA349">
        <v>0</v>
      </c>
      <c r="BB349">
        <v>0</v>
      </c>
      <c r="BC349">
        <v>0</v>
      </c>
      <c r="BD349">
        <v>0</v>
      </c>
      <c r="BE349">
        <v>0</v>
      </c>
    </row>
    <row r="350" spans="1:57" x14ac:dyDescent="0.35">
      <c r="A350" t="s">
        <v>1307</v>
      </c>
      <c r="B350" t="s">
        <v>1308</v>
      </c>
      <c r="C350" t="s">
        <v>562</v>
      </c>
      <c r="D350" t="s">
        <v>556</v>
      </c>
      <c r="E350" t="s">
        <v>551</v>
      </c>
      <c r="F350" t="s">
        <v>290</v>
      </c>
      <c r="G350" t="s">
        <v>558</v>
      </c>
      <c r="H350">
        <v>1134</v>
      </c>
      <c r="I350">
        <v>0.13975132063048271</v>
      </c>
      <c r="J350">
        <v>1292</v>
      </c>
      <c r="K350">
        <v>2113</v>
      </c>
      <c r="L350">
        <v>777</v>
      </c>
      <c r="V350" t="s">
        <v>1301</v>
      </c>
      <c r="W350">
        <v>16363</v>
      </c>
      <c r="X350">
        <v>0.85714672716877638</v>
      </c>
      <c r="Y350">
        <v>5</v>
      </c>
      <c r="Z350">
        <v>1785</v>
      </c>
      <c r="AA350">
        <v>4.1436400030298104E-3</v>
      </c>
      <c r="AB350">
        <v>0.95107982811735547</v>
      </c>
      <c r="AC350">
        <v>23.586712307362259</v>
      </c>
      <c r="AD350">
        <v>30</v>
      </c>
      <c r="AE350">
        <v>813.93</v>
      </c>
      <c r="AF350">
        <v>837.52</v>
      </c>
      <c r="AG350">
        <v>841</v>
      </c>
      <c r="AH350">
        <v>567.04</v>
      </c>
      <c r="AL350">
        <v>841</v>
      </c>
      <c r="AM350">
        <v>0.23132265459043691</v>
      </c>
      <c r="AN350">
        <v>1094.0899999999999</v>
      </c>
      <c r="AO350">
        <v>253.09</v>
      </c>
      <c r="AP350">
        <v>0.23130000000000001</v>
      </c>
      <c r="AQ350">
        <v>0.76870000000000005</v>
      </c>
      <c r="AR350">
        <v>29414</v>
      </c>
      <c r="AS350">
        <v>2451</v>
      </c>
      <c r="AT350">
        <v>0.18490000000000001</v>
      </c>
      <c r="AU350">
        <v>28078</v>
      </c>
      <c r="AV350">
        <v>28078</v>
      </c>
      <c r="AW350">
        <v>28195</v>
      </c>
      <c r="AX350">
        <v>28195</v>
      </c>
      <c r="AY350">
        <v>0</v>
      </c>
      <c r="BA350">
        <v>0</v>
      </c>
      <c r="BB350">
        <v>0</v>
      </c>
      <c r="BC350">
        <v>0</v>
      </c>
      <c r="BD350">
        <v>0</v>
      </c>
      <c r="BE350">
        <v>0</v>
      </c>
    </row>
    <row r="351" spans="1:57" x14ac:dyDescent="0.35">
      <c r="A351" t="s">
        <v>1309</v>
      </c>
      <c r="B351" t="s">
        <v>1310</v>
      </c>
      <c r="C351" t="s">
        <v>562</v>
      </c>
      <c r="D351" t="s">
        <v>556</v>
      </c>
      <c r="E351" t="s">
        <v>551</v>
      </c>
      <c r="F351" t="s">
        <v>290</v>
      </c>
      <c r="G351" t="s">
        <v>558</v>
      </c>
      <c r="H351">
        <v>203</v>
      </c>
      <c r="I351">
        <v>-4.9510614679630222E-3</v>
      </c>
      <c r="J351">
        <v>202</v>
      </c>
      <c r="K351">
        <v>5325</v>
      </c>
      <c r="L351">
        <v>1121</v>
      </c>
      <c r="V351" t="s">
        <v>1280</v>
      </c>
      <c r="W351">
        <v>6154</v>
      </c>
      <c r="X351">
        <v>1.1425297167512369</v>
      </c>
      <c r="Y351">
        <v>24</v>
      </c>
      <c r="Z351">
        <v>3291</v>
      </c>
      <c r="AA351">
        <v>3.5735263752916482E-2</v>
      </c>
      <c r="AB351">
        <v>0.96912998282745177</v>
      </c>
      <c r="AC351">
        <v>23.519604867081789</v>
      </c>
      <c r="AD351">
        <v>60</v>
      </c>
      <c r="AE351">
        <v>527.51</v>
      </c>
      <c r="AF351">
        <v>551.03</v>
      </c>
      <c r="AG351">
        <v>571.45000000000005</v>
      </c>
      <c r="AH351">
        <v>851.49</v>
      </c>
      <c r="AL351">
        <v>571.45000000000005</v>
      </c>
      <c r="AM351">
        <v>0.37524022392261702</v>
      </c>
      <c r="AN351">
        <v>914.67</v>
      </c>
      <c r="AO351">
        <v>343.22</v>
      </c>
      <c r="AP351">
        <v>0.37519999999999998</v>
      </c>
      <c r="AQ351">
        <v>0.62480000000000002</v>
      </c>
      <c r="AR351">
        <v>29327</v>
      </c>
      <c r="AS351">
        <v>2444</v>
      </c>
      <c r="AT351">
        <v>0.24490000000000001</v>
      </c>
      <c r="AU351">
        <v>25123</v>
      </c>
      <c r="AV351">
        <v>25123</v>
      </c>
      <c r="AW351">
        <v>26054</v>
      </c>
      <c r="AX351">
        <v>26054</v>
      </c>
      <c r="AY351">
        <v>0</v>
      </c>
      <c r="BA351">
        <v>0</v>
      </c>
      <c r="BB351">
        <v>0</v>
      </c>
      <c r="BC351">
        <v>0</v>
      </c>
      <c r="BD351">
        <v>0</v>
      </c>
      <c r="BE351">
        <v>0</v>
      </c>
    </row>
    <row r="352" spans="1:57" x14ac:dyDescent="0.35">
      <c r="A352" t="s">
        <v>1311</v>
      </c>
      <c r="B352" t="s">
        <v>1312</v>
      </c>
      <c r="C352" t="s">
        <v>606</v>
      </c>
      <c r="D352" t="s">
        <v>556</v>
      </c>
      <c r="E352" t="s">
        <v>557</v>
      </c>
      <c r="F352" t="s">
        <v>290</v>
      </c>
      <c r="G352" t="s">
        <v>558</v>
      </c>
      <c r="H352">
        <v>917</v>
      </c>
      <c r="I352">
        <v>0.15176772596667579</v>
      </c>
      <c r="J352">
        <v>1056</v>
      </c>
      <c r="K352">
        <v>5647</v>
      </c>
      <c r="L352">
        <v>836</v>
      </c>
      <c r="V352" t="s">
        <v>1201</v>
      </c>
      <c r="W352">
        <v>11776</v>
      </c>
      <c r="X352">
        <v>1.127205906368997</v>
      </c>
      <c r="Y352">
        <v>11</v>
      </c>
      <c r="Z352">
        <v>1382</v>
      </c>
      <c r="AA352">
        <v>2.264180960185247E-3</v>
      </c>
      <c r="AB352">
        <v>0.92150462236085917</v>
      </c>
      <c r="AC352">
        <v>11.600453072421921</v>
      </c>
      <c r="AD352">
        <v>90</v>
      </c>
      <c r="AE352">
        <v>948.92</v>
      </c>
      <c r="AF352">
        <v>960.52</v>
      </c>
      <c r="AG352">
        <v>962.7</v>
      </c>
      <c r="AH352">
        <v>273.93</v>
      </c>
      <c r="AL352">
        <v>962.7</v>
      </c>
      <c r="AM352">
        <v>0.3990394183746947</v>
      </c>
      <c r="AN352">
        <v>1601.94</v>
      </c>
      <c r="AO352">
        <v>639.24</v>
      </c>
      <c r="AP352">
        <v>0.39900000000000002</v>
      </c>
      <c r="AQ352">
        <v>0.60099999999999998</v>
      </c>
      <c r="AR352">
        <v>43699</v>
      </c>
      <c r="AS352">
        <v>3642</v>
      </c>
      <c r="AT352">
        <v>0.20369999999999999</v>
      </c>
      <c r="AU352">
        <v>38888</v>
      </c>
      <c r="AV352">
        <v>38888</v>
      </c>
      <c r="AW352">
        <v>38976</v>
      </c>
      <c r="AX352">
        <v>38976</v>
      </c>
      <c r="AY352">
        <v>0</v>
      </c>
      <c r="BA352">
        <v>0</v>
      </c>
      <c r="BB352">
        <v>0</v>
      </c>
      <c r="BC352">
        <v>0</v>
      </c>
      <c r="BD352">
        <v>0</v>
      </c>
      <c r="BE352">
        <v>0</v>
      </c>
    </row>
    <row r="353" spans="1:57" x14ac:dyDescent="0.35">
      <c r="A353" t="s">
        <v>1313</v>
      </c>
      <c r="B353" t="s">
        <v>1314</v>
      </c>
      <c r="C353" t="s">
        <v>555</v>
      </c>
      <c r="D353" t="s">
        <v>556</v>
      </c>
      <c r="E353" t="s">
        <v>550</v>
      </c>
      <c r="F353" t="s">
        <v>290</v>
      </c>
      <c r="G353" t="s">
        <v>558</v>
      </c>
      <c r="H353">
        <v>175</v>
      </c>
      <c r="I353">
        <v>0.1177638209649786</v>
      </c>
      <c r="J353">
        <v>196</v>
      </c>
      <c r="K353">
        <v>2286</v>
      </c>
      <c r="L353">
        <v>701</v>
      </c>
      <c r="V353" t="s">
        <v>1285</v>
      </c>
      <c r="W353">
        <v>5995</v>
      </c>
      <c r="X353">
        <v>1.0391599915244341</v>
      </c>
      <c r="Y353">
        <v>18</v>
      </c>
      <c r="Z353">
        <v>3442</v>
      </c>
      <c r="AA353">
        <v>5.3627150779729411E-3</v>
      </c>
      <c r="AB353">
        <v>0.87743760073868027</v>
      </c>
      <c r="AC353">
        <v>3.0402276449423762</v>
      </c>
      <c r="AD353">
        <v>90</v>
      </c>
      <c r="AE353">
        <v>1460.98</v>
      </c>
      <c r="AF353">
        <v>1464.02</v>
      </c>
      <c r="AG353">
        <v>1471.91</v>
      </c>
      <c r="AH353">
        <v>618.04</v>
      </c>
      <c r="AL353">
        <v>1471.91</v>
      </c>
      <c r="AM353">
        <v>0.35635391603098698</v>
      </c>
      <c r="AN353">
        <v>2286.83</v>
      </c>
      <c r="AO353">
        <v>814.92</v>
      </c>
      <c r="AP353">
        <v>0.35639999999999999</v>
      </c>
      <c r="AQ353">
        <v>0.64359999999999995</v>
      </c>
      <c r="AR353">
        <v>19037</v>
      </c>
      <c r="AS353">
        <v>1586</v>
      </c>
      <c r="AT353">
        <v>0.23680000000000001</v>
      </c>
      <c r="AU353">
        <v>17452</v>
      </c>
      <c r="AV353">
        <v>17452</v>
      </c>
      <c r="AW353">
        <v>17546</v>
      </c>
      <c r="AX353">
        <v>17546</v>
      </c>
      <c r="AY353">
        <v>0</v>
      </c>
      <c r="BA353">
        <v>0</v>
      </c>
      <c r="BB353">
        <v>0</v>
      </c>
      <c r="BC353">
        <v>0</v>
      </c>
      <c r="BD353">
        <v>0</v>
      </c>
      <c r="BE353">
        <v>0</v>
      </c>
    </row>
    <row r="354" spans="1:57" x14ac:dyDescent="0.35">
      <c r="A354" t="s">
        <v>1315</v>
      </c>
      <c r="B354" t="s">
        <v>1316</v>
      </c>
      <c r="C354" t="s">
        <v>562</v>
      </c>
      <c r="D354" t="s">
        <v>556</v>
      </c>
      <c r="E354" t="s">
        <v>551</v>
      </c>
      <c r="F354" t="s">
        <v>290</v>
      </c>
      <c r="G354" t="s">
        <v>551</v>
      </c>
      <c r="H354">
        <v>951</v>
      </c>
      <c r="I354">
        <v>4.6088759631033718E-2</v>
      </c>
      <c r="J354">
        <v>995</v>
      </c>
      <c r="K354">
        <v>2788</v>
      </c>
      <c r="L354">
        <v>1176</v>
      </c>
      <c r="V354" t="s">
        <v>1251</v>
      </c>
      <c r="W354">
        <v>5860</v>
      </c>
      <c r="X354">
        <v>0.87337391594646552</v>
      </c>
      <c r="Y354">
        <v>10</v>
      </c>
      <c r="Z354">
        <v>3872</v>
      </c>
      <c r="AA354">
        <v>2.4680306001966499E-2</v>
      </c>
      <c r="AB354">
        <v>0.91241658539950277</v>
      </c>
      <c r="AC354">
        <v>4.299423063814066</v>
      </c>
      <c r="AD354">
        <v>45</v>
      </c>
      <c r="AE354">
        <v>489.5</v>
      </c>
      <c r="AF354">
        <v>493.8</v>
      </c>
      <c r="AG354">
        <v>506.3</v>
      </c>
      <c r="AH354">
        <v>1091.1500000000001</v>
      </c>
      <c r="AL354">
        <v>506.3</v>
      </c>
      <c r="AM354">
        <v>0.36121783693880732</v>
      </c>
      <c r="AN354">
        <v>792.6</v>
      </c>
      <c r="AO354">
        <v>286.3</v>
      </c>
      <c r="AP354">
        <v>0.36120000000000002</v>
      </c>
      <c r="AQ354">
        <v>0.63880000000000003</v>
      </c>
      <c r="AR354">
        <v>42241</v>
      </c>
      <c r="AS354">
        <v>3520</v>
      </c>
      <c r="AT354">
        <v>0.20960000000000001</v>
      </c>
      <c r="AU354">
        <v>40629</v>
      </c>
      <c r="AV354">
        <v>40629</v>
      </c>
      <c r="AW354">
        <v>41657</v>
      </c>
      <c r="AX354">
        <v>41657</v>
      </c>
      <c r="AY354">
        <v>0</v>
      </c>
      <c r="BA354">
        <v>0</v>
      </c>
      <c r="BB354">
        <v>0</v>
      </c>
      <c r="BC354">
        <v>0</v>
      </c>
      <c r="BD354">
        <v>0</v>
      </c>
      <c r="BE354">
        <v>0</v>
      </c>
    </row>
    <row r="355" spans="1:57" x14ac:dyDescent="0.35">
      <c r="A355" t="s">
        <v>1317</v>
      </c>
      <c r="B355" t="s">
        <v>1318</v>
      </c>
      <c r="C355" t="s">
        <v>606</v>
      </c>
      <c r="D355" t="s">
        <v>556</v>
      </c>
      <c r="E355" t="s">
        <v>551</v>
      </c>
      <c r="F355" t="s">
        <v>290</v>
      </c>
      <c r="G355" t="s">
        <v>558</v>
      </c>
      <c r="H355">
        <v>1399</v>
      </c>
      <c r="I355">
        <v>8.9745158524943511E-2</v>
      </c>
      <c r="J355">
        <v>1525</v>
      </c>
      <c r="K355">
        <v>6672</v>
      </c>
      <c r="L355">
        <v>768</v>
      </c>
      <c r="V355" t="s">
        <v>1230</v>
      </c>
      <c r="W355">
        <v>13529</v>
      </c>
      <c r="X355">
        <v>1.0158768529556319</v>
      </c>
      <c r="Y355">
        <v>26</v>
      </c>
      <c r="Z355">
        <v>4093</v>
      </c>
      <c r="AA355">
        <v>3.8679701676037237E-2</v>
      </c>
      <c r="AB355">
        <v>0.93498479467613582</v>
      </c>
      <c r="AC355">
        <v>8.3479811865184974</v>
      </c>
      <c r="AD355">
        <v>90</v>
      </c>
      <c r="AE355">
        <v>935.6</v>
      </c>
      <c r="AF355">
        <v>943.95</v>
      </c>
      <c r="AG355">
        <v>981.93</v>
      </c>
      <c r="AH355">
        <v>163.65</v>
      </c>
      <c r="AL355">
        <v>981.93</v>
      </c>
      <c r="AM355">
        <v>0.2122521840272725</v>
      </c>
      <c r="AN355">
        <v>1246.5</v>
      </c>
      <c r="AO355">
        <v>264.57</v>
      </c>
      <c r="AP355">
        <v>0.21229999999999999</v>
      </c>
      <c r="AQ355">
        <v>0.78769999999999996</v>
      </c>
      <c r="AR355">
        <v>45254</v>
      </c>
      <c r="AS355">
        <v>3771</v>
      </c>
      <c r="AT355">
        <v>0.18060000000000001</v>
      </c>
      <c r="AU355">
        <v>39350</v>
      </c>
      <c r="AV355">
        <v>39350</v>
      </c>
      <c r="AW355">
        <v>40933</v>
      </c>
      <c r="AX355">
        <v>40933</v>
      </c>
      <c r="AY355">
        <v>0</v>
      </c>
      <c r="BA355">
        <v>0</v>
      </c>
      <c r="BB355">
        <v>0</v>
      </c>
      <c r="BC355">
        <v>0</v>
      </c>
      <c r="BD355">
        <v>0</v>
      </c>
      <c r="BE355">
        <v>0</v>
      </c>
    </row>
    <row r="356" spans="1:57" x14ac:dyDescent="0.35">
      <c r="A356" t="s">
        <v>1319</v>
      </c>
      <c r="B356" t="s">
        <v>1320</v>
      </c>
      <c r="C356" t="s">
        <v>606</v>
      </c>
      <c r="D356" t="s">
        <v>556</v>
      </c>
      <c r="E356" t="s">
        <v>551</v>
      </c>
      <c r="F356" t="s">
        <v>290</v>
      </c>
      <c r="G356" t="s">
        <v>551</v>
      </c>
      <c r="H356">
        <v>835</v>
      </c>
      <c r="I356">
        <v>0.1656601177872947</v>
      </c>
      <c r="J356">
        <v>973</v>
      </c>
      <c r="K356">
        <v>5503</v>
      </c>
      <c r="L356">
        <v>409</v>
      </c>
      <c r="V356" t="s">
        <v>1321</v>
      </c>
      <c r="W356">
        <v>17666</v>
      </c>
      <c r="X356">
        <v>0.82961786069363619</v>
      </c>
      <c r="Y356">
        <v>9</v>
      </c>
      <c r="Z356">
        <v>3199</v>
      </c>
      <c r="AA356">
        <v>3.4797930183272548E-2</v>
      </c>
      <c r="AB356">
        <v>0.93726173775585808</v>
      </c>
      <c r="AC356">
        <v>9.6106545716109313</v>
      </c>
      <c r="AD356">
        <v>90</v>
      </c>
      <c r="AE356">
        <v>767.47</v>
      </c>
      <c r="AF356">
        <v>777.08</v>
      </c>
      <c r="AG356">
        <v>805.1</v>
      </c>
      <c r="AH356">
        <v>239.78</v>
      </c>
      <c r="AL356">
        <v>805.1</v>
      </c>
      <c r="AM356">
        <v>0.29417559971443907</v>
      </c>
      <c r="AN356">
        <v>1140.6500000000001</v>
      </c>
      <c r="AO356">
        <v>335.55</v>
      </c>
      <c r="AP356">
        <v>0.29420000000000002</v>
      </c>
      <c r="AQ356">
        <v>0.70579999999999998</v>
      </c>
      <c r="AR356">
        <v>30540</v>
      </c>
      <c r="AS356">
        <v>2545</v>
      </c>
      <c r="AT356">
        <v>0.11260000000000001</v>
      </c>
      <c r="AU356">
        <v>25446</v>
      </c>
      <c r="AV356">
        <v>25446</v>
      </c>
      <c r="AW356">
        <v>26363</v>
      </c>
      <c r="AX356">
        <v>26363</v>
      </c>
      <c r="AY356">
        <v>0</v>
      </c>
      <c r="BA356">
        <v>0</v>
      </c>
      <c r="BB356">
        <v>0</v>
      </c>
      <c r="BC356">
        <v>0</v>
      </c>
      <c r="BD356">
        <v>0</v>
      </c>
      <c r="BE356">
        <v>0</v>
      </c>
    </row>
    <row r="357" spans="1:57" x14ac:dyDescent="0.35">
      <c r="A357" t="s">
        <v>1322</v>
      </c>
      <c r="B357" t="s">
        <v>1323</v>
      </c>
      <c r="C357" t="s">
        <v>606</v>
      </c>
      <c r="D357" t="s">
        <v>556</v>
      </c>
      <c r="E357" t="s">
        <v>551</v>
      </c>
      <c r="F357" t="s">
        <v>290</v>
      </c>
      <c r="G357" t="s">
        <v>566</v>
      </c>
      <c r="H357">
        <v>247</v>
      </c>
      <c r="I357">
        <v>0.1192881031144184</v>
      </c>
      <c r="J357">
        <v>276</v>
      </c>
      <c r="K357">
        <v>3784</v>
      </c>
      <c r="L357">
        <v>406</v>
      </c>
      <c r="V357" t="s">
        <v>1277</v>
      </c>
      <c r="W357">
        <v>25666</v>
      </c>
      <c r="X357">
        <v>0.87460740415994176</v>
      </c>
      <c r="Y357">
        <v>5</v>
      </c>
      <c r="Z357">
        <v>759</v>
      </c>
      <c r="AA357">
        <v>1.4386438397671619E-2</v>
      </c>
      <c r="AB357">
        <v>0.88083374665917669</v>
      </c>
      <c r="AC357">
        <v>18.356439246074409</v>
      </c>
      <c r="AD357">
        <v>45</v>
      </c>
      <c r="AE357">
        <v>170.98</v>
      </c>
      <c r="AF357">
        <v>189.34</v>
      </c>
      <c r="AG357">
        <v>192.1</v>
      </c>
      <c r="AH357">
        <v>368.28</v>
      </c>
      <c r="AL357">
        <v>192.1</v>
      </c>
      <c r="AM357">
        <v>0.16681397849184201</v>
      </c>
      <c r="AN357">
        <v>230.56</v>
      </c>
      <c r="AO357">
        <v>38.46</v>
      </c>
      <c r="AP357">
        <v>0.1668</v>
      </c>
      <c r="AQ357">
        <v>0.83320000000000005</v>
      </c>
      <c r="AR357">
        <v>21719</v>
      </c>
      <c r="AS357">
        <v>1810</v>
      </c>
      <c r="AT357">
        <v>0.1933</v>
      </c>
      <c r="AU357">
        <v>18341</v>
      </c>
      <c r="AV357">
        <v>18341</v>
      </c>
      <c r="AW357">
        <v>18609</v>
      </c>
      <c r="AX357">
        <v>18609</v>
      </c>
      <c r="AY357">
        <v>0</v>
      </c>
      <c r="BA357">
        <v>0</v>
      </c>
      <c r="BB357">
        <v>0</v>
      </c>
      <c r="BC357">
        <v>0</v>
      </c>
      <c r="BD357">
        <v>0</v>
      </c>
      <c r="BE357">
        <v>0</v>
      </c>
    </row>
    <row r="358" spans="1:57" x14ac:dyDescent="0.35">
      <c r="A358" t="s">
        <v>1324</v>
      </c>
      <c r="B358" t="s">
        <v>1325</v>
      </c>
      <c r="C358" t="s">
        <v>555</v>
      </c>
      <c r="D358" t="s">
        <v>549</v>
      </c>
      <c r="E358" t="s">
        <v>551</v>
      </c>
      <c r="F358" t="s">
        <v>290</v>
      </c>
      <c r="G358" t="s">
        <v>628</v>
      </c>
      <c r="H358">
        <v>874</v>
      </c>
      <c r="I358">
        <v>9.293649578593717E-2</v>
      </c>
      <c r="J358">
        <v>955</v>
      </c>
      <c r="K358">
        <v>8088</v>
      </c>
      <c r="L358">
        <v>1481</v>
      </c>
      <c r="V358" t="s">
        <v>1189</v>
      </c>
      <c r="W358">
        <v>15173</v>
      </c>
      <c r="X358">
        <v>1.0157368967662599</v>
      </c>
      <c r="Y358">
        <v>28</v>
      </c>
      <c r="Z358">
        <v>2138</v>
      </c>
      <c r="AA358">
        <v>3.6051469397092743E-2</v>
      </c>
      <c r="AB358">
        <v>0.89452048649606097</v>
      </c>
      <c r="AC358">
        <v>4.5311942641365652</v>
      </c>
      <c r="AD358">
        <v>15</v>
      </c>
      <c r="AE358">
        <v>1660.06</v>
      </c>
      <c r="AF358">
        <v>1664.59</v>
      </c>
      <c r="AG358">
        <v>1726.85</v>
      </c>
      <c r="AH358">
        <v>468.19</v>
      </c>
      <c r="AL358">
        <v>1726.85</v>
      </c>
      <c r="AM358">
        <v>0.17372948420541739</v>
      </c>
      <c r="AN358">
        <v>2089.9299999999998</v>
      </c>
      <c r="AO358">
        <v>363.08</v>
      </c>
      <c r="AP358">
        <v>0.17369999999999999</v>
      </c>
      <c r="AQ358">
        <v>0.82630000000000003</v>
      </c>
      <c r="AR358">
        <v>56203</v>
      </c>
      <c r="AS358">
        <v>4684</v>
      </c>
      <c r="AT358">
        <v>0.186</v>
      </c>
      <c r="AU358">
        <v>49596</v>
      </c>
      <c r="AV358">
        <v>49596</v>
      </c>
      <c r="AW358">
        <v>51451</v>
      </c>
      <c r="AX358">
        <v>51451</v>
      </c>
      <c r="AY358">
        <v>0</v>
      </c>
      <c r="BA358">
        <v>0</v>
      </c>
      <c r="BB358">
        <v>0</v>
      </c>
      <c r="BC358">
        <v>0</v>
      </c>
      <c r="BD358">
        <v>0</v>
      </c>
      <c r="BE358">
        <v>0</v>
      </c>
    </row>
    <row r="359" spans="1:57" x14ac:dyDescent="0.35">
      <c r="A359" t="s">
        <v>1326</v>
      </c>
      <c r="B359" t="s">
        <v>1327</v>
      </c>
      <c r="C359" t="s">
        <v>573</v>
      </c>
      <c r="D359" t="s">
        <v>556</v>
      </c>
      <c r="E359" t="s">
        <v>551</v>
      </c>
      <c r="F359" t="s">
        <v>290</v>
      </c>
      <c r="G359" t="s">
        <v>628</v>
      </c>
      <c r="H359">
        <v>625</v>
      </c>
      <c r="I359">
        <v>4.7670527746484788E-2</v>
      </c>
      <c r="J359">
        <v>655</v>
      </c>
      <c r="K359">
        <v>2457</v>
      </c>
      <c r="L359">
        <v>1072</v>
      </c>
      <c r="V359" t="s">
        <v>1328</v>
      </c>
      <c r="W359">
        <v>24457</v>
      </c>
      <c r="X359">
        <v>0.97006234979649786</v>
      </c>
      <c r="Y359">
        <v>24</v>
      </c>
      <c r="Z359">
        <v>3943</v>
      </c>
      <c r="AA359">
        <v>9.0244693099700273E-3</v>
      </c>
      <c r="AB359">
        <v>0.98574184788703823</v>
      </c>
      <c r="AC359">
        <v>19.82805493730563</v>
      </c>
      <c r="AD359">
        <v>30</v>
      </c>
      <c r="AE359">
        <v>626.54999999999995</v>
      </c>
      <c r="AF359">
        <v>646.37</v>
      </c>
      <c r="AG359">
        <v>652.26</v>
      </c>
      <c r="AH359">
        <v>340.51</v>
      </c>
      <c r="AL359">
        <v>652.26</v>
      </c>
      <c r="AM359">
        <v>0.39972315300832262</v>
      </c>
      <c r="AN359">
        <v>1086.5999999999999</v>
      </c>
      <c r="AO359">
        <v>434.34</v>
      </c>
      <c r="AP359">
        <v>0.3997</v>
      </c>
      <c r="AQ359">
        <v>0.60029999999999994</v>
      </c>
      <c r="AR359">
        <v>40081</v>
      </c>
      <c r="AS359">
        <v>3340</v>
      </c>
      <c r="AT359">
        <v>0.18240000000000001</v>
      </c>
      <c r="AU359">
        <v>38696</v>
      </c>
      <c r="AV359">
        <v>38696</v>
      </c>
      <c r="AW359">
        <v>39048</v>
      </c>
      <c r="AX359">
        <v>39048</v>
      </c>
      <c r="AY359">
        <v>0</v>
      </c>
      <c r="BA359">
        <v>0</v>
      </c>
      <c r="BB359">
        <v>0</v>
      </c>
      <c r="BC359">
        <v>0</v>
      </c>
      <c r="BD359">
        <v>0</v>
      </c>
      <c r="BE359">
        <v>0</v>
      </c>
    </row>
    <row r="360" spans="1:57" x14ac:dyDescent="0.35">
      <c r="A360" t="s">
        <v>1329</v>
      </c>
      <c r="B360" t="s">
        <v>1330</v>
      </c>
      <c r="C360" t="s">
        <v>555</v>
      </c>
      <c r="D360" t="s">
        <v>549</v>
      </c>
      <c r="E360" t="s">
        <v>551</v>
      </c>
      <c r="F360" t="s">
        <v>290</v>
      </c>
      <c r="G360" t="s">
        <v>558</v>
      </c>
      <c r="H360">
        <v>1387</v>
      </c>
      <c r="I360">
        <v>0.14593996062102679</v>
      </c>
      <c r="J360">
        <v>1589</v>
      </c>
      <c r="K360">
        <v>1762</v>
      </c>
      <c r="L360">
        <v>397</v>
      </c>
      <c r="V360" t="s">
        <v>1186</v>
      </c>
      <c r="W360">
        <v>16296</v>
      </c>
      <c r="X360">
        <v>1.01701609222196</v>
      </c>
      <c r="Y360">
        <v>29</v>
      </c>
      <c r="Z360">
        <v>4665</v>
      </c>
      <c r="AA360">
        <v>1.2077689971905571E-2</v>
      </c>
      <c r="AB360">
        <v>0.88415855007307165</v>
      </c>
      <c r="AC360">
        <v>24.379242759306251</v>
      </c>
      <c r="AD360">
        <v>90</v>
      </c>
      <c r="AE360">
        <v>1530.59</v>
      </c>
      <c r="AF360">
        <v>1554.97</v>
      </c>
      <c r="AG360">
        <v>1573.98</v>
      </c>
      <c r="AH360">
        <v>1378.24</v>
      </c>
      <c r="AL360">
        <v>1573.98</v>
      </c>
      <c r="AM360">
        <v>0.2316598123564777</v>
      </c>
      <c r="AN360">
        <v>2048.5500000000002</v>
      </c>
      <c r="AO360">
        <v>474.57</v>
      </c>
      <c r="AP360">
        <v>0.23169999999999999</v>
      </c>
      <c r="AQ360">
        <v>0.76829999999999998</v>
      </c>
      <c r="AR360">
        <v>26350</v>
      </c>
      <c r="AS360">
        <v>2196</v>
      </c>
      <c r="AT360">
        <v>0.1633</v>
      </c>
      <c r="AU360">
        <v>24985</v>
      </c>
      <c r="AV360">
        <v>24985</v>
      </c>
      <c r="AW360">
        <v>25290</v>
      </c>
      <c r="AX360">
        <v>25290</v>
      </c>
      <c r="AY360">
        <v>0</v>
      </c>
      <c r="BA360">
        <v>0</v>
      </c>
      <c r="BB360">
        <v>0</v>
      </c>
      <c r="BC360">
        <v>0</v>
      </c>
      <c r="BD360">
        <v>0</v>
      </c>
      <c r="BE360">
        <v>0</v>
      </c>
    </row>
    <row r="361" spans="1:57" x14ac:dyDescent="0.35">
      <c r="A361" t="s">
        <v>1331</v>
      </c>
      <c r="B361" t="s">
        <v>1332</v>
      </c>
      <c r="C361" t="s">
        <v>555</v>
      </c>
      <c r="D361" t="s">
        <v>549</v>
      </c>
      <c r="E361" t="s">
        <v>557</v>
      </c>
      <c r="F361" t="s">
        <v>290</v>
      </c>
      <c r="G361" t="s">
        <v>628</v>
      </c>
      <c r="H361">
        <v>951</v>
      </c>
      <c r="I361">
        <v>0.19551238425399059</v>
      </c>
      <c r="J361">
        <v>1137</v>
      </c>
      <c r="K361">
        <v>4764</v>
      </c>
      <c r="L361">
        <v>1770</v>
      </c>
      <c r="V361" t="s">
        <v>1274</v>
      </c>
      <c r="W361">
        <v>21448</v>
      </c>
      <c r="X361">
        <v>0.80625456269647766</v>
      </c>
      <c r="Y361">
        <v>11</v>
      </c>
      <c r="Z361">
        <v>2127</v>
      </c>
      <c r="AA361">
        <v>1.315255063928545E-2</v>
      </c>
      <c r="AB361">
        <v>0.85197117518011178</v>
      </c>
      <c r="AC361">
        <v>6.5733752940425187</v>
      </c>
      <c r="AD361">
        <v>45</v>
      </c>
      <c r="AE361">
        <v>389.47</v>
      </c>
      <c r="AF361">
        <v>396.05</v>
      </c>
      <c r="AG361">
        <v>401.32</v>
      </c>
      <c r="AH361">
        <v>946.57</v>
      </c>
      <c r="AL361">
        <v>401.32</v>
      </c>
      <c r="AM361">
        <v>0.33704597801221159</v>
      </c>
      <c r="AN361">
        <v>605.35</v>
      </c>
      <c r="AO361">
        <v>204.03</v>
      </c>
      <c r="AP361">
        <v>0.33700000000000002</v>
      </c>
      <c r="AQ361">
        <v>0.66300000000000003</v>
      </c>
      <c r="AR361">
        <v>82999</v>
      </c>
      <c r="AS361">
        <v>6917</v>
      </c>
      <c r="AT361">
        <v>0.1699</v>
      </c>
      <c r="AU361">
        <v>80005</v>
      </c>
      <c r="AV361">
        <v>80005</v>
      </c>
      <c r="AW361">
        <v>81071</v>
      </c>
      <c r="AX361">
        <v>81071</v>
      </c>
      <c r="AY361">
        <v>0</v>
      </c>
      <c r="BA361">
        <v>0</v>
      </c>
      <c r="BB361">
        <v>0</v>
      </c>
      <c r="BC361">
        <v>0</v>
      </c>
      <c r="BD361">
        <v>0</v>
      </c>
      <c r="BE361">
        <v>0</v>
      </c>
    </row>
    <row r="362" spans="1:57" x14ac:dyDescent="0.35">
      <c r="A362" t="s">
        <v>1333</v>
      </c>
      <c r="B362" t="s">
        <v>1334</v>
      </c>
      <c r="C362" t="s">
        <v>606</v>
      </c>
      <c r="D362" t="s">
        <v>556</v>
      </c>
      <c r="E362" t="s">
        <v>551</v>
      </c>
      <c r="F362" t="s">
        <v>290</v>
      </c>
      <c r="G362" t="s">
        <v>551</v>
      </c>
      <c r="H362">
        <v>903</v>
      </c>
      <c r="I362">
        <v>1.9463194022428059E-2</v>
      </c>
      <c r="J362">
        <v>921</v>
      </c>
      <c r="K362">
        <v>4167</v>
      </c>
      <c r="L362">
        <v>973</v>
      </c>
      <c r="V362" t="s">
        <v>1261</v>
      </c>
      <c r="W362">
        <v>6734</v>
      </c>
      <c r="X362">
        <v>0.86974657160199664</v>
      </c>
      <c r="Y362">
        <v>3</v>
      </c>
      <c r="Z362">
        <v>2059</v>
      </c>
      <c r="AA362">
        <v>1.6695943159420419E-2</v>
      </c>
      <c r="AB362">
        <v>0.98114219842314276</v>
      </c>
      <c r="AC362">
        <v>5.1629817153578443</v>
      </c>
      <c r="AD362">
        <v>60</v>
      </c>
      <c r="AE362">
        <v>941.92</v>
      </c>
      <c r="AF362">
        <v>947.09</v>
      </c>
      <c r="AG362">
        <v>963.17</v>
      </c>
      <c r="AH362">
        <v>1087.31</v>
      </c>
      <c r="AL362">
        <v>963.17</v>
      </c>
      <c r="AM362">
        <v>0.35166626325670408</v>
      </c>
      <c r="AN362">
        <v>1485.61</v>
      </c>
      <c r="AO362">
        <v>522.44000000000005</v>
      </c>
      <c r="AP362">
        <v>0.35170000000000001</v>
      </c>
      <c r="AQ362">
        <v>0.64829999999999999</v>
      </c>
      <c r="AR362">
        <v>47021</v>
      </c>
      <c r="AS362">
        <v>3918</v>
      </c>
      <c r="AT362">
        <v>0.13689999999999999</v>
      </c>
      <c r="AU362">
        <v>43827</v>
      </c>
      <c r="AV362">
        <v>43827</v>
      </c>
      <c r="AW362">
        <v>44571</v>
      </c>
      <c r="AX362">
        <v>44571</v>
      </c>
      <c r="AY362">
        <v>0</v>
      </c>
      <c r="BA362">
        <v>0</v>
      </c>
      <c r="BB362">
        <v>0</v>
      </c>
      <c r="BC362">
        <v>0</v>
      </c>
      <c r="BD362">
        <v>0</v>
      </c>
      <c r="BE362">
        <v>0</v>
      </c>
    </row>
    <row r="363" spans="1:57" x14ac:dyDescent="0.35">
      <c r="A363" t="s">
        <v>1335</v>
      </c>
      <c r="B363" t="s">
        <v>1336</v>
      </c>
      <c r="C363" t="s">
        <v>555</v>
      </c>
      <c r="D363" t="s">
        <v>549</v>
      </c>
      <c r="E363" t="s">
        <v>557</v>
      </c>
      <c r="F363" t="s">
        <v>290</v>
      </c>
      <c r="G363" t="s">
        <v>551</v>
      </c>
      <c r="H363">
        <v>1517</v>
      </c>
      <c r="I363">
        <v>8.6946173595829859E-2</v>
      </c>
      <c r="J363">
        <v>1649</v>
      </c>
      <c r="K363">
        <v>4667</v>
      </c>
      <c r="L363">
        <v>1802</v>
      </c>
      <c r="V363" t="s">
        <v>1280</v>
      </c>
      <c r="W363">
        <v>6154</v>
      </c>
      <c r="X363">
        <v>1.1425297167512369</v>
      </c>
      <c r="Y363">
        <v>24</v>
      </c>
      <c r="Z363">
        <v>3291</v>
      </c>
      <c r="AA363">
        <v>3.5735263752916482E-2</v>
      </c>
      <c r="AB363">
        <v>0.96912998282745177</v>
      </c>
      <c r="AC363">
        <v>23.519604867081789</v>
      </c>
      <c r="AD363">
        <v>60</v>
      </c>
      <c r="AE363">
        <v>652.65</v>
      </c>
      <c r="AF363">
        <v>676.17</v>
      </c>
      <c r="AG363">
        <v>701.23</v>
      </c>
      <c r="AH363">
        <v>1163</v>
      </c>
      <c r="AL363">
        <v>701.23</v>
      </c>
      <c r="AM363">
        <v>0.36450581775180729</v>
      </c>
      <c r="AN363">
        <v>1103.44</v>
      </c>
      <c r="AO363">
        <v>402.21</v>
      </c>
      <c r="AP363">
        <v>0.36449999999999999</v>
      </c>
      <c r="AQ363">
        <v>0.63549999999999995</v>
      </c>
      <c r="AR363">
        <v>66343</v>
      </c>
      <c r="AS363">
        <v>5529</v>
      </c>
      <c r="AT363">
        <v>0.16830000000000001</v>
      </c>
      <c r="AU363">
        <v>63478</v>
      </c>
      <c r="AV363">
        <v>63478</v>
      </c>
      <c r="AW363">
        <v>65830</v>
      </c>
      <c r="AX363">
        <v>65830</v>
      </c>
      <c r="AY363">
        <v>0</v>
      </c>
      <c r="BA363">
        <v>0</v>
      </c>
      <c r="BB363">
        <v>0</v>
      </c>
      <c r="BC363">
        <v>0</v>
      </c>
      <c r="BD363">
        <v>0</v>
      </c>
      <c r="BE363">
        <v>0</v>
      </c>
    </row>
    <row r="364" spans="1:57" x14ac:dyDescent="0.35">
      <c r="A364" t="s">
        <v>1337</v>
      </c>
      <c r="B364" t="s">
        <v>1338</v>
      </c>
      <c r="C364" t="s">
        <v>562</v>
      </c>
      <c r="D364" t="s">
        <v>556</v>
      </c>
      <c r="E364" t="s">
        <v>551</v>
      </c>
      <c r="F364" t="s">
        <v>290</v>
      </c>
      <c r="G364" t="s">
        <v>566</v>
      </c>
      <c r="H364">
        <v>1082</v>
      </c>
      <c r="I364">
        <v>1.6069065789659821E-2</v>
      </c>
      <c r="J364">
        <v>1099</v>
      </c>
      <c r="K364">
        <v>3860</v>
      </c>
      <c r="L364">
        <v>621</v>
      </c>
      <c r="V364" t="s">
        <v>1198</v>
      </c>
      <c r="W364">
        <v>11420</v>
      </c>
      <c r="X364">
        <v>1.0469926038510871</v>
      </c>
      <c r="Y364">
        <v>28</v>
      </c>
      <c r="Z364">
        <v>4217</v>
      </c>
      <c r="AA364">
        <v>2.2685195983492609E-3</v>
      </c>
      <c r="AB364">
        <v>0.85322873950579814</v>
      </c>
      <c r="AC364">
        <v>14.06981718594295</v>
      </c>
      <c r="AD364">
        <v>30</v>
      </c>
      <c r="AE364">
        <v>96.47</v>
      </c>
      <c r="AF364">
        <v>110.54</v>
      </c>
      <c r="AG364">
        <v>110.79</v>
      </c>
      <c r="AH364">
        <v>508.91</v>
      </c>
      <c r="AL364">
        <v>110.79</v>
      </c>
      <c r="AM364">
        <v>0.39940707435053913</v>
      </c>
      <c r="AN364">
        <v>184.47</v>
      </c>
      <c r="AO364">
        <v>73.680000000000007</v>
      </c>
      <c r="AP364">
        <v>0.39939999999999998</v>
      </c>
      <c r="AQ364">
        <v>0.60060000000000002</v>
      </c>
      <c r="AR364">
        <v>43369</v>
      </c>
      <c r="AS364">
        <v>3614</v>
      </c>
      <c r="AT364">
        <v>0.11360000000000001</v>
      </c>
      <c r="AU364">
        <v>40130</v>
      </c>
      <c r="AV364">
        <v>40130</v>
      </c>
      <c r="AW364">
        <v>40221</v>
      </c>
      <c r="AX364">
        <v>40221</v>
      </c>
      <c r="AY364">
        <v>0</v>
      </c>
      <c r="BA364">
        <v>0</v>
      </c>
      <c r="BB364">
        <v>0</v>
      </c>
      <c r="BC364">
        <v>0</v>
      </c>
      <c r="BD364">
        <v>0</v>
      </c>
      <c r="BE364">
        <v>0</v>
      </c>
    </row>
    <row r="365" spans="1:57" x14ac:dyDescent="0.35">
      <c r="A365" t="s">
        <v>1339</v>
      </c>
      <c r="B365" t="s">
        <v>1340</v>
      </c>
      <c r="C365" t="s">
        <v>562</v>
      </c>
      <c r="D365" t="s">
        <v>556</v>
      </c>
      <c r="E365" t="s">
        <v>557</v>
      </c>
      <c r="F365" t="s">
        <v>290</v>
      </c>
      <c r="G365" t="s">
        <v>551</v>
      </c>
      <c r="H365">
        <v>394</v>
      </c>
      <c r="I365">
        <v>-6.9723492943055826E-3</v>
      </c>
      <c r="J365">
        <v>391</v>
      </c>
      <c r="K365">
        <v>7024</v>
      </c>
      <c r="L365">
        <v>2298</v>
      </c>
      <c r="V365" t="s">
        <v>1268</v>
      </c>
      <c r="W365">
        <v>18545</v>
      </c>
      <c r="X365">
        <v>0.93504606856145123</v>
      </c>
      <c r="Y365">
        <v>17</v>
      </c>
      <c r="Z365">
        <v>3545</v>
      </c>
      <c r="AA365">
        <v>1.0313040343776669E-2</v>
      </c>
      <c r="AB365">
        <v>0.92813428028242773</v>
      </c>
      <c r="AC365">
        <v>11.28823193433494</v>
      </c>
      <c r="AD365">
        <v>15</v>
      </c>
      <c r="AE365">
        <v>767.22</v>
      </c>
      <c r="AF365">
        <v>778.51</v>
      </c>
      <c r="AG365">
        <v>786.63</v>
      </c>
      <c r="AH365">
        <v>316.8</v>
      </c>
      <c r="AL365">
        <v>786.63</v>
      </c>
      <c r="AM365">
        <v>0.21037412131421701</v>
      </c>
      <c r="AN365">
        <v>996.21</v>
      </c>
      <c r="AO365">
        <v>209.58</v>
      </c>
      <c r="AP365">
        <v>0.2104</v>
      </c>
      <c r="AQ365">
        <v>0.78959999999999997</v>
      </c>
      <c r="AR365">
        <v>65186</v>
      </c>
      <c r="AS365">
        <v>5432</v>
      </c>
      <c r="AT365">
        <v>0.21690000000000001</v>
      </c>
      <c r="AU365">
        <v>60460</v>
      </c>
      <c r="AV365">
        <v>60460</v>
      </c>
      <c r="AW365">
        <v>61090</v>
      </c>
      <c r="AX365">
        <v>61090</v>
      </c>
      <c r="AY365">
        <v>0</v>
      </c>
      <c r="BA365">
        <v>0</v>
      </c>
      <c r="BB365">
        <v>0</v>
      </c>
      <c r="BC365">
        <v>0</v>
      </c>
      <c r="BD365">
        <v>0</v>
      </c>
      <c r="BE365">
        <v>0</v>
      </c>
    </row>
    <row r="366" spans="1:57" x14ac:dyDescent="0.35">
      <c r="A366" t="s">
        <v>1341</v>
      </c>
      <c r="B366" t="s">
        <v>1342</v>
      </c>
      <c r="C366" t="s">
        <v>548</v>
      </c>
      <c r="D366" t="s">
        <v>556</v>
      </c>
      <c r="E366" t="s">
        <v>551</v>
      </c>
      <c r="F366" t="s">
        <v>290</v>
      </c>
      <c r="G366" t="s">
        <v>551</v>
      </c>
      <c r="H366">
        <v>2857</v>
      </c>
      <c r="I366">
        <v>1.6850506964385319E-2</v>
      </c>
      <c r="J366">
        <v>2905</v>
      </c>
      <c r="K366">
        <v>6237</v>
      </c>
      <c r="L366">
        <v>465</v>
      </c>
      <c r="V366" t="s">
        <v>1271</v>
      </c>
      <c r="W366">
        <v>10423</v>
      </c>
      <c r="X366">
        <v>1.186167740515518</v>
      </c>
      <c r="Y366">
        <v>7</v>
      </c>
      <c r="Z366">
        <v>3208</v>
      </c>
      <c r="AA366">
        <v>3.5540181041194913E-2</v>
      </c>
      <c r="AB366">
        <v>0.87641899516779309</v>
      </c>
      <c r="AC366">
        <v>8.4140411096201824</v>
      </c>
      <c r="AD366">
        <v>45</v>
      </c>
      <c r="AE366">
        <v>216.17</v>
      </c>
      <c r="AF366">
        <v>224.58</v>
      </c>
      <c r="AG366">
        <v>232.86</v>
      </c>
      <c r="AH366">
        <v>548.67999999999995</v>
      </c>
      <c r="AL366">
        <v>232.86</v>
      </c>
      <c r="AM366">
        <v>0.16008770671492489</v>
      </c>
      <c r="AN366">
        <v>277.24</v>
      </c>
      <c r="AO366">
        <v>44.38</v>
      </c>
      <c r="AP366">
        <v>0.16009999999999999</v>
      </c>
      <c r="AQ366">
        <v>0.83989999999999998</v>
      </c>
      <c r="AR366">
        <v>32576</v>
      </c>
      <c r="AS366">
        <v>2715</v>
      </c>
      <c r="AT366">
        <v>0.1116</v>
      </c>
      <c r="AU366">
        <v>26804</v>
      </c>
      <c r="AV366">
        <v>26804</v>
      </c>
      <c r="AW366">
        <v>27792</v>
      </c>
      <c r="AX366">
        <v>27792</v>
      </c>
      <c r="AY366">
        <v>0</v>
      </c>
      <c r="BA366">
        <v>0</v>
      </c>
      <c r="BB366">
        <v>0</v>
      </c>
      <c r="BC366">
        <v>0</v>
      </c>
      <c r="BD366">
        <v>0</v>
      </c>
      <c r="BE366">
        <v>0</v>
      </c>
    </row>
    <row r="367" spans="1:57" x14ac:dyDescent="0.35">
      <c r="A367" t="s">
        <v>1343</v>
      </c>
      <c r="B367" t="s">
        <v>1344</v>
      </c>
      <c r="C367" t="s">
        <v>573</v>
      </c>
      <c r="D367" t="s">
        <v>556</v>
      </c>
      <c r="E367" t="s">
        <v>551</v>
      </c>
      <c r="F367" t="s">
        <v>290</v>
      </c>
      <c r="G367" t="s">
        <v>551</v>
      </c>
      <c r="H367">
        <v>1244</v>
      </c>
      <c r="I367">
        <v>8.1439054889783716E-2</v>
      </c>
      <c r="J367">
        <v>1345</v>
      </c>
      <c r="K367">
        <v>6229</v>
      </c>
      <c r="L367">
        <v>483</v>
      </c>
      <c r="V367" t="s">
        <v>1236</v>
      </c>
      <c r="W367">
        <v>19257</v>
      </c>
      <c r="X367">
        <v>1.1698774473114251</v>
      </c>
      <c r="Y367">
        <v>12</v>
      </c>
      <c r="Z367">
        <v>362</v>
      </c>
      <c r="AA367">
        <v>2.70793937492988E-2</v>
      </c>
      <c r="AB367">
        <v>0.96441110802817021</v>
      </c>
      <c r="AC367">
        <v>14.769618666787631</v>
      </c>
      <c r="AD367">
        <v>60</v>
      </c>
      <c r="AE367">
        <v>511.97</v>
      </c>
      <c r="AF367">
        <v>526.74</v>
      </c>
      <c r="AG367">
        <v>541.41</v>
      </c>
      <c r="AH367">
        <v>769.81</v>
      </c>
      <c r="AL367">
        <v>541.41</v>
      </c>
      <c r="AM367">
        <v>0.25279787949864652</v>
      </c>
      <c r="AN367">
        <v>724.58</v>
      </c>
      <c r="AO367">
        <v>183.17</v>
      </c>
      <c r="AP367">
        <v>0.25280000000000002</v>
      </c>
      <c r="AQ367">
        <v>0.74719999999999998</v>
      </c>
      <c r="AR367">
        <v>44001</v>
      </c>
      <c r="AS367">
        <v>3667</v>
      </c>
      <c r="AT367">
        <v>9.4399999999999998E-2</v>
      </c>
      <c r="AU367">
        <v>38255</v>
      </c>
      <c r="AV367">
        <v>38255</v>
      </c>
      <c r="AW367">
        <v>39320</v>
      </c>
      <c r="AX367">
        <v>39320</v>
      </c>
      <c r="AY367">
        <v>0</v>
      </c>
      <c r="BA367">
        <v>0</v>
      </c>
      <c r="BB367">
        <v>0</v>
      </c>
      <c r="BC367">
        <v>0</v>
      </c>
      <c r="BD367">
        <v>0</v>
      </c>
      <c r="BE367">
        <v>0</v>
      </c>
    </row>
    <row r="368" spans="1:57" x14ac:dyDescent="0.35">
      <c r="A368" t="s">
        <v>1345</v>
      </c>
      <c r="B368" t="s">
        <v>1346</v>
      </c>
      <c r="C368" t="s">
        <v>548</v>
      </c>
      <c r="D368" t="s">
        <v>556</v>
      </c>
      <c r="E368" t="s">
        <v>557</v>
      </c>
      <c r="F368" t="s">
        <v>290</v>
      </c>
      <c r="G368" t="s">
        <v>551</v>
      </c>
      <c r="H368">
        <v>814</v>
      </c>
      <c r="I368">
        <v>0.13413380708369821</v>
      </c>
      <c r="J368">
        <v>923</v>
      </c>
      <c r="K368">
        <v>14584</v>
      </c>
      <c r="L368">
        <v>1976</v>
      </c>
      <c r="V368" t="s">
        <v>1347</v>
      </c>
      <c r="W368">
        <v>26518</v>
      </c>
      <c r="X368">
        <v>0.84435632832473262</v>
      </c>
      <c r="Y368">
        <v>30</v>
      </c>
      <c r="Z368">
        <v>1584</v>
      </c>
      <c r="AA368">
        <v>9.6653296887450543E-3</v>
      </c>
      <c r="AB368">
        <v>0.9754069033942927</v>
      </c>
      <c r="AC368">
        <v>12.933515133188569</v>
      </c>
      <c r="AD368">
        <v>90</v>
      </c>
      <c r="AE368">
        <v>724.5</v>
      </c>
      <c r="AF368">
        <v>737.44</v>
      </c>
      <c r="AG368">
        <v>744.63</v>
      </c>
      <c r="AH368">
        <v>323.60000000000002</v>
      </c>
      <c r="AL368">
        <v>744.63</v>
      </c>
      <c r="AM368">
        <v>0.1825201674572367</v>
      </c>
      <c r="AN368">
        <v>910.88</v>
      </c>
      <c r="AO368">
        <v>166.25</v>
      </c>
      <c r="AP368">
        <v>0.1825</v>
      </c>
      <c r="AQ368">
        <v>0.8175</v>
      </c>
      <c r="AR368">
        <v>83218</v>
      </c>
      <c r="AS368">
        <v>6935</v>
      </c>
      <c r="AT368">
        <v>0.1542</v>
      </c>
      <c r="AU368">
        <v>70610</v>
      </c>
      <c r="AV368">
        <v>70610</v>
      </c>
      <c r="AW368">
        <v>71299</v>
      </c>
      <c r="AX368">
        <v>71299</v>
      </c>
      <c r="AY368">
        <v>0</v>
      </c>
      <c r="BA368">
        <v>0</v>
      </c>
      <c r="BB368">
        <v>0</v>
      </c>
      <c r="BC368">
        <v>0</v>
      </c>
      <c r="BD368">
        <v>0</v>
      </c>
      <c r="BE368">
        <v>0</v>
      </c>
    </row>
    <row r="369" spans="1:57" x14ac:dyDescent="0.35">
      <c r="A369" t="s">
        <v>1348</v>
      </c>
      <c r="B369" t="s">
        <v>1349</v>
      </c>
      <c r="C369" t="s">
        <v>548</v>
      </c>
      <c r="D369" t="s">
        <v>556</v>
      </c>
      <c r="E369" t="s">
        <v>551</v>
      </c>
      <c r="F369" t="s">
        <v>290</v>
      </c>
      <c r="G369" t="s">
        <v>551</v>
      </c>
      <c r="H369">
        <v>1380</v>
      </c>
      <c r="I369">
        <v>4.6403378216412008E-2</v>
      </c>
      <c r="J369">
        <v>1444</v>
      </c>
      <c r="K369">
        <v>2409</v>
      </c>
      <c r="L369">
        <v>367</v>
      </c>
      <c r="V369" t="s">
        <v>1209</v>
      </c>
      <c r="W369">
        <v>22340</v>
      </c>
      <c r="X369">
        <v>0.88970772378422391</v>
      </c>
      <c r="Y369">
        <v>3</v>
      </c>
      <c r="Z369">
        <v>4593</v>
      </c>
      <c r="AA369">
        <v>1.436518853005217E-2</v>
      </c>
      <c r="AB369">
        <v>0.95450879671652333</v>
      </c>
      <c r="AC369">
        <v>16.941556678085941</v>
      </c>
      <c r="AD369">
        <v>45</v>
      </c>
      <c r="AE369">
        <v>1018.43</v>
      </c>
      <c r="AF369">
        <v>1035.3699999999999</v>
      </c>
      <c r="AG369">
        <v>1050.46</v>
      </c>
      <c r="AH369">
        <v>805.36</v>
      </c>
      <c r="AL369">
        <v>1050.46</v>
      </c>
      <c r="AM369">
        <v>0.1556064722905138</v>
      </c>
      <c r="AN369">
        <v>1244.04</v>
      </c>
      <c r="AO369">
        <v>193.58</v>
      </c>
      <c r="AP369">
        <v>0.15559999999999999</v>
      </c>
      <c r="AQ369">
        <v>0.84440000000000004</v>
      </c>
      <c r="AR369">
        <v>15390</v>
      </c>
      <c r="AS369">
        <v>1282</v>
      </c>
      <c r="AT369">
        <v>0.19189999999999999</v>
      </c>
      <c r="AU369">
        <v>13348</v>
      </c>
      <c r="AV369">
        <v>13348</v>
      </c>
      <c r="AW369">
        <v>13543</v>
      </c>
      <c r="AX369">
        <v>13543</v>
      </c>
      <c r="AY369">
        <v>0</v>
      </c>
      <c r="BA369">
        <v>0</v>
      </c>
      <c r="BB369">
        <v>0</v>
      </c>
      <c r="BC369">
        <v>0</v>
      </c>
      <c r="BD369">
        <v>0</v>
      </c>
      <c r="BE369">
        <v>0</v>
      </c>
    </row>
    <row r="370" spans="1:57" x14ac:dyDescent="0.35">
      <c r="A370" t="s">
        <v>1350</v>
      </c>
      <c r="B370" t="s">
        <v>1351</v>
      </c>
      <c r="C370" t="s">
        <v>562</v>
      </c>
      <c r="D370" t="s">
        <v>549</v>
      </c>
      <c r="E370" t="s">
        <v>557</v>
      </c>
      <c r="F370" t="s">
        <v>290</v>
      </c>
      <c r="G370" t="s">
        <v>551</v>
      </c>
      <c r="H370">
        <v>1427</v>
      </c>
      <c r="I370">
        <v>0.1181151245062572</v>
      </c>
      <c r="J370">
        <v>1596</v>
      </c>
      <c r="K370">
        <v>3871</v>
      </c>
      <c r="L370">
        <v>1096</v>
      </c>
      <c r="V370" t="s">
        <v>1280</v>
      </c>
      <c r="W370">
        <v>6154</v>
      </c>
      <c r="X370">
        <v>1.1425297167512369</v>
      </c>
      <c r="Y370">
        <v>24</v>
      </c>
      <c r="Z370">
        <v>3291</v>
      </c>
      <c r="AA370">
        <v>3.5735263752916482E-2</v>
      </c>
      <c r="AB370">
        <v>0.96912998282745177</v>
      </c>
      <c r="AC370">
        <v>23.519604867081789</v>
      </c>
      <c r="AD370">
        <v>60</v>
      </c>
      <c r="AE370">
        <v>921.03</v>
      </c>
      <c r="AF370">
        <v>944.55</v>
      </c>
      <c r="AG370">
        <v>979.56</v>
      </c>
      <c r="AH370">
        <v>218.5</v>
      </c>
      <c r="AL370">
        <v>979.56</v>
      </c>
      <c r="AM370">
        <v>0.24010670678537149</v>
      </c>
      <c r="AN370">
        <v>1289.08</v>
      </c>
      <c r="AO370">
        <v>309.52</v>
      </c>
      <c r="AP370">
        <v>0.24010000000000001</v>
      </c>
      <c r="AQ370">
        <v>0.75990000000000002</v>
      </c>
      <c r="AR370">
        <v>57877</v>
      </c>
      <c r="AS370">
        <v>4823</v>
      </c>
      <c r="AT370">
        <v>0.15440000000000001</v>
      </c>
      <c r="AU370">
        <v>55102</v>
      </c>
      <c r="AV370">
        <v>55102</v>
      </c>
      <c r="AW370">
        <v>57144</v>
      </c>
      <c r="AX370">
        <v>57144</v>
      </c>
      <c r="AY370">
        <v>0</v>
      </c>
      <c r="BA370">
        <v>0</v>
      </c>
      <c r="BB370">
        <v>0</v>
      </c>
      <c r="BC370">
        <v>0</v>
      </c>
      <c r="BD370">
        <v>0</v>
      </c>
      <c r="BE370">
        <v>0</v>
      </c>
    </row>
    <row r="371" spans="1:57" x14ac:dyDescent="0.35">
      <c r="A371" t="s">
        <v>1352</v>
      </c>
      <c r="B371" t="s">
        <v>1353</v>
      </c>
      <c r="C371" t="s">
        <v>548</v>
      </c>
      <c r="D371" t="s">
        <v>556</v>
      </c>
      <c r="E371" t="s">
        <v>551</v>
      </c>
      <c r="F371" t="s">
        <v>290</v>
      </c>
      <c r="G371" t="s">
        <v>628</v>
      </c>
      <c r="H371">
        <v>226</v>
      </c>
      <c r="I371">
        <v>0.151797329697797</v>
      </c>
      <c r="J371">
        <v>260</v>
      </c>
      <c r="K371">
        <v>4261</v>
      </c>
      <c r="L371">
        <v>419</v>
      </c>
      <c r="V371" t="s">
        <v>1328</v>
      </c>
      <c r="W371">
        <v>24457</v>
      </c>
      <c r="X371">
        <v>0.97006234979649786</v>
      </c>
      <c r="Y371">
        <v>24</v>
      </c>
      <c r="Z371">
        <v>3943</v>
      </c>
      <c r="AA371">
        <v>9.0244693099700273E-3</v>
      </c>
      <c r="AB371">
        <v>0.98574184788703823</v>
      </c>
      <c r="AC371">
        <v>19.82805493730563</v>
      </c>
      <c r="AD371">
        <v>30</v>
      </c>
      <c r="AE371">
        <v>764.08</v>
      </c>
      <c r="AF371">
        <v>783.91</v>
      </c>
      <c r="AG371">
        <v>791.04</v>
      </c>
      <c r="AH371">
        <v>729.65</v>
      </c>
      <c r="AL371">
        <v>791.04</v>
      </c>
      <c r="AM371">
        <v>0.34593456276880907</v>
      </c>
      <c r="AN371">
        <v>1209.42</v>
      </c>
      <c r="AO371">
        <v>418.38</v>
      </c>
      <c r="AP371">
        <v>0.34589999999999999</v>
      </c>
      <c r="AQ371">
        <v>0.65410000000000001</v>
      </c>
      <c r="AR371">
        <v>26569</v>
      </c>
      <c r="AS371">
        <v>2214</v>
      </c>
      <c r="AT371">
        <v>0.127</v>
      </c>
      <c r="AU371">
        <v>22727</v>
      </c>
      <c r="AV371">
        <v>22727</v>
      </c>
      <c r="AW371">
        <v>22934</v>
      </c>
      <c r="AX371">
        <v>22934</v>
      </c>
      <c r="AY371">
        <v>0</v>
      </c>
      <c r="BA371">
        <v>0</v>
      </c>
      <c r="BB371">
        <v>0</v>
      </c>
      <c r="BC371">
        <v>0</v>
      </c>
      <c r="BD371">
        <v>0</v>
      </c>
      <c r="BE371">
        <v>0</v>
      </c>
    </row>
    <row r="372" spans="1:57" x14ac:dyDescent="0.35">
      <c r="A372" t="s">
        <v>1354</v>
      </c>
      <c r="B372" t="s">
        <v>1355</v>
      </c>
      <c r="C372" t="s">
        <v>606</v>
      </c>
      <c r="D372" t="s">
        <v>556</v>
      </c>
      <c r="E372" t="s">
        <v>551</v>
      </c>
      <c r="F372" t="s">
        <v>290</v>
      </c>
      <c r="G372" t="s">
        <v>558</v>
      </c>
      <c r="H372">
        <v>542</v>
      </c>
      <c r="I372">
        <v>0.1094220617239839</v>
      </c>
      <c r="J372">
        <v>601</v>
      </c>
      <c r="K372">
        <v>2558</v>
      </c>
      <c r="L372">
        <v>755</v>
      </c>
      <c r="V372" t="s">
        <v>1271</v>
      </c>
      <c r="W372">
        <v>10423</v>
      </c>
      <c r="X372">
        <v>1.186167740515518</v>
      </c>
      <c r="Y372">
        <v>7</v>
      </c>
      <c r="Z372">
        <v>3208</v>
      </c>
      <c r="AA372">
        <v>3.5540181041194913E-2</v>
      </c>
      <c r="AB372">
        <v>0.87641899516779309</v>
      </c>
      <c r="AC372">
        <v>8.4140411096201824</v>
      </c>
      <c r="AD372">
        <v>45</v>
      </c>
      <c r="AE372">
        <v>690.66</v>
      </c>
      <c r="AF372">
        <v>699.07</v>
      </c>
      <c r="AG372">
        <v>724.83</v>
      </c>
      <c r="AH372">
        <v>607.92999999999995</v>
      </c>
      <c r="AL372">
        <v>724.83</v>
      </c>
      <c r="AM372">
        <v>0.29154517280626768</v>
      </c>
      <c r="AN372">
        <v>1023.11</v>
      </c>
      <c r="AO372">
        <v>298.27999999999997</v>
      </c>
      <c r="AP372">
        <v>0.29149999999999998</v>
      </c>
      <c r="AQ372">
        <v>0.70850000000000002</v>
      </c>
      <c r="AR372">
        <v>28029</v>
      </c>
      <c r="AS372">
        <v>2336</v>
      </c>
      <c r="AT372">
        <v>0.1749</v>
      </c>
      <c r="AU372">
        <v>26226</v>
      </c>
      <c r="AV372">
        <v>26226</v>
      </c>
      <c r="AW372">
        <v>27192</v>
      </c>
      <c r="AX372">
        <v>27192</v>
      </c>
      <c r="AY372">
        <v>0</v>
      </c>
      <c r="BA372">
        <v>0</v>
      </c>
      <c r="BB372">
        <v>0</v>
      </c>
      <c r="BC372">
        <v>0</v>
      </c>
      <c r="BD372">
        <v>0</v>
      </c>
      <c r="BE372">
        <v>0</v>
      </c>
    </row>
    <row r="373" spans="1:57" x14ac:dyDescent="0.35">
      <c r="A373" t="s">
        <v>1356</v>
      </c>
      <c r="B373" t="s">
        <v>1357</v>
      </c>
      <c r="C373" t="s">
        <v>606</v>
      </c>
      <c r="D373" t="s">
        <v>556</v>
      </c>
      <c r="E373" t="s">
        <v>557</v>
      </c>
      <c r="F373" t="s">
        <v>290</v>
      </c>
      <c r="G373" t="s">
        <v>558</v>
      </c>
      <c r="H373">
        <v>146</v>
      </c>
      <c r="I373">
        <v>-4.262398621369852E-2</v>
      </c>
      <c r="J373">
        <v>140</v>
      </c>
      <c r="K373">
        <v>6827</v>
      </c>
      <c r="L373">
        <v>993</v>
      </c>
      <c r="V373" t="s">
        <v>1195</v>
      </c>
      <c r="W373">
        <v>7747</v>
      </c>
      <c r="X373">
        <v>0.94654473731747668</v>
      </c>
      <c r="Y373">
        <v>17</v>
      </c>
      <c r="Z373">
        <v>3105</v>
      </c>
      <c r="AA373">
        <v>9.5876037220176697E-3</v>
      </c>
      <c r="AB373">
        <v>0.92199282137790561</v>
      </c>
      <c r="AC373">
        <v>15.62553508382698</v>
      </c>
      <c r="AD373">
        <v>45</v>
      </c>
      <c r="AE373">
        <v>289.92</v>
      </c>
      <c r="AF373">
        <v>305.55</v>
      </c>
      <c r="AG373">
        <v>308.51</v>
      </c>
      <c r="AH373">
        <v>344.39</v>
      </c>
      <c r="AL373">
        <v>308.51</v>
      </c>
      <c r="AM373">
        <v>0.22819449730258851</v>
      </c>
      <c r="AN373">
        <v>399.73</v>
      </c>
      <c r="AO373">
        <v>91.22</v>
      </c>
      <c r="AP373">
        <v>0.22819999999999999</v>
      </c>
      <c r="AQ373">
        <v>0.77180000000000004</v>
      </c>
      <c r="AR373">
        <v>46806</v>
      </c>
      <c r="AS373">
        <v>3900</v>
      </c>
      <c r="AT373">
        <v>0.13900000000000001</v>
      </c>
      <c r="AU373">
        <v>40972</v>
      </c>
      <c r="AV373">
        <v>40972</v>
      </c>
      <c r="AW373">
        <v>41369</v>
      </c>
      <c r="AX373">
        <v>41369</v>
      </c>
      <c r="AY373">
        <v>0</v>
      </c>
      <c r="BA373">
        <v>0</v>
      </c>
      <c r="BB373">
        <v>0</v>
      </c>
      <c r="BC373">
        <v>0</v>
      </c>
      <c r="BD373">
        <v>0</v>
      </c>
      <c r="BE373">
        <v>0</v>
      </c>
    </row>
    <row r="374" spans="1:57" x14ac:dyDescent="0.35">
      <c r="A374" t="s">
        <v>1358</v>
      </c>
      <c r="B374" t="s">
        <v>1359</v>
      </c>
      <c r="C374" t="s">
        <v>548</v>
      </c>
      <c r="D374" t="s">
        <v>556</v>
      </c>
      <c r="E374" t="s">
        <v>550</v>
      </c>
      <c r="F374" t="s">
        <v>290</v>
      </c>
      <c r="G374" t="s">
        <v>551</v>
      </c>
      <c r="H374">
        <v>1329</v>
      </c>
      <c r="I374">
        <v>0.1016829311793591</v>
      </c>
      <c r="J374">
        <v>1464</v>
      </c>
      <c r="K374">
        <v>2114</v>
      </c>
      <c r="L374">
        <v>583</v>
      </c>
      <c r="V374" t="s">
        <v>1347</v>
      </c>
      <c r="W374">
        <v>26518</v>
      </c>
      <c r="X374">
        <v>0.84435632832473262</v>
      </c>
      <c r="Y374">
        <v>30</v>
      </c>
      <c r="Z374">
        <v>1584</v>
      </c>
      <c r="AA374">
        <v>9.6653296887450543E-3</v>
      </c>
      <c r="AB374">
        <v>0.9754069033942927</v>
      </c>
      <c r="AC374">
        <v>12.933515133188569</v>
      </c>
      <c r="AD374">
        <v>90</v>
      </c>
      <c r="AE374">
        <v>510.79</v>
      </c>
      <c r="AF374">
        <v>523.72</v>
      </c>
      <c r="AG374">
        <v>528.83000000000004</v>
      </c>
      <c r="AH374">
        <v>1546.93</v>
      </c>
      <c r="AL374">
        <v>528.83000000000004</v>
      </c>
      <c r="AM374">
        <v>0.31358550137317992</v>
      </c>
      <c r="AN374">
        <v>770.42</v>
      </c>
      <c r="AO374">
        <v>241.59</v>
      </c>
      <c r="AP374">
        <v>0.31359999999999999</v>
      </c>
      <c r="AQ374">
        <v>0.68640000000000001</v>
      </c>
      <c r="AR374">
        <v>20901</v>
      </c>
      <c r="AS374">
        <v>1742</v>
      </c>
      <c r="AT374">
        <v>0.23860000000000001</v>
      </c>
      <c r="AU374">
        <v>19370</v>
      </c>
      <c r="AV374">
        <v>19370</v>
      </c>
      <c r="AW374">
        <v>19559</v>
      </c>
      <c r="AX374">
        <v>19559</v>
      </c>
      <c r="AY374">
        <v>0</v>
      </c>
      <c r="BA374">
        <v>0</v>
      </c>
      <c r="BB374">
        <v>0</v>
      </c>
      <c r="BC374">
        <v>0</v>
      </c>
      <c r="BD374">
        <v>0</v>
      </c>
      <c r="BE374">
        <v>0</v>
      </c>
    </row>
    <row r="375" spans="1:57" x14ac:dyDescent="0.35">
      <c r="A375" t="s">
        <v>1360</v>
      </c>
      <c r="B375" t="s">
        <v>1361</v>
      </c>
      <c r="C375" t="s">
        <v>548</v>
      </c>
      <c r="D375" t="s">
        <v>549</v>
      </c>
      <c r="E375" t="s">
        <v>550</v>
      </c>
      <c r="F375" t="s">
        <v>290</v>
      </c>
      <c r="G375" t="s">
        <v>558</v>
      </c>
      <c r="H375">
        <v>418</v>
      </c>
      <c r="I375">
        <v>8.6063491528424421E-2</v>
      </c>
      <c r="J375">
        <v>454</v>
      </c>
      <c r="K375">
        <v>4502</v>
      </c>
      <c r="L375">
        <v>593</v>
      </c>
      <c r="V375" t="s">
        <v>1254</v>
      </c>
      <c r="W375">
        <v>5854</v>
      </c>
      <c r="X375">
        <v>0.91145858569464455</v>
      </c>
      <c r="Y375">
        <v>3</v>
      </c>
      <c r="Z375">
        <v>3574</v>
      </c>
      <c r="AA375">
        <v>2.7866807159081141E-2</v>
      </c>
      <c r="AB375">
        <v>0.92433084166439905</v>
      </c>
      <c r="AC375">
        <v>12.299012785181111</v>
      </c>
      <c r="AD375">
        <v>60</v>
      </c>
      <c r="AE375">
        <v>1529.82</v>
      </c>
      <c r="AF375">
        <v>1542.12</v>
      </c>
      <c r="AG375">
        <v>1586.32</v>
      </c>
      <c r="AH375">
        <v>1246.75</v>
      </c>
      <c r="AL375">
        <v>1586.32</v>
      </c>
      <c r="AM375">
        <v>0.2080045450772027</v>
      </c>
      <c r="AN375">
        <v>2002.94</v>
      </c>
      <c r="AO375">
        <v>416.62</v>
      </c>
      <c r="AP375">
        <v>0.20799999999999999</v>
      </c>
      <c r="AQ375">
        <v>0.79200000000000004</v>
      </c>
      <c r="AR375">
        <v>22551</v>
      </c>
      <c r="AS375">
        <v>1879</v>
      </c>
      <c r="AT375">
        <v>0.23680000000000001</v>
      </c>
      <c r="AU375">
        <v>18642</v>
      </c>
      <c r="AV375">
        <v>18642</v>
      </c>
      <c r="AW375">
        <v>19176</v>
      </c>
      <c r="AX375">
        <v>19176</v>
      </c>
      <c r="AY375">
        <v>0</v>
      </c>
      <c r="BA375">
        <v>0</v>
      </c>
      <c r="BB375">
        <v>0</v>
      </c>
      <c r="BC375">
        <v>0</v>
      </c>
      <c r="BD375">
        <v>0</v>
      </c>
      <c r="BE375">
        <v>0</v>
      </c>
    </row>
    <row r="376" spans="1:57" x14ac:dyDescent="0.35">
      <c r="A376" t="s">
        <v>1362</v>
      </c>
      <c r="B376" t="s">
        <v>1363</v>
      </c>
      <c r="C376" t="s">
        <v>562</v>
      </c>
      <c r="D376" t="s">
        <v>549</v>
      </c>
      <c r="E376" t="s">
        <v>551</v>
      </c>
      <c r="F376" t="s">
        <v>290</v>
      </c>
      <c r="G376" t="s">
        <v>551</v>
      </c>
      <c r="H376">
        <v>1489</v>
      </c>
      <c r="I376">
        <v>5.6873912589189793E-2</v>
      </c>
      <c r="J376">
        <v>1574</v>
      </c>
      <c r="K376">
        <v>2711</v>
      </c>
      <c r="L376">
        <v>623</v>
      </c>
      <c r="V376" t="s">
        <v>1251</v>
      </c>
      <c r="W376">
        <v>5860</v>
      </c>
      <c r="X376">
        <v>0.87337391594646552</v>
      </c>
      <c r="Y376">
        <v>10</v>
      </c>
      <c r="Z376">
        <v>3872</v>
      </c>
      <c r="AA376">
        <v>2.4680306001966499E-2</v>
      </c>
      <c r="AB376">
        <v>0.91241658539950277</v>
      </c>
      <c r="AC376">
        <v>4.299423063814066</v>
      </c>
      <c r="AD376">
        <v>45</v>
      </c>
      <c r="AE376">
        <v>1204.4100000000001</v>
      </c>
      <c r="AF376">
        <v>1208.71</v>
      </c>
      <c r="AG376">
        <v>1239.3</v>
      </c>
      <c r="AH376">
        <v>1694.2</v>
      </c>
      <c r="AL376">
        <v>1239.3</v>
      </c>
      <c r="AM376">
        <v>0.15359536151802131</v>
      </c>
      <c r="AN376">
        <v>1464.19</v>
      </c>
      <c r="AO376">
        <v>224.89</v>
      </c>
      <c r="AP376">
        <v>0.15359999999999999</v>
      </c>
      <c r="AQ376">
        <v>0.84640000000000004</v>
      </c>
      <c r="AR376">
        <v>30284</v>
      </c>
      <c r="AS376">
        <v>2524</v>
      </c>
      <c r="AT376">
        <v>0.16539999999999999</v>
      </c>
      <c r="AU376">
        <v>28196</v>
      </c>
      <c r="AV376">
        <v>28196</v>
      </c>
      <c r="AW376">
        <v>28909</v>
      </c>
      <c r="AX376">
        <v>28909</v>
      </c>
      <c r="AY376">
        <v>0</v>
      </c>
      <c r="BA376">
        <v>0</v>
      </c>
      <c r="BB376">
        <v>0</v>
      </c>
      <c r="BC376">
        <v>0</v>
      </c>
      <c r="BD376">
        <v>0</v>
      </c>
      <c r="BE376">
        <v>0</v>
      </c>
    </row>
    <row r="377" spans="1:57" x14ac:dyDescent="0.35">
      <c r="A377" t="s">
        <v>1364</v>
      </c>
      <c r="B377" t="s">
        <v>1365</v>
      </c>
      <c r="C377" t="s">
        <v>606</v>
      </c>
      <c r="D377" t="s">
        <v>556</v>
      </c>
      <c r="E377" t="s">
        <v>550</v>
      </c>
      <c r="F377" t="s">
        <v>290</v>
      </c>
      <c r="G377" t="s">
        <v>558</v>
      </c>
      <c r="H377">
        <v>437</v>
      </c>
      <c r="I377">
        <v>0.1468467566880832</v>
      </c>
      <c r="J377">
        <v>501</v>
      </c>
      <c r="K377">
        <v>2434</v>
      </c>
      <c r="L377">
        <v>471</v>
      </c>
      <c r="V377" t="s">
        <v>1285</v>
      </c>
      <c r="W377">
        <v>5995</v>
      </c>
      <c r="X377">
        <v>1.0391599915244341</v>
      </c>
      <c r="Y377">
        <v>18</v>
      </c>
      <c r="Z377">
        <v>3442</v>
      </c>
      <c r="AA377">
        <v>5.3627150779729411E-3</v>
      </c>
      <c r="AB377">
        <v>0.87743760073868027</v>
      </c>
      <c r="AC377">
        <v>3.0402276449423762</v>
      </c>
      <c r="AD377">
        <v>90</v>
      </c>
      <c r="AE377">
        <v>1355.97</v>
      </c>
      <c r="AF377">
        <v>1359.01</v>
      </c>
      <c r="AG377">
        <v>1366.33</v>
      </c>
      <c r="AH377">
        <v>1433.55</v>
      </c>
      <c r="AL377">
        <v>1366.33</v>
      </c>
      <c r="AM377">
        <v>0.34108834660910681</v>
      </c>
      <c r="AN377">
        <v>2073.62</v>
      </c>
      <c r="AO377">
        <v>707.29</v>
      </c>
      <c r="AP377">
        <v>0.34110000000000001</v>
      </c>
      <c r="AQ377">
        <v>0.65890000000000004</v>
      </c>
      <c r="AR377">
        <v>26493</v>
      </c>
      <c r="AS377">
        <v>2208</v>
      </c>
      <c r="AT377">
        <v>0.13569999999999999</v>
      </c>
      <c r="AU377">
        <v>24530</v>
      </c>
      <c r="AV377">
        <v>24530</v>
      </c>
      <c r="AW377">
        <v>24662</v>
      </c>
      <c r="AX377">
        <v>24662</v>
      </c>
      <c r="AY377">
        <v>0</v>
      </c>
      <c r="BA377">
        <v>0</v>
      </c>
      <c r="BB377">
        <v>0</v>
      </c>
      <c r="BC377">
        <v>0</v>
      </c>
      <c r="BD377">
        <v>0</v>
      </c>
      <c r="BE377">
        <v>0</v>
      </c>
    </row>
    <row r="378" spans="1:57" x14ac:dyDescent="0.35">
      <c r="A378" t="s">
        <v>1366</v>
      </c>
      <c r="B378" t="s">
        <v>1367</v>
      </c>
      <c r="C378" t="s">
        <v>562</v>
      </c>
      <c r="D378" t="s">
        <v>556</v>
      </c>
      <c r="E378" t="s">
        <v>551</v>
      </c>
      <c r="F378" t="s">
        <v>290</v>
      </c>
      <c r="G378" t="s">
        <v>551</v>
      </c>
      <c r="H378">
        <v>751</v>
      </c>
      <c r="I378">
        <v>-1.390309196658319E-2</v>
      </c>
      <c r="J378">
        <v>741</v>
      </c>
      <c r="K378">
        <v>4573</v>
      </c>
      <c r="L378">
        <v>511</v>
      </c>
      <c r="V378" t="s">
        <v>1217</v>
      </c>
      <c r="W378">
        <v>23141</v>
      </c>
      <c r="X378">
        <v>0.85573258176235034</v>
      </c>
      <c r="Y378">
        <v>9</v>
      </c>
      <c r="Z378">
        <v>1778</v>
      </c>
      <c r="AA378">
        <v>3.0710943264635849E-2</v>
      </c>
      <c r="AB378">
        <v>0.88203174316882715</v>
      </c>
      <c r="AC378">
        <v>3.7705379260622389</v>
      </c>
      <c r="AD378">
        <v>45</v>
      </c>
      <c r="AE378">
        <v>825.24</v>
      </c>
      <c r="AF378">
        <v>829.02</v>
      </c>
      <c r="AG378">
        <v>855.28</v>
      </c>
      <c r="AH378">
        <v>661.8</v>
      </c>
      <c r="AL378">
        <v>855.28</v>
      </c>
      <c r="AM378">
        <v>0.30593577121600218</v>
      </c>
      <c r="AN378">
        <v>1232.28</v>
      </c>
      <c r="AO378">
        <v>377</v>
      </c>
      <c r="AP378">
        <v>0.30590000000000001</v>
      </c>
      <c r="AQ378">
        <v>0.69410000000000005</v>
      </c>
      <c r="AR378">
        <v>24121</v>
      </c>
      <c r="AS378">
        <v>2010</v>
      </c>
      <c r="AT378">
        <v>0.20530000000000001</v>
      </c>
      <c r="AU378">
        <v>20059</v>
      </c>
      <c r="AV378">
        <v>20059</v>
      </c>
      <c r="AW378">
        <v>20695</v>
      </c>
      <c r="AX378">
        <v>20695</v>
      </c>
      <c r="AY378">
        <v>0</v>
      </c>
      <c r="BA378">
        <v>0</v>
      </c>
      <c r="BB378">
        <v>0</v>
      </c>
      <c r="BC378">
        <v>0</v>
      </c>
      <c r="BD378">
        <v>0</v>
      </c>
      <c r="BE378">
        <v>0</v>
      </c>
    </row>
    <row r="379" spans="1:57" x14ac:dyDescent="0.35">
      <c r="A379" t="s">
        <v>1368</v>
      </c>
      <c r="B379" t="s">
        <v>1369</v>
      </c>
      <c r="C379" t="s">
        <v>555</v>
      </c>
      <c r="D379" t="s">
        <v>556</v>
      </c>
      <c r="E379" t="s">
        <v>551</v>
      </c>
      <c r="F379" t="s">
        <v>290</v>
      </c>
      <c r="G379" t="s">
        <v>551</v>
      </c>
      <c r="H379">
        <v>713</v>
      </c>
      <c r="I379">
        <v>7.5657810657532618E-2</v>
      </c>
      <c r="J379">
        <v>767</v>
      </c>
      <c r="K379">
        <v>888</v>
      </c>
      <c r="L379">
        <v>213</v>
      </c>
      <c r="V379" t="s">
        <v>1189</v>
      </c>
      <c r="W379">
        <v>15173</v>
      </c>
      <c r="X379">
        <v>1.0157368967662599</v>
      </c>
      <c r="Y379">
        <v>28</v>
      </c>
      <c r="Z379">
        <v>2138</v>
      </c>
      <c r="AA379">
        <v>3.6051469397092743E-2</v>
      </c>
      <c r="AB379">
        <v>0.89452048649606097</v>
      </c>
      <c r="AC379">
        <v>4.5311942641365652</v>
      </c>
      <c r="AD379">
        <v>15</v>
      </c>
      <c r="AE379">
        <v>185.02</v>
      </c>
      <c r="AF379">
        <v>189.55</v>
      </c>
      <c r="AG379">
        <v>196.64</v>
      </c>
      <c r="AH379">
        <v>1089.28</v>
      </c>
      <c r="AL379">
        <v>196.64</v>
      </c>
      <c r="AM379">
        <v>0.34057565612523999</v>
      </c>
      <c r="AN379">
        <v>298.2</v>
      </c>
      <c r="AO379">
        <v>101.56</v>
      </c>
      <c r="AP379">
        <v>0.34060000000000001</v>
      </c>
      <c r="AQ379">
        <v>0.65939999999999999</v>
      </c>
      <c r="AR379">
        <v>16539</v>
      </c>
      <c r="AS379">
        <v>1378</v>
      </c>
      <c r="AT379">
        <v>8.6199999999999999E-2</v>
      </c>
      <c r="AU379">
        <v>15864</v>
      </c>
      <c r="AV379">
        <v>15864</v>
      </c>
      <c r="AW379">
        <v>16457</v>
      </c>
      <c r="AX379">
        <v>16457</v>
      </c>
      <c r="AY379">
        <v>0</v>
      </c>
      <c r="BA379">
        <v>0</v>
      </c>
      <c r="BB379">
        <v>0</v>
      </c>
      <c r="BC379">
        <v>0</v>
      </c>
      <c r="BD379">
        <v>0</v>
      </c>
      <c r="BE379">
        <v>0</v>
      </c>
    </row>
    <row r="380" spans="1:57" x14ac:dyDescent="0.35">
      <c r="A380" t="s">
        <v>1370</v>
      </c>
      <c r="B380" t="s">
        <v>1371</v>
      </c>
      <c r="C380" t="s">
        <v>562</v>
      </c>
      <c r="D380" t="s">
        <v>549</v>
      </c>
      <c r="E380" t="s">
        <v>557</v>
      </c>
      <c r="F380" t="s">
        <v>290</v>
      </c>
      <c r="G380" t="s">
        <v>551</v>
      </c>
      <c r="H380">
        <v>1253</v>
      </c>
      <c r="I380">
        <v>5.219431530728301E-2</v>
      </c>
      <c r="J380">
        <v>1318</v>
      </c>
      <c r="K380">
        <v>13476</v>
      </c>
      <c r="L380">
        <v>1736</v>
      </c>
      <c r="V380" t="s">
        <v>1217</v>
      </c>
      <c r="W380">
        <v>23141</v>
      </c>
      <c r="X380">
        <v>0.85573258176235034</v>
      </c>
      <c r="Y380">
        <v>9</v>
      </c>
      <c r="Z380">
        <v>1778</v>
      </c>
      <c r="AA380">
        <v>3.0710943264635849E-2</v>
      </c>
      <c r="AB380">
        <v>0.88203174316882715</v>
      </c>
      <c r="AC380">
        <v>3.7705379260622389</v>
      </c>
      <c r="AD380">
        <v>45</v>
      </c>
      <c r="AE380">
        <v>603.62</v>
      </c>
      <c r="AF380">
        <v>607.39</v>
      </c>
      <c r="AG380">
        <v>626.64</v>
      </c>
      <c r="AH380">
        <v>328.01</v>
      </c>
      <c r="AL380">
        <v>626.64</v>
      </c>
      <c r="AM380">
        <v>0.1597345041719164</v>
      </c>
      <c r="AN380">
        <v>745.76</v>
      </c>
      <c r="AO380">
        <v>119.12</v>
      </c>
      <c r="AP380">
        <v>0.15970000000000001</v>
      </c>
      <c r="AQ380">
        <v>0.84030000000000005</v>
      </c>
      <c r="AR380">
        <v>87221</v>
      </c>
      <c r="AS380">
        <v>7268</v>
      </c>
      <c r="AT380">
        <v>0.16070000000000001</v>
      </c>
      <c r="AU380">
        <v>75481</v>
      </c>
      <c r="AV380">
        <v>75481</v>
      </c>
      <c r="AW380">
        <v>77873</v>
      </c>
      <c r="AX380">
        <v>77873</v>
      </c>
      <c r="AY380">
        <v>0</v>
      </c>
      <c r="BA380">
        <v>0</v>
      </c>
      <c r="BB380">
        <v>0</v>
      </c>
      <c r="BC380">
        <v>0</v>
      </c>
      <c r="BD380">
        <v>0</v>
      </c>
      <c r="BE380">
        <v>0</v>
      </c>
    </row>
    <row r="381" spans="1:57" x14ac:dyDescent="0.35">
      <c r="A381" t="s">
        <v>1372</v>
      </c>
      <c r="B381" t="s">
        <v>1373</v>
      </c>
      <c r="C381" t="s">
        <v>548</v>
      </c>
      <c r="D381" t="s">
        <v>556</v>
      </c>
      <c r="E381" t="s">
        <v>551</v>
      </c>
      <c r="F381" t="s">
        <v>290</v>
      </c>
      <c r="G381" t="s">
        <v>558</v>
      </c>
      <c r="H381">
        <v>208</v>
      </c>
      <c r="I381">
        <v>0.15662202254894059</v>
      </c>
      <c r="J381">
        <v>241</v>
      </c>
      <c r="K381">
        <v>5086</v>
      </c>
      <c r="L381">
        <v>489</v>
      </c>
      <c r="V381" t="s">
        <v>1206</v>
      </c>
      <c r="W381">
        <v>15965</v>
      </c>
      <c r="X381">
        <v>1.1548850970305311</v>
      </c>
      <c r="Y381">
        <v>3</v>
      </c>
      <c r="Z381">
        <v>2790</v>
      </c>
      <c r="AA381">
        <v>3.0909831847442101E-2</v>
      </c>
      <c r="AB381">
        <v>0.92857880765972944</v>
      </c>
      <c r="AC381">
        <v>19.732245138954902</v>
      </c>
      <c r="AD381">
        <v>45</v>
      </c>
      <c r="AE381">
        <v>166.84</v>
      </c>
      <c r="AF381">
        <v>186.57</v>
      </c>
      <c r="AG381">
        <v>192.52</v>
      </c>
      <c r="AH381">
        <v>596.47</v>
      </c>
      <c r="AL381">
        <v>192.52</v>
      </c>
      <c r="AM381">
        <v>0.35927990695766299</v>
      </c>
      <c r="AN381">
        <v>300.47000000000003</v>
      </c>
      <c r="AO381">
        <v>107.95</v>
      </c>
      <c r="AP381">
        <v>0.35930000000000001</v>
      </c>
      <c r="AQ381">
        <v>0.64070000000000005</v>
      </c>
      <c r="AR381">
        <v>32027</v>
      </c>
      <c r="AS381">
        <v>2669</v>
      </c>
      <c r="AT381">
        <v>0.13719999999999999</v>
      </c>
      <c r="AU381">
        <v>27430</v>
      </c>
      <c r="AV381">
        <v>27430</v>
      </c>
      <c r="AW381">
        <v>28305</v>
      </c>
      <c r="AX381">
        <v>28305</v>
      </c>
      <c r="AY381">
        <v>0</v>
      </c>
      <c r="BA381">
        <v>0</v>
      </c>
      <c r="BB381">
        <v>0</v>
      </c>
      <c r="BC381">
        <v>0</v>
      </c>
      <c r="BD381">
        <v>0</v>
      </c>
      <c r="BE381">
        <v>0</v>
      </c>
    </row>
    <row r="382" spans="1:57" x14ac:dyDescent="0.35">
      <c r="A382" t="s">
        <v>1374</v>
      </c>
      <c r="B382" t="s">
        <v>1375</v>
      </c>
      <c r="C382" t="s">
        <v>606</v>
      </c>
      <c r="D382" t="s">
        <v>556</v>
      </c>
      <c r="E382" t="s">
        <v>550</v>
      </c>
      <c r="F382" t="s">
        <v>290</v>
      </c>
      <c r="G382" t="s">
        <v>551</v>
      </c>
      <c r="H382">
        <v>1164</v>
      </c>
      <c r="I382">
        <v>3.9221493792777548E-2</v>
      </c>
      <c r="J382">
        <v>1210</v>
      </c>
      <c r="K382">
        <v>2623</v>
      </c>
      <c r="L382">
        <v>326</v>
      </c>
      <c r="V382" t="s">
        <v>1192</v>
      </c>
      <c r="W382">
        <v>22675</v>
      </c>
      <c r="X382">
        <v>0.90071291833014566</v>
      </c>
      <c r="Y382">
        <v>4</v>
      </c>
      <c r="Z382">
        <v>1736</v>
      </c>
      <c r="AA382">
        <v>1.282393878634377E-2</v>
      </c>
      <c r="AB382">
        <v>0.85516417262963462</v>
      </c>
      <c r="AC382">
        <v>16.019979681537631</v>
      </c>
      <c r="AD382">
        <v>30</v>
      </c>
      <c r="AE382">
        <v>845.67</v>
      </c>
      <c r="AF382">
        <v>861.69</v>
      </c>
      <c r="AG382">
        <v>872.88</v>
      </c>
      <c r="AH382">
        <v>234.35</v>
      </c>
      <c r="AL382">
        <v>872.88</v>
      </c>
      <c r="AM382">
        <v>0.3048815500090758</v>
      </c>
      <c r="AN382">
        <v>1255.73</v>
      </c>
      <c r="AO382">
        <v>382.85</v>
      </c>
      <c r="AP382">
        <v>0.3049</v>
      </c>
      <c r="AQ382">
        <v>0.69510000000000005</v>
      </c>
      <c r="AR382">
        <v>14947</v>
      </c>
      <c r="AS382">
        <v>1246</v>
      </c>
      <c r="AT382">
        <v>0.23649999999999999</v>
      </c>
      <c r="AU382">
        <v>12650</v>
      </c>
      <c r="AV382">
        <v>12650</v>
      </c>
      <c r="AW382">
        <v>12814</v>
      </c>
      <c r="AX382">
        <v>12814</v>
      </c>
      <c r="AY382">
        <v>0</v>
      </c>
      <c r="BA382">
        <v>0</v>
      </c>
      <c r="BB382">
        <v>0</v>
      </c>
      <c r="BC382">
        <v>0</v>
      </c>
      <c r="BD382">
        <v>0</v>
      </c>
      <c r="BE382">
        <v>0</v>
      </c>
    </row>
    <row r="383" spans="1:57" x14ac:dyDescent="0.35">
      <c r="A383" t="s">
        <v>1376</v>
      </c>
      <c r="B383" t="s">
        <v>1377</v>
      </c>
      <c r="C383" t="s">
        <v>606</v>
      </c>
      <c r="D383" t="s">
        <v>549</v>
      </c>
      <c r="E383" t="s">
        <v>557</v>
      </c>
      <c r="F383" t="s">
        <v>290</v>
      </c>
      <c r="G383" t="s">
        <v>558</v>
      </c>
      <c r="H383">
        <v>135</v>
      </c>
      <c r="I383">
        <v>0.10805414943848719</v>
      </c>
      <c r="J383">
        <v>150</v>
      </c>
      <c r="K383">
        <v>16130</v>
      </c>
      <c r="L383">
        <v>696</v>
      </c>
      <c r="V383" t="s">
        <v>1261</v>
      </c>
      <c r="W383">
        <v>6734</v>
      </c>
      <c r="X383">
        <v>0.86974657160199664</v>
      </c>
      <c r="Y383">
        <v>3</v>
      </c>
      <c r="Z383">
        <v>2059</v>
      </c>
      <c r="AA383">
        <v>1.6695943159420419E-2</v>
      </c>
      <c r="AB383">
        <v>0.98114219842314276</v>
      </c>
      <c r="AC383">
        <v>5.1629817153578443</v>
      </c>
      <c r="AD383">
        <v>60</v>
      </c>
      <c r="AE383">
        <v>554.86</v>
      </c>
      <c r="AF383">
        <v>560.02</v>
      </c>
      <c r="AG383">
        <v>569.53</v>
      </c>
      <c r="AH383">
        <v>155.93</v>
      </c>
      <c r="AL383">
        <v>569.53</v>
      </c>
      <c r="AM383">
        <v>0.29084883767816011</v>
      </c>
      <c r="AN383">
        <v>803.12</v>
      </c>
      <c r="AO383">
        <v>233.59</v>
      </c>
      <c r="AP383">
        <v>0.29089999999999999</v>
      </c>
      <c r="AQ383">
        <v>0.70909999999999995</v>
      </c>
      <c r="AR383">
        <v>82227</v>
      </c>
      <c r="AS383">
        <v>6852</v>
      </c>
      <c r="AT383">
        <v>8.2000000000000003E-2</v>
      </c>
      <c r="AU383">
        <v>66793</v>
      </c>
      <c r="AV383">
        <v>66793</v>
      </c>
      <c r="AW383">
        <v>67927</v>
      </c>
      <c r="AX383">
        <v>67927</v>
      </c>
      <c r="AY383">
        <v>0</v>
      </c>
      <c r="BA383">
        <v>0</v>
      </c>
      <c r="BB383">
        <v>0</v>
      </c>
      <c r="BC383">
        <v>0</v>
      </c>
      <c r="BD383">
        <v>0</v>
      </c>
      <c r="BE383">
        <v>0</v>
      </c>
    </row>
    <row r="384" spans="1:57" x14ac:dyDescent="0.35">
      <c r="A384" t="s">
        <v>1378</v>
      </c>
      <c r="B384" t="s">
        <v>1379</v>
      </c>
      <c r="C384" t="s">
        <v>555</v>
      </c>
      <c r="D384" t="s">
        <v>556</v>
      </c>
      <c r="E384" t="s">
        <v>557</v>
      </c>
      <c r="F384" t="s">
        <v>290</v>
      </c>
      <c r="G384" t="s">
        <v>558</v>
      </c>
      <c r="H384">
        <v>1108</v>
      </c>
      <c r="I384">
        <v>7.5783118137885006E-2</v>
      </c>
      <c r="J384">
        <v>1192</v>
      </c>
      <c r="K384">
        <v>6511</v>
      </c>
      <c r="L384">
        <v>937</v>
      </c>
      <c r="V384" t="s">
        <v>1294</v>
      </c>
      <c r="W384">
        <v>27299</v>
      </c>
      <c r="X384">
        <v>1.1718790609370291</v>
      </c>
      <c r="Y384">
        <v>15</v>
      </c>
      <c r="Z384">
        <v>1697</v>
      </c>
      <c r="AA384">
        <v>2.6069342747396088E-2</v>
      </c>
      <c r="AB384">
        <v>0.97200448262628047</v>
      </c>
      <c r="AC384">
        <v>20.484457768679629</v>
      </c>
      <c r="AD384">
        <v>60</v>
      </c>
      <c r="AE384">
        <v>944.15</v>
      </c>
      <c r="AF384">
        <v>964.63</v>
      </c>
      <c r="AG384">
        <v>990.45</v>
      </c>
      <c r="AH384">
        <v>539.04</v>
      </c>
      <c r="AL384">
        <v>990.45</v>
      </c>
      <c r="AM384">
        <v>0.30615351202863289</v>
      </c>
      <c r="AN384">
        <v>1427.48</v>
      </c>
      <c r="AO384">
        <v>437.03</v>
      </c>
      <c r="AP384">
        <v>0.30620000000000003</v>
      </c>
      <c r="AQ384">
        <v>0.69379999999999997</v>
      </c>
      <c r="AR384">
        <v>33164</v>
      </c>
      <c r="AS384">
        <v>2764</v>
      </c>
      <c r="AT384">
        <v>0.17399999999999999</v>
      </c>
      <c r="AU384">
        <v>27590</v>
      </c>
      <c r="AV384">
        <v>27590</v>
      </c>
      <c r="AW384">
        <v>28329</v>
      </c>
      <c r="AX384">
        <v>28329</v>
      </c>
      <c r="AY384">
        <v>0</v>
      </c>
      <c r="BA384">
        <v>0</v>
      </c>
      <c r="BB384">
        <v>0</v>
      </c>
      <c r="BC384">
        <v>0</v>
      </c>
      <c r="BD384">
        <v>0</v>
      </c>
      <c r="BE384">
        <v>0</v>
      </c>
    </row>
    <row r="385" spans="1:57" x14ac:dyDescent="0.35">
      <c r="A385" t="s">
        <v>1380</v>
      </c>
      <c r="B385" t="s">
        <v>1381</v>
      </c>
      <c r="C385" t="s">
        <v>573</v>
      </c>
      <c r="D385" t="s">
        <v>549</v>
      </c>
      <c r="E385" t="s">
        <v>550</v>
      </c>
      <c r="F385" t="s">
        <v>290</v>
      </c>
      <c r="G385" t="s">
        <v>558</v>
      </c>
      <c r="H385">
        <v>412</v>
      </c>
      <c r="I385">
        <v>-4.6687241624022373E-2</v>
      </c>
      <c r="J385">
        <v>393</v>
      </c>
      <c r="K385">
        <v>393</v>
      </c>
      <c r="L385">
        <v>147</v>
      </c>
      <c r="V385" t="s">
        <v>1209</v>
      </c>
      <c r="W385">
        <v>22340</v>
      </c>
      <c r="X385">
        <v>0.88970772378422391</v>
      </c>
      <c r="Y385">
        <v>3</v>
      </c>
      <c r="Z385">
        <v>4593</v>
      </c>
      <c r="AA385">
        <v>1.436518853005217E-2</v>
      </c>
      <c r="AB385">
        <v>0.95450879671652333</v>
      </c>
      <c r="AC385">
        <v>16.941556678085941</v>
      </c>
      <c r="AD385">
        <v>45</v>
      </c>
      <c r="AE385">
        <v>836.64</v>
      </c>
      <c r="AF385">
        <v>853.58</v>
      </c>
      <c r="AG385">
        <v>866.02</v>
      </c>
      <c r="AH385">
        <v>1650.5</v>
      </c>
      <c r="AL385">
        <v>866.02</v>
      </c>
      <c r="AM385">
        <v>0.36610831171709102</v>
      </c>
      <c r="AN385">
        <v>1366.2</v>
      </c>
      <c r="AO385">
        <v>500.18</v>
      </c>
      <c r="AP385">
        <v>0.36609999999999998</v>
      </c>
      <c r="AQ385">
        <v>0.63390000000000002</v>
      </c>
      <c r="AR385">
        <v>6577</v>
      </c>
      <c r="AS385">
        <v>548</v>
      </c>
      <c r="AT385">
        <v>0.2059</v>
      </c>
      <c r="AU385">
        <v>6331</v>
      </c>
      <c r="AV385">
        <v>6331</v>
      </c>
      <c r="AW385">
        <v>6423</v>
      </c>
      <c r="AX385">
        <v>6423</v>
      </c>
      <c r="AY385">
        <v>0</v>
      </c>
      <c r="BA385">
        <v>0</v>
      </c>
      <c r="BB385">
        <v>0</v>
      </c>
      <c r="BC385">
        <v>0</v>
      </c>
      <c r="BD385">
        <v>0</v>
      </c>
      <c r="BE385">
        <v>0</v>
      </c>
    </row>
    <row r="386" spans="1:57" x14ac:dyDescent="0.35">
      <c r="A386" t="s">
        <v>1382</v>
      </c>
      <c r="B386" t="s">
        <v>1383</v>
      </c>
      <c r="C386" t="s">
        <v>562</v>
      </c>
      <c r="D386" t="s">
        <v>556</v>
      </c>
      <c r="E386" t="s">
        <v>551</v>
      </c>
      <c r="F386" t="s">
        <v>290</v>
      </c>
      <c r="G386" t="s">
        <v>551</v>
      </c>
      <c r="H386">
        <v>544</v>
      </c>
      <c r="I386">
        <v>-8.6788774642606453E-3</v>
      </c>
      <c r="J386">
        <v>539</v>
      </c>
      <c r="K386">
        <v>3359</v>
      </c>
      <c r="L386">
        <v>307</v>
      </c>
      <c r="V386" t="s">
        <v>1301</v>
      </c>
      <c r="W386">
        <v>16363</v>
      </c>
      <c r="X386">
        <v>0.85714672716877638</v>
      </c>
      <c r="Y386">
        <v>5</v>
      </c>
      <c r="Z386">
        <v>1785</v>
      </c>
      <c r="AA386">
        <v>4.1436400030298104E-3</v>
      </c>
      <c r="AB386">
        <v>0.95107982811735547</v>
      </c>
      <c r="AC386">
        <v>23.586712307362259</v>
      </c>
      <c r="AD386">
        <v>30</v>
      </c>
      <c r="AE386">
        <v>180.96</v>
      </c>
      <c r="AF386">
        <v>204.54</v>
      </c>
      <c r="AG386">
        <v>205.39</v>
      </c>
      <c r="AH386">
        <v>420.78</v>
      </c>
      <c r="AL386">
        <v>205.39</v>
      </c>
      <c r="AM386">
        <v>0.29673412663972681</v>
      </c>
      <c r="AN386">
        <v>292.05</v>
      </c>
      <c r="AO386">
        <v>86.66</v>
      </c>
      <c r="AP386">
        <v>0.29670000000000002</v>
      </c>
      <c r="AQ386">
        <v>0.70330000000000004</v>
      </c>
      <c r="AR386">
        <v>19386</v>
      </c>
      <c r="AS386">
        <v>1616</v>
      </c>
      <c r="AT386">
        <v>0.16250000000000001</v>
      </c>
      <c r="AU386">
        <v>16334</v>
      </c>
      <c r="AV386">
        <v>16334</v>
      </c>
      <c r="AW386">
        <v>16402</v>
      </c>
      <c r="AX386">
        <v>16402</v>
      </c>
      <c r="AY386">
        <v>0</v>
      </c>
      <c r="BA386">
        <v>0</v>
      </c>
      <c r="BB386">
        <v>0</v>
      </c>
      <c r="BC386">
        <v>0</v>
      </c>
      <c r="BD386">
        <v>0</v>
      </c>
      <c r="BE386">
        <v>0</v>
      </c>
    </row>
    <row r="387" spans="1:57" x14ac:dyDescent="0.35">
      <c r="A387" t="s">
        <v>1384</v>
      </c>
      <c r="B387" t="s">
        <v>1385</v>
      </c>
      <c r="C387" t="s">
        <v>606</v>
      </c>
      <c r="D387" t="s">
        <v>549</v>
      </c>
      <c r="E387" t="s">
        <v>551</v>
      </c>
      <c r="F387" t="s">
        <v>290</v>
      </c>
      <c r="G387" t="s">
        <v>566</v>
      </c>
      <c r="H387">
        <v>1720</v>
      </c>
      <c r="I387">
        <v>5.3550231392957573E-2</v>
      </c>
      <c r="J387">
        <v>1812</v>
      </c>
      <c r="K387">
        <v>6945</v>
      </c>
      <c r="L387">
        <v>544</v>
      </c>
      <c r="V387" t="s">
        <v>1301</v>
      </c>
      <c r="W387">
        <v>16363</v>
      </c>
      <c r="X387">
        <v>0.85714672716877638</v>
      </c>
      <c r="Y387">
        <v>5</v>
      </c>
      <c r="Z387">
        <v>1785</v>
      </c>
      <c r="AA387">
        <v>4.1436400030298104E-3</v>
      </c>
      <c r="AB387">
        <v>0.95107982811735547</v>
      </c>
      <c r="AC387">
        <v>23.586712307362259</v>
      </c>
      <c r="AD387">
        <v>30</v>
      </c>
      <c r="AE387">
        <v>294.07</v>
      </c>
      <c r="AF387">
        <v>317.66000000000003</v>
      </c>
      <c r="AG387">
        <v>318.98</v>
      </c>
      <c r="AH387">
        <v>927.58</v>
      </c>
      <c r="AL387">
        <v>318.98</v>
      </c>
      <c r="AM387">
        <v>0.29523759497204483</v>
      </c>
      <c r="AN387">
        <v>452.61</v>
      </c>
      <c r="AO387">
        <v>133.63</v>
      </c>
      <c r="AP387">
        <v>0.29520000000000002</v>
      </c>
      <c r="AQ387">
        <v>0.70479999999999998</v>
      </c>
      <c r="AR387">
        <v>47263</v>
      </c>
      <c r="AS387">
        <v>3939</v>
      </c>
      <c r="AT387">
        <v>9.4500000000000001E-2</v>
      </c>
      <c r="AU387">
        <v>40862</v>
      </c>
      <c r="AV387">
        <v>40862</v>
      </c>
      <c r="AW387">
        <v>41032</v>
      </c>
      <c r="AX387">
        <v>41032</v>
      </c>
      <c r="AY387">
        <v>0</v>
      </c>
      <c r="BA387">
        <v>0</v>
      </c>
      <c r="BB387">
        <v>0</v>
      </c>
      <c r="BC387">
        <v>0</v>
      </c>
      <c r="BD387">
        <v>0</v>
      </c>
      <c r="BE387">
        <v>0</v>
      </c>
    </row>
    <row r="388" spans="1:57" x14ac:dyDescent="0.35">
      <c r="A388" t="s">
        <v>1386</v>
      </c>
      <c r="B388" t="s">
        <v>1387</v>
      </c>
      <c r="C388" t="s">
        <v>573</v>
      </c>
      <c r="D388" t="s">
        <v>556</v>
      </c>
      <c r="E388" t="s">
        <v>551</v>
      </c>
      <c r="F388" t="s">
        <v>290</v>
      </c>
      <c r="G388" t="s">
        <v>551</v>
      </c>
      <c r="H388">
        <v>2257</v>
      </c>
      <c r="I388">
        <v>0.10193817077391309</v>
      </c>
      <c r="J388">
        <v>2487</v>
      </c>
      <c r="K388">
        <v>6386</v>
      </c>
      <c r="L388">
        <v>1160</v>
      </c>
      <c r="V388" t="s">
        <v>1261</v>
      </c>
      <c r="W388">
        <v>6734</v>
      </c>
      <c r="X388">
        <v>0.86974657160199664</v>
      </c>
      <c r="Y388">
        <v>3</v>
      </c>
      <c r="Z388">
        <v>2059</v>
      </c>
      <c r="AA388">
        <v>1.6695943159420419E-2</v>
      </c>
      <c r="AB388">
        <v>0.98114219842314276</v>
      </c>
      <c r="AC388">
        <v>5.1629817153578443</v>
      </c>
      <c r="AD388">
        <v>60</v>
      </c>
      <c r="AE388">
        <v>811.38</v>
      </c>
      <c r="AF388">
        <v>816.54</v>
      </c>
      <c r="AG388">
        <v>830.41</v>
      </c>
      <c r="AH388">
        <v>1026.68</v>
      </c>
      <c r="AL388">
        <v>830.41</v>
      </c>
      <c r="AM388">
        <v>0.39766978926644148</v>
      </c>
      <c r="AN388">
        <v>1378.66</v>
      </c>
      <c r="AO388">
        <v>548.25</v>
      </c>
      <c r="AP388">
        <v>0.3977</v>
      </c>
      <c r="AQ388">
        <v>0.60229999999999995</v>
      </c>
      <c r="AR388">
        <v>43412</v>
      </c>
      <c r="AS388">
        <v>3618</v>
      </c>
      <c r="AT388">
        <v>0.24529999999999999</v>
      </c>
      <c r="AU388">
        <v>38186</v>
      </c>
      <c r="AV388">
        <v>38186</v>
      </c>
      <c r="AW388">
        <v>38834</v>
      </c>
      <c r="AX388">
        <v>38834</v>
      </c>
      <c r="AY388">
        <v>0</v>
      </c>
      <c r="BA388">
        <v>0</v>
      </c>
      <c r="BB388">
        <v>0</v>
      </c>
      <c r="BC388">
        <v>0</v>
      </c>
      <c r="BD388">
        <v>0</v>
      </c>
      <c r="BE388">
        <v>0</v>
      </c>
    </row>
    <row r="389" spans="1:57" x14ac:dyDescent="0.35">
      <c r="A389" t="s">
        <v>1388</v>
      </c>
      <c r="B389" t="s">
        <v>1389</v>
      </c>
      <c r="C389" t="s">
        <v>548</v>
      </c>
      <c r="D389" t="s">
        <v>556</v>
      </c>
      <c r="E389" t="s">
        <v>557</v>
      </c>
      <c r="F389" t="s">
        <v>290</v>
      </c>
      <c r="G389" t="s">
        <v>566</v>
      </c>
      <c r="H389">
        <v>171</v>
      </c>
      <c r="I389">
        <v>0.19656166798785041</v>
      </c>
      <c r="J389">
        <v>205</v>
      </c>
      <c r="K389">
        <v>2730</v>
      </c>
      <c r="L389">
        <v>572</v>
      </c>
      <c r="V389" t="s">
        <v>1277</v>
      </c>
      <c r="W389">
        <v>25666</v>
      </c>
      <c r="X389">
        <v>0.87460740415994176</v>
      </c>
      <c r="Y389">
        <v>5</v>
      </c>
      <c r="Z389">
        <v>759</v>
      </c>
      <c r="AA389">
        <v>1.4386438397671619E-2</v>
      </c>
      <c r="AB389">
        <v>0.88083374665917669</v>
      </c>
      <c r="AC389">
        <v>18.356439246074409</v>
      </c>
      <c r="AD389">
        <v>45</v>
      </c>
      <c r="AE389">
        <v>506.66</v>
      </c>
      <c r="AF389">
        <v>525.02</v>
      </c>
      <c r="AG389">
        <v>532.67999999999995</v>
      </c>
      <c r="AH389">
        <v>887.72</v>
      </c>
      <c r="AL389">
        <v>532.67999999999995</v>
      </c>
      <c r="AM389">
        <v>0.33918254176714202</v>
      </c>
      <c r="AN389">
        <v>806.09</v>
      </c>
      <c r="AO389">
        <v>273.41000000000003</v>
      </c>
      <c r="AP389">
        <v>0.3392</v>
      </c>
      <c r="AQ389">
        <v>0.66080000000000005</v>
      </c>
      <c r="AR389">
        <v>39417</v>
      </c>
      <c r="AS389">
        <v>3285</v>
      </c>
      <c r="AT389">
        <v>0.1681</v>
      </c>
      <c r="AU389">
        <v>37259</v>
      </c>
      <c r="AV389">
        <v>37259</v>
      </c>
      <c r="AW389">
        <v>37803</v>
      </c>
      <c r="AX389">
        <v>37803</v>
      </c>
      <c r="AY389">
        <v>0</v>
      </c>
      <c r="BA389">
        <v>0</v>
      </c>
      <c r="BB389">
        <v>0</v>
      </c>
      <c r="BC389">
        <v>0</v>
      </c>
      <c r="BD389">
        <v>0</v>
      </c>
      <c r="BE389">
        <v>0</v>
      </c>
    </row>
    <row r="390" spans="1:57" x14ac:dyDescent="0.35">
      <c r="A390" t="s">
        <v>1390</v>
      </c>
      <c r="B390" t="s">
        <v>1391</v>
      </c>
      <c r="C390" t="s">
        <v>606</v>
      </c>
      <c r="D390" t="s">
        <v>549</v>
      </c>
      <c r="E390" t="s">
        <v>551</v>
      </c>
      <c r="F390" t="s">
        <v>290</v>
      </c>
      <c r="G390" t="s">
        <v>551</v>
      </c>
      <c r="H390">
        <v>453</v>
      </c>
      <c r="I390">
        <v>5.2989523758525489E-2</v>
      </c>
      <c r="J390">
        <v>477</v>
      </c>
      <c r="K390">
        <v>4019</v>
      </c>
      <c r="L390">
        <v>554</v>
      </c>
      <c r="V390" t="s">
        <v>1192</v>
      </c>
      <c r="W390">
        <v>22675</v>
      </c>
      <c r="X390">
        <v>0.90071291833014566</v>
      </c>
      <c r="Y390">
        <v>4</v>
      </c>
      <c r="Z390">
        <v>1736</v>
      </c>
      <c r="AA390">
        <v>1.282393878634377E-2</v>
      </c>
      <c r="AB390">
        <v>0.85516417262963462</v>
      </c>
      <c r="AC390">
        <v>16.019979681537631</v>
      </c>
      <c r="AD390">
        <v>30</v>
      </c>
      <c r="AE390">
        <v>244.91</v>
      </c>
      <c r="AF390">
        <v>260.93</v>
      </c>
      <c r="AG390">
        <v>264.32</v>
      </c>
      <c r="AH390">
        <v>1266.98</v>
      </c>
      <c r="AL390">
        <v>264.32</v>
      </c>
      <c r="AM390">
        <v>0.26057345136278381</v>
      </c>
      <c r="AN390">
        <v>357.47</v>
      </c>
      <c r="AO390">
        <v>93.15</v>
      </c>
      <c r="AP390">
        <v>0.2606</v>
      </c>
      <c r="AQ390">
        <v>0.73939999999999995</v>
      </c>
      <c r="AR390">
        <v>27242</v>
      </c>
      <c r="AS390">
        <v>2270</v>
      </c>
      <c r="AT390">
        <v>0.18440000000000001</v>
      </c>
      <c r="AU390">
        <v>23777</v>
      </c>
      <c r="AV390">
        <v>23777</v>
      </c>
      <c r="AW390">
        <v>24086</v>
      </c>
      <c r="AX390">
        <v>24086</v>
      </c>
      <c r="AY390">
        <v>0</v>
      </c>
      <c r="BA390">
        <v>0</v>
      </c>
      <c r="BB390">
        <v>0</v>
      </c>
      <c r="BC390">
        <v>0</v>
      </c>
      <c r="BD390">
        <v>0</v>
      </c>
      <c r="BE390">
        <v>0</v>
      </c>
    </row>
    <row r="391" spans="1:57" x14ac:dyDescent="0.35">
      <c r="A391" t="s">
        <v>1392</v>
      </c>
      <c r="B391" t="s">
        <v>1393</v>
      </c>
      <c r="C391" t="s">
        <v>562</v>
      </c>
      <c r="D391" t="s">
        <v>556</v>
      </c>
      <c r="E391" t="s">
        <v>557</v>
      </c>
      <c r="F391" t="s">
        <v>290</v>
      </c>
      <c r="G391" t="s">
        <v>551</v>
      </c>
      <c r="H391">
        <v>1924</v>
      </c>
      <c r="I391">
        <v>5.977389131270712E-2</v>
      </c>
      <c r="J391">
        <v>2039</v>
      </c>
      <c r="K391">
        <v>19383</v>
      </c>
      <c r="L391">
        <v>1519</v>
      </c>
      <c r="V391" t="s">
        <v>1271</v>
      </c>
      <c r="W391">
        <v>10423</v>
      </c>
      <c r="X391">
        <v>1.186167740515518</v>
      </c>
      <c r="Y391">
        <v>7</v>
      </c>
      <c r="Z391">
        <v>3208</v>
      </c>
      <c r="AA391">
        <v>3.5540181041194913E-2</v>
      </c>
      <c r="AB391">
        <v>0.87641899516779309</v>
      </c>
      <c r="AC391">
        <v>8.4140411096201824</v>
      </c>
      <c r="AD391">
        <v>45</v>
      </c>
      <c r="AE391">
        <v>154.97</v>
      </c>
      <c r="AF391">
        <v>163.38999999999999</v>
      </c>
      <c r="AG391">
        <v>169.41</v>
      </c>
      <c r="AH391">
        <v>247.7</v>
      </c>
      <c r="AL391">
        <v>169.41</v>
      </c>
      <c r="AM391">
        <v>0.32684925000823201</v>
      </c>
      <c r="AN391">
        <v>251.67</v>
      </c>
      <c r="AO391">
        <v>82.26</v>
      </c>
      <c r="AP391">
        <v>0.32690000000000002</v>
      </c>
      <c r="AQ391">
        <v>0.67310000000000003</v>
      </c>
      <c r="AR391">
        <v>98207</v>
      </c>
      <c r="AS391">
        <v>8184</v>
      </c>
      <c r="AT391">
        <v>0.1202</v>
      </c>
      <c r="AU391">
        <v>80343</v>
      </c>
      <c r="AV391">
        <v>80343</v>
      </c>
      <c r="AW391">
        <v>83304</v>
      </c>
      <c r="AX391">
        <v>83304</v>
      </c>
      <c r="AY391">
        <v>0</v>
      </c>
      <c r="BA391">
        <v>0</v>
      </c>
      <c r="BB391">
        <v>0</v>
      </c>
      <c r="BC391">
        <v>0</v>
      </c>
      <c r="BD391">
        <v>0</v>
      </c>
      <c r="BE391">
        <v>0</v>
      </c>
    </row>
    <row r="392" spans="1:57" x14ac:dyDescent="0.35">
      <c r="A392" t="s">
        <v>1394</v>
      </c>
      <c r="B392" t="s">
        <v>1395</v>
      </c>
      <c r="C392" t="s">
        <v>562</v>
      </c>
      <c r="D392" t="s">
        <v>556</v>
      </c>
      <c r="E392" t="s">
        <v>551</v>
      </c>
      <c r="F392" t="s">
        <v>290</v>
      </c>
      <c r="G392" t="s">
        <v>551</v>
      </c>
      <c r="H392">
        <v>202</v>
      </c>
      <c r="I392">
        <v>5.4817915291505502E-2</v>
      </c>
      <c r="J392">
        <v>213</v>
      </c>
      <c r="K392">
        <v>3909</v>
      </c>
      <c r="L392">
        <v>439</v>
      </c>
      <c r="V392" t="s">
        <v>1280</v>
      </c>
      <c r="W392">
        <v>6154</v>
      </c>
      <c r="X392">
        <v>1.1425297167512369</v>
      </c>
      <c r="Y392">
        <v>24</v>
      </c>
      <c r="Z392">
        <v>3291</v>
      </c>
      <c r="AA392">
        <v>3.5735263752916482E-2</v>
      </c>
      <c r="AB392">
        <v>0.96912998282745177</v>
      </c>
      <c r="AC392">
        <v>23.519604867081789</v>
      </c>
      <c r="AD392">
        <v>60</v>
      </c>
      <c r="AE392">
        <v>988.39</v>
      </c>
      <c r="AF392">
        <v>1011.91</v>
      </c>
      <c r="AG392">
        <v>1049.4100000000001</v>
      </c>
      <c r="AH392">
        <v>435.92</v>
      </c>
      <c r="AL392">
        <v>1049.4100000000001</v>
      </c>
      <c r="AM392">
        <v>0.24730761792294709</v>
      </c>
      <c r="AN392">
        <v>1394.21</v>
      </c>
      <c r="AO392">
        <v>344.8</v>
      </c>
      <c r="AP392">
        <v>0.24729999999999999</v>
      </c>
      <c r="AQ392">
        <v>0.75270000000000004</v>
      </c>
      <c r="AR392">
        <v>20930</v>
      </c>
      <c r="AS392">
        <v>1744</v>
      </c>
      <c r="AT392">
        <v>0.16220000000000001</v>
      </c>
      <c r="AU392">
        <v>17460</v>
      </c>
      <c r="AV392">
        <v>17460</v>
      </c>
      <c r="AW392">
        <v>18107</v>
      </c>
      <c r="AX392">
        <v>18107</v>
      </c>
      <c r="AY392">
        <v>0</v>
      </c>
      <c r="BA392">
        <v>0</v>
      </c>
      <c r="BB392">
        <v>0</v>
      </c>
      <c r="BC392">
        <v>0</v>
      </c>
      <c r="BD392">
        <v>0</v>
      </c>
      <c r="BE392">
        <v>0</v>
      </c>
    </row>
    <row r="393" spans="1:57" x14ac:dyDescent="0.35">
      <c r="A393" t="s">
        <v>1396</v>
      </c>
      <c r="B393" t="s">
        <v>1397</v>
      </c>
      <c r="C393" t="s">
        <v>606</v>
      </c>
      <c r="D393" t="s">
        <v>556</v>
      </c>
      <c r="E393" t="s">
        <v>551</v>
      </c>
      <c r="F393" t="s">
        <v>290</v>
      </c>
      <c r="G393" t="s">
        <v>551</v>
      </c>
      <c r="H393">
        <v>915</v>
      </c>
      <c r="I393">
        <v>0.12866031872718101</v>
      </c>
      <c r="J393">
        <v>1033</v>
      </c>
      <c r="K393">
        <v>6161</v>
      </c>
      <c r="L393">
        <v>920</v>
      </c>
      <c r="V393" t="s">
        <v>1212</v>
      </c>
      <c r="W393">
        <v>10895</v>
      </c>
      <c r="X393">
        <v>1.052455450398905</v>
      </c>
      <c r="Y393">
        <v>4</v>
      </c>
      <c r="Z393">
        <v>4993</v>
      </c>
      <c r="AA393">
        <v>2.6513927757161469E-2</v>
      </c>
      <c r="AB393">
        <v>0.94364936835283397</v>
      </c>
      <c r="AC393">
        <v>21.87585399665377</v>
      </c>
      <c r="AD393">
        <v>60</v>
      </c>
      <c r="AE393">
        <v>169.97</v>
      </c>
      <c r="AF393">
        <v>191.84</v>
      </c>
      <c r="AG393">
        <v>197.07</v>
      </c>
      <c r="AH393">
        <v>169.31</v>
      </c>
      <c r="AL393">
        <v>197.07</v>
      </c>
      <c r="AM393">
        <v>0.20721886562087469</v>
      </c>
      <c r="AN393">
        <v>248.58</v>
      </c>
      <c r="AO393">
        <v>51.51</v>
      </c>
      <c r="AP393">
        <v>0.2072</v>
      </c>
      <c r="AQ393">
        <v>0.79279999999999995</v>
      </c>
      <c r="AR393">
        <v>53170</v>
      </c>
      <c r="AS393">
        <v>4431</v>
      </c>
      <c r="AT393">
        <v>0.153</v>
      </c>
      <c r="AU393">
        <v>47929</v>
      </c>
      <c r="AV393">
        <v>47929</v>
      </c>
      <c r="AW393">
        <v>49234</v>
      </c>
      <c r="AX393">
        <v>49234</v>
      </c>
      <c r="AY393">
        <v>0</v>
      </c>
      <c r="BA393">
        <v>0</v>
      </c>
      <c r="BB393">
        <v>0</v>
      </c>
      <c r="BC393">
        <v>0</v>
      </c>
      <c r="BD393">
        <v>0</v>
      </c>
      <c r="BE393">
        <v>0</v>
      </c>
    </row>
    <row r="394" spans="1:57" x14ac:dyDescent="0.35">
      <c r="A394" t="s">
        <v>1398</v>
      </c>
      <c r="B394" t="s">
        <v>1399</v>
      </c>
      <c r="C394" t="s">
        <v>606</v>
      </c>
      <c r="D394" t="s">
        <v>549</v>
      </c>
      <c r="E394" t="s">
        <v>551</v>
      </c>
      <c r="F394" t="s">
        <v>290</v>
      </c>
      <c r="G394" t="s">
        <v>551</v>
      </c>
      <c r="H394">
        <v>463</v>
      </c>
      <c r="I394">
        <v>3.3407098959216411E-2</v>
      </c>
      <c r="J394">
        <v>478</v>
      </c>
      <c r="K394">
        <v>868</v>
      </c>
      <c r="L394">
        <v>173</v>
      </c>
      <c r="V394" t="s">
        <v>1186</v>
      </c>
      <c r="W394">
        <v>16296</v>
      </c>
      <c r="X394">
        <v>1.01701609222196</v>
      </c>
      <c r="Y394">
        <v>29</v>
      </c>
      <c r="Z394">
        <v>4665</v>
      </c>
      <c r="AA394">
        <v>1.2077689971905571E-2</v>
      </c>
      <c r="AB394">
        <v>0.88415855007307165</v>
      </c>
      <c r="AC394">
        <v>24.379242759306251</v>
      </c>
      <c r="AD394">
        <v>90</v>
      </c>
      <c r="AE394">
        <v>1522.64</v>
      </c>
      <c r="AF394">
        <v>1547.02</v>
      </c>
      <c r="AG394">
        <v>1565.93</v>
      </c>
      <c r="AH394">
        <v>1327.49</v>
      </c>
      <c r="AL394">
        <v>1565.93</v>
      </c>
      <c r="AM394">
        <v>0.29921296922193991</v>
      </c>
      <c r="AN394">
        <v>2234.5300000000002</v>
      </c>
      <c r="AO394">
        <v>668.6</v>
      </c>
      <c r="AP394">
        <v>0.29920000000000002</v>
      </c>
      <c r="AQ394">
        <v>0.70079999999999998</v>
      </c>
      <c r="AR394">
        <v>15507</v>
      </c>
      <c r="AS394">
        <v>1292</v>
      </c>
      <c r="AT394">
        <v>9.2700000000000005E-2</v>
      </c>
      <c r="AU394">
        <v>14812</v>
      </c>
      <c r="AV394">
        <v>14812</v>
      </c>
      <c r="AW394">
        <v>14993</v>
      </c>
      <c r="AX394">
        <v>14993</v>
      </c>
      <c r="AY394">
        <v>0</v>
      </c>
      <c r="BA394">
        <v>0</v>
      </c>
      <c r="BB394">
        <v>0</v>
      </c>
      <c r="BC394">
        <v>0</v>
      </c>
      <c r="BD394">
        <v>0</v>
      </c>
      <c r="BE394">
        <v>0</v>
      </c>
    </row>
    <row r="395" spans="1:57" x14ac:dyDescent="0.35">
      <c r="A395" t="s">
        <v>1400</v>
      </c>
      <c r="B395" t="s">
        <v>1401</v>
      </c>
      <c r="C395" t="s">
        <v>562</v>
      </c>
      <c r="D395" t="s">
        <v>556</v>
      </c>
      <c r="E395" t="s">
        <v>550</v>
      </c>
      <c r="F395" t="s">
        <v>290</v>
      </c>
      <c r="G395" t="s">
        <v>558</v>
      </c>
      <c r="H395">
        <v>1192</v>
      </c>
      <c r="I395">
        <v>5.2434809110734767E-2</v>
      </c>
      <c r="J395">
        <v>1255</v>
      </c>
      <c r="K395">
        <v>1185</v>
      </c>
      <c r="L395">
        <v>182</v>
      </c>
      <c r="V395" t="s">
        <v>1277</v>
      </c>
      <c r="W395">
        <v>25666</v>
      </c>
      <c r="X395">
        <v>0.87460740415994176</v>
      </c>
      <c r="Y395">
        <v>5</v>
      </c>
      <c r="Z395">
        <v>759</v>
      </c>
      <c r="AA395">
        <v>1.4386438397671619E-2</v>
      </c>
      <c r="AB395">
        <v>0.88083374665917669</v>
      </c>
      <c r="AC395">
        <v>18.356439246074409</v>
      </c>
      <c r="AD395">
        <v>45</v>
      </c>
      <c r="AE395">
        <v>1028.4000000000001</v>
      </c>
      <c r="AF395">
        <v>1046.75</v>
      </c>
      <c r="AG395">
        <v>1062.03</v>
      </c>
      <c r="AH395">
        <v>369.41</v>
      </c>
      <c r="AL395">
        <v>1062.03</v>
      </c>
      <c r="AM395">
        <v>0.38204552452848778</v>
      </c>
      <c r="AN395">
        <v>1718.62</v>
      </c>
      <c r="AO395">
        <v>656.59</v>
      </c>
      <c r="AP395">
        <v>0.38200000000000001</v>
      </c>
      <c r="AQ395">
        <v>0.61799999999999999</v>
      </c>
      <c r="AR395">
        <v>11358</v>
      </c>
      <c r="AS395">
        <v>946</v>
      </c>
      <c r="AT395">
        <v>9.8000000000000004E-2</v>
      </c>
      <c r="AU395">
        <v>10355</v>
      </c>
      <c r="AV395">
        <v>10355</v>
      </c>
      <c r="AW395">
        <v>10506</v>
      </c>
      <c r="AX395">
        <v>10506</v>
      </c>
      <c r="AY395">
        <v>0</v>
      </c>
      <c r="BA395">
        <v>0</v>
      </c>
      <c r="BB395">
        <v>0</v>
      </c>
      <c r="BC395">
        <v>0</v>
      </c>
      <c r="BD395">
        <v>0</v>
      </c>
      <c r="BE395">
        <v>0</v>
      </c>
    </row>
    <row r="396" spans="1:57" x14ac:dyDescent="0.35">
      <c r="A396" t="s">
        <v>1402</v>
      </c>
      <c r="B396" t="s">
        <v>1403</v>
      </c>
      <c r="C396" t="s">
        <v>548</v>
      </c>
      <c r="D396" t="s">
        <v>556</v>
      </c>
      <c r="E396" t="s">
        <v>557</v>
      </c>
      <c r="F396" t="s">
        <v>290</v>
      </c>
      <c r="G396" t="s">
        <v>628</v>
      </c>
      <c r="H396">
        <v>1250</v>
      </c>
      <c r="I396">
        <v>8.5440241066890812E-2</v>
      </c>
      <c r="J396">
        <v>1357</v>
      </c>
      <c r="K396">
        <v>12848</v>
      </c>
      <c r="L396">
        <v>1885</v>
      </c>
      <c r="V396" t="s">
        <v>1280</v>
      </c>
      <c r="W396">
        <v>6154</v>
      </c>
      <c r="X396">
        <v>1.1425297167512369</v>
      </c>
      <c r="Y396">
        <v>24</v>
      </c>
      <c r="Z396">
        <v>3291</v>
      </c>
      <c r="AA396">
        <v>3.5735263752916482E-2</v>
      </c>
      <c r="AB396">
        <v>0.96912998282745177</v>
      </c>
      <c r="AC396">
        <v>23.519604867081789</v>
      </c>
      <c r="AD396">
        <v>60</v>
      </c>
      <c r="AE396">
        <v>146.62</v>
      </c>
      <c r="AF396">
        <v>170.14</v>
      </c>
      <c r="AG396">
        <v>176.45</v>
      </c>
      <c r="AH396">
        <v>566.51</v>
      </c>
      <c r="AL396">
        <v>176.45</v>
      </c>
      <c r="AM396">
        <v>0.38228488000386568</v>
      </c>
      <c r="AN396">
        <v>285.64999999999998</v>
      </c>
      <c r="AO396">
        <v>109.2</v>
      </c>
      <c r="AP396">
        <v>0.38229999999999997</v>
      </c>
      <c r="AQ396">
        <v>0.61770000000000003</v>
      </c>
      <c r="AR396">
        <v>73856</v>
      </c>
      <c r="AS396">
        <v>6155</v>
      </c>
      <c r="AT396">
        <v>0.22239999999999999</v>
      </c>
      <c r="AU396">
        <v>62893</v>
      </c>
      <c r="AV396">
        <v>62893</v>
      </c>
      <c r="AW396">
        <v>65224</v>
      </c>
      <c r="AX396">
        <v>65224</v>
      </c>
      <c r="AY396">
        <v>0</v>
      </c>
      <c r="BA396">
        <v>0</v>
      </c>
      <c r="BB396">
        <v>0</v>
      </c>
      <c r="BC396">
        <v>0</v>
      </c>
      <c r="BD396">
        <v>0</v>
      </c>
      <c r="BE396">
        <v>0</v>
      </c>
    </row>
    <row r="397" spans="1:57" x14ac:dyDescent="0.35">
      <c r="A397" t="s">
        <v>1404</v>
      </c>
      <c r="B397" t="s">
        <v>1405</v>
      </c>
      <c r="C397" t="s">
        <v>548</v>
      </c>
      <c r="D397" t="s">
        <v>549</v>
      </c>
      <c r="E397" t="s">
        <v>557</v>
      </c>
      <c r="F397" t="s">
        <v>290</v>
      </c>
      <c r="G397" t="s">
        <v>551</v>
      </c>
      <c r="H397">
        <v>434</v>
      </c>
      <c r="I397">
        <v>7.8871089912622011E-3</v>
      </c>
      <c r="J397">
        <v>437</v>
      </c>
      <c r="K397">
        <v>9869</v>
      </c>
      <c r="L397">
        <v>805</v>
      </c>
      <c r="V397" t="s">
        <v>1280</v>
      </c>
      <c r="W397">
        <v>6154</v>
      </c>
      <c r="X397">
        <v>1.1425297167512369</v>
      </c>
      <c r="Y397">
        <v>24</v>
      </c>
      <c r="Z397">
        <v>3291</v>
      </c>
      <c r="AA397">
        <v>3.5735263752916482E-2</v>
      </c>
      <c r="AB397">
        <v>0.96912998282745177</v>
      </c>
      <c r="AC397">
        <v>23.519604867081789</v>
      </c>
      <c r="AD397">
        <v>60</v>
      </c>
      <c r="AE397">
        <v>209.27</v>
      </c>
      <c r="AF397">
        <v>232.79</v>
      </c>
      <c r="AG397">
        <v>241.42</v>
      </c>
      <c r="AH397">
        <v>1313.89</v>
      </c>
      <c r="AL397">
        <v>241.42</v>
      </c>
      <c r="AM397">
        <v>0.2354763195263726</v>
      </c>
      <c r="AN397">
        <v>315.77999999999997</v>
      </c>
      <c r="AO397">
        <v>74.36</v>
      </c>
      <c r="AP397">
        <v>0.23549999999999999</v>
      </c>
      <c r="AQ397">
        <v>0.76449999999999996</v>
      </c>
      <c r="AR397">
        <v>63576</v>
      </c>
      <c r="AS397">
        <v>5298</v>
      </c>
      <c r="AT397">
        <v>0.1208</v>
      </c>
      <c r="AU397">
        <v>54512</v>
      </c>
      <c r="AV397">
        <v>54512</v>
      </c>
      <c r="AW397">
        <v>56532</v>
      </c>
      <c r="AX397">
        <v>56532</v>
      </c>
      <c r="AY397">
        <v>0</v>
      </c>
      <c r="BA397">
        <v>0</v>
      </c>
      <c r="BB397">
        <v>0</v>
      </c>
      <c r="BC397">
        <v>0</v>
      </c>
      <c r="BD397">
        <v>0</v>
      </c>
      <c r="BE397">
        <v>0</v>
      </c>
    </row>
    <row r="398" spans="1:57" x14ac:dyDescent="0.35">
      <c r="A398" t="s">
        <v>1406</v>
      </c>
      <c r="B398" t="s">
        <v>1407</v>
      </c>
      <c r="C398" t="s">
        <v>548</v>
      </c>
      <c r="D398" t="s">
        <v>556</v>
      </c>
      <c r="E398" t="s">
        <v>557</v>
      </c>
      <c r="F398" t="s">
        <v>290</v>
      </c>
      <c r="G398" t="s">
        <v>551</v>
      </c>
      <c r="H398">
        <v>1450</v>
      </c>
      <c r="I398">
        <v>4.2393549856693288E-2</v>
      </c>
      <c r="J398">
        <v>1511</v>
      </c>
      <c r="K398">
        <v>8554</v>
      </c>
      <c r="L398">
        <v>843</v>
      </c>
      <c r="V398" t="s">
        <v>1277</v>
      </c>
      <c r="W398">
        <v>25666</v>
      </c>
      <c r="X398">
        <v>0.87460740415994176</v>
      </c>
      <c r="Y398">
        <v>5</v>
      </c>
      <c r="Z398">
        <v>759</v>
      </c>
      <c r="AA398">
        <v>1.4386438397671619E-2</v>
      </c>
      <c r="AB398">
        <v>0.88083374665917669</v>
      </c>
      <c r="AC398">
        <v>18.356439246074409</v>
      </c>
      <c r="AD398">
        <v>45</v>
      </c>
      <c r="AE398">
        <v>777.33</v>
      </c>
      <c r="AF398">
        <v>795.69</v>
      </c>
      <c r="AG398">
        <v>807.3</v>
      </c>
      <c r="AH398">
        <v>548.91999999999996</v>
      </c>
      <c r="AL398">
        <v>807.3</v>
      </c>
      <c r="AM398">
        <v>0.28191936655542371</v>
      </c>
      <c r="AN398">
        <v>1124.25</v>
      </c>
      <c r="AO398">
        <v>316.95</v>
      </c>
      <c r="AP398">
        <v>0.28189999999999998</v>
      </c>
      <c r="AQ398">
        <v>0.71809999999999996</v>
      </c>
      <c r="AR398">
        <v>71938</v>
      </c>
      <c r="AS398">
        <v>5995</v>
      </c>
      <c r="AT398">
        <v>0.11310000000000001</v>
      </c>
      <c r="AU398">
        <v>64227</v>
      </c>
      <c r="AV398">
        <v>64227</v>
      </c>
      <c r="AW398">
        <v>65164</v>
      </c>
      <c r="AX398">
        <v>65164</v>
      </c>
      <c r="AY398">
        <v>0</v>
      </c>
      <c r="BA398">
        <v>0</v>
      </c>
      <c r="BB398">
        <v>0</v>
      </c>
      <c r="BC398">
        <v>0</v>
      </c>
      <c r="BD398">
        <v>0</v>
      </c>
      <c r="BE398">
        <v>0</v>
      </c>
    </row>
    <row r="399" spans="1:57" x14ac:dyDescent="0.35">
      <c r="A399" t="s">
        <v>1408</v>
      </c>
      <c r="B399" t="s">
        <v>1409</v>
      </c>
      <c r="C399" t="s">
        <v>606</v>
      </c>
      <c r="D399" t="s">
        <v>549</v>
      </c>
      <c r="E399" t="s">
        <v>551</v>
      </c>
      <c r="F399" t="s">
        <v>290</v>
      </c>
      <c r="G399" t="s">
        <v>628</v>
      </c>
      <c r="H399">
        <v>561</v>
      </c>
      <c r="I399">
        <v>0.1605813761874835</v>
      </c>
      <c r="J399">
        <v>651</v>
      </c>
      <c r="K399">
        <v>1813</v>
      </c>
      <c r="L399">
        <v>627</v>
      </c>
      <c r="V399" t="s">
        <v>1201</v>
      </c>
      <c r="W399">
        <v>11776</v>
      </c>
      <c r="X399">
        <v>1.127205906368997</v>
      </c>
      <c r="Y399">
        <v>11</v>
      </c>
      <c r="Z399">
        <v>1382</v>
      </c>
      <c r="AA399">
        <v>2.264180960185247E-3</v>
      </c>
      <c r="AB399">
        <v>0.92150462236085917</v>
      </c>
      <c r="AC399">
        <v>11.600453072421921</v>
      </c>
      <c r="AD399">
        <v>90</v>
      </c>
      <c r="AE399">
        <v>829.92</v>
      </c>
      <c r="AF399">
        <v>841.52</v>
      </c>
      <c r="AG399">
        <v>843.43</v>
      </c>
      <c r="AH399">
        <v>1276.1600000000001</v>
      </c>
      <c r="AL399">
        <v>843.43</v>
      </c>
      <c r="AM399">
        <v>0.2029089746424653</v>
      </c>
      <c r="AN399">
        <v>1058.1400000000001</v>
      </c>
      <c r="AO399">
        <v>214.71</v>
      </c>
      <c r="AP399">
        <v>0.2029</v>
      </c>
      <c r="AQ399">
        <v>0.79710000000000003</v>
      </c>
      <c r="AR399">
        <v>31122</v>
      </c>
      <c r="AS399">
        <v>2594</v>
      </c>
      <c r="AT399">
        <v>0.1658</v>
      </c>
      <c r="AU399">
        <v>29936</v>
      </c>
      <c r="AV399">
        <v>29936</v>
      </c>
      <c r="AW399">
        <v>30004</v>
      </c>
      <c r="AX399">
        <v>30004</v>
      </c>
      <c r="AY399">
        <v>0</v>
      </c>
      <c r="BA399">
        <v>0</v>
      </c>
      <c r="BB399">
        <v>0</v>
      </c>
      <c r="BC399">
        <v>0</v>
      </c>
      <c r="BD399">
        <v>0</v>
      </c>
      <c r="BE399">
        <v>0</v>
      </c>
    </row>
    <row r="400" spans="1:57" x14ac:dyDescent="0.35">
      <c r="A400" t="s">
        <v>1410</v>
      </c>
      <c r="B400" t="s">
        <v>1411</v>
      </c>
      <c r="C400" t="s">
        <v>562</v>
      </c>
      <c r="D400" t="s">
        <v>556</v>
      </c>
      <c r="E400" t="s">
        <v>557</v>
      </c>
      <c r="F400" t="s">
        <v>290</v>
      </c>
      <c r="G400" t="s">
        <v>628</v>
      </c>
      <c r="H400">
        <v>700</v>
      </c>
      <c r="I400">
        <v>9.5928396932840984E-2</v>
      </c>
      <c r="J400">
        <v>767</v>
      </c>
      <c r="K400">
        <v>10241</v>
      </c>
      <c r="L400">
        <v>2775</v>
      </c>
      <c r="V400" t="s">
        <v>1254</v>
      </c>
      <c r="W400">
        <v>5854</v>
      </c>
      <c r="X400">
        <v>0.91145858569464455</v>
      </c>
      <c r="Y400">
        <v>3</v>
      </c>
      <c r="Z400">
        <v>3574</v>
      </c>
      <c r="AA400">
        <v>2.7866807159081141E-2</v>
      </c>
      <c r="AB400">
        <v>0.92433084166439905</v>
      </c>
      <c r="AC400">
        <v>12.299012785181111</v>
      </c>
      <c r="AD400">
        <v>60</v>
      </c>
      <c r="AE400">
        <v>338.46</v>
      </c>
      <c r="AF400">
        <v>350.76</v>
      </c>
      <c r="AG400">
        <v>360.81</v>
      </c>
      <c r="AH400">
        <v>765.92</v>
      </c>
      <c r="AL400">
        <v>360.81</v>
      </c>
      <c r="AM400">
        <v>0.39890777737472077</v>
      </c>
      <c r="AN400">
        <v>600.26</v>
      </c>
      <c r="AO400">
        <v>239.45</v>
      </c>
      <c r="AP400">
        <v>0.39889999999999998</v>
      </c>
      <c r="AQ400">
        <v>0.60109999999999997</v>
      </c>
      <c r="AR400">
        <v>89807</v>
      </c>
      <c r="AS400">
        <v>7484</v>
      </c>
      <c r="AT400">
        <v>0.2107</v>
      </c>
      <c r="AU400">
        <v>82341</v>
      </c>
      <c r="AV400">
        <v>82341</v>
      </c>
      <c r="AW400">
        <v>84701</v>
      </c>
      <c r="AX400">
        <v>84701</v>
      </c>
      <c r="AY400">
        <v>0</v>
      </c>
      <c r="BA400">
        <v>0</v>
      </c>
      <c r="BB400">
        <v>0</v>
      </c>
      <c r="BC400">
        <v>0</v>
      </c>
      <c r="BD400">
        <v>0</v>
      </c>
      <c r="BE400">
        <v>0</v>
      </c>
    </row>
    <row r="401" spans="1:57" x14ac:dyDescent="0.35">
      <c r="A401" t="s">
        <v>1412</v>
      </c>
      <c r="B401" t="s">
        <v>1413</v>
      </c>
      <c r="C401" t="s">
        <v>606</v>
      </c>
      <c r="D401" t="s">
        <v>549</v>
      </c>
      <c r="E401" t="s">
        <v>551</v>
      </c>
      <c r="F401" t="s">
        <v>290</v>
      </c>
      <c r="G401" t="s">
        <v>566</v>
      </c>
      <c r="H401">
        <v>1203</v>
      </c>
      <c r="I401">
        <v>0.12830896702083419</v>
      </c>
      <c r="J401">
        <v>1357</v>
      </c>
      <c r="K401">
        <v>7108</v>
      </c>
      <c r="L401">
        <v>537</v>
      </c>
      <c r="V401" t="s">
        <v>1274</v>
      </c>
      <c r="W401">
        <v>21448</v>
      </c>
      <c r="X401">
        <v>0.80625456269647766</v>
      </c>
      <c r="Y401">
        <v>11</v>
      </c>
      <c r="Z401">
        <v>2127</v>
      </c>
      <c r="AA401">
        <v>1.315255063928545E-2</v>
      </c>
      <c r="AB401">
        <v>0.85197117518011178</v>
      </c>
      <c r="AC401">
        <v>6.5733752940425187</v>
      </c>
      <c r="AD401">
        <v>45</v>
      </c>
      <c r="AE401">
        <v>1194.68</v>
      </c>
      <c r="AF401">
        <v>1201.25</v>
      </c>
      <c r="AG401">
        <v>1217.26</v>
      </c>
      <c r="AH401">
        <v>1589.03</v>
      </c>
      <c r="AL401">
        <v>1217.26</v>
      </c>
      <c r="AM401">
        <v>0.39527947696698401</v>
      </c>
      <c r="AN401">
        <v>2012.93</v>
      </c>
      <c r="AO401">
        <v>795.67</v>
      </c>
      <c r="AP401">
        <v>0.39529999999999998</v>
      </c>
      <c r="AQ401">
        <v>0.60470000000000002</v>
      </c>
      <c r="AR401">
        <v>59062</v>
      </c>
      <c r="AS401">
        <v>4922</v>
      </c>
      <c r="AT401">
        <v>9.0499999999999997E-2</v>
      </c>
      <c r="AU401">
        <v>52491</v>
      </c>
      <c r="AV401">
        <v>52491</v>
      </c>
      <c r="AW401">
        <v>53191</v>
      </c>
      <c r="AX401">
        <v>53191</v>
      </c>
      <c r="AY401">
        <v>0</v>
      </c>
      <c r="BA401">
        <v>0</v>
      </c>
      <c r="BB401">
        <v>0</v>
      </c>
      <c r="BC401">
        <v>0</v>
      </c>
      <c r="BD401">
        <v>0</v>
      </c>
      <c r="BE401">
        <v>0</v>
      </c>
    </row>
    <row r="402" spans="1:57" x14ac:dyDescent="0.35">
      <c r="A402" t="s">
        <v>1414</v>
      </c>
      <c r="B402" t="s">
        <v>1415</v>
      </c>
      <c r="C402" t="s">
        <v>606</v>
      </c>
      <c r="D402" t="s">
        <v>556</v>
      </c>
      <c r="E402" t="s">
        <v>551</v>
      </c>
      <c r="F402" t="s">
        <v>290</v>
      </c>
      <c r="G402" t="s">
        <v>566</v>
      </c>
      <c r="H402">
        <v>1490</v>
      </c>
      <c r="I402">
        <v>9.9288826497575464E-2</v>
      </c>
      <c r="J402">
        <v>1638</v>
      </c>
      <c r="K402">
        <v>8703</v>
      </c>
      <c r="L402">
        <v>1167</v>
      </c>
      <c r="V402" t="s">
        <v>1223</v>
      </c>
      <c r="W402">
        <v>27619</v>
      </c>
      <c r="X402">
        <v>0.97606099749584052</v>
      </c>
      <c r="Y402">
        <v>9</v>
      </c>
      <c r="Z402">
        <v>2656</v>
      </c>
      <c r="AA402">
        <v>3.3661406645974237E-2</v>
      </c>
      <c r="AB402">
        <v>0.87427105149108808</v>
      </c>
      <c r="AC402">
        <v>10.99439397418454</v>
      </c>
      <c r="AD402">
        <v>30</v>
      </c>
      <c r="AE402">
        <v>1113.6099999999999</v>
      </c>
      <c r="AF402">
        <v>1124.5999999999999</v>
      </c>
      <c r="AG402">
        <v>1163.77</v>
      </c>
      <c r="AH402">
        <v>161.55000000000001</v>
      </c>
      <c r="AL402">
        <v>1163.77</v>
      </c>
      <c r="AM402">
        <v>0.31237723242686177</v>
      </c>
      <c r="AN402">
        <v>1692.45</v>
      </c>
      <c r="AO402">
        <v>528.67999999999995</v>
      </c>
      <c r="AP402">
        <v>0.31240000000000001</v>
      </c>
      <c r="AQ402">
        <v>0.68759999999999999</v>
      </c>
      <c r="AR402">
        <v>45979</v>
      </c>
      <c r="AS402">
        <v>3832</v>
      </c>
      <c r="AT402">
        <v>0.17810000000000001</v>
      </c>
      <c r="AU402">
        <v>38443</v>
      </c>
      <c r="AV402">
        <v>38443</v>
      </c>
      <c r="AW402">
        <v>39782</v>
      </c>
      <c r="AX402">
        <v>39782</v>
      </c>
      <c r="AY402">
        <v>0</v>
      </c>
      <c r="BA402">
        <v>0</v>
      </c>
      <c r="BB402">
        <v>0</v>
      </c>
      <c r="BC402">
        <v>0</v>
      </c>
      <c r="BD402">
        <v>0</v>
      </c>
      <c r="BE402">
        <v>0</v>
      </c>
    </row>
    <row r="403" spans="1:57" x14ac:dyDescent="0.35">
      <c r="A403" t="s">
        <v>1416</v>
      </c>
      <c r="B403" t="s">
        <v>1417</v>
      </c>
      <c r="C403" t="s">
        <v>573</v>
      </c>
      <c r="D403" t="s">
        <v>556</v>
      </c>
      <c r="E403" t="s">
        <v>551</v>
      </c>
      <c r="F403" t="s">
        <v>290</v>
      </c>
      <c r="G403" t="s">
        <v>566</v>
      </c>
      <c r="H403">
        <v>768</v>
      </c>
      <c r="I403">
        <v>0.12819441905420781</v>
      </c>
      <c r="J403">
        <v>866</v>
      </c>
      <c r="K403">
        <v>5247</v>
      </c>
      <c r="L403">
        <v>306</v>
      </c>
      <c r="V403" t="s">
        <v>1294</v>
      </c>
      <c r="W403">
        <v>27299</v>
      </c>
      <c r="X403">
        <v>1.1718790609370291</v>
      </c>
      <c r="Y403">
        <v>15</v>
      </c>
      <c r="Z403">
        <v>1697</v>
      </c>
      <c r="AA403">
        <v>2.6069342747396088E-2</v>
      </c>
      <c r="AB403">
        <v>0.97200448262628047</v>
      </c>
      <c r="AC403">
        <v>20.484457768679629</v>
      </c>
      <c r="AD403">
        <v>60</v>
      </c>
      <c r="AE403">
        <v>1387.88</v>
      </c>
      <c r="AF403">
        <v>1408.37</v>
      </c>
      <c r="AG403">
        <v>1446.06</v>
      </c>
      <c r="AH403">
        <v>293.73</v>
      </c>
      <c r="AL403">
        <v>1446.06</v>
      </c>
      <c r="AM403">
        <v>0.35110351491936831</v>
      </c>
      <c r="AN403">
        <v>2228.4899999999998</v>
      </c>
      <c r="AO403">
        <v>782.43</v>
      </c>
      <c r="AP403">
        <v>0.35110000000000002</v>
      </c>
      <c r="AQ403">
        <v>0.64890000000000003</v>
      </c>
      <c r="AR403">
        <v>35900</v>
      </c>
      <c r="AS403">
        <v>2992</v>
      </c>
      <c r="AT403">
        <v>0.1003</v>
      </c>
      <c r="AU403">
        <v>30959</v>
      </c>
      <c r="AV403">
        <v>30959</v>
      </c>
      <c r="AW403">
        <v>31788</v>
      </c>
      <c r="AX403">
        <v>31788</v>
      </c>
      <c r="AY403">
        <v>0</v>
      </c>
      <c r="BA403">
        <v>0</v>
      </c>
      <c r="BB403">
        <v>0</v>
      </c>
      <c r="BC403">
        <v>0</v>
      </c>
      <c r="BD403">
        <v>0</v>
      </c>
      <c r="BE403">
        <v>0</v>
      </c>
    </row>
    <row r="404" spans="1:57" x14ac:dyDescent="0.35">
      <c r="A404" t="s">
        <v>1418</v>
      </c>
      <c r="B404" t="s">
        <v>1419</v>
      </c>
      <c r="C404" t="s">
        <v>562</v>
      </c>
      <c r="D404" t="s">
        <v>556</v>
      </c>
      <c r="E404" t="s">
        <v>551</v>
      </c>
      <c r="F404" t="s">
        <v>290</v>
      </c>
      <c r="G404" t="s">
        <v>558</v>
      </c>
      <c r="H404">
        <v>237</v>
      </c>
      <c r="I404">
        <v>7.6764911684679568E-2</v>
      </c>
      <c r="J404">
        <v>255</v>
      </c>
      <c r="K404">
        <v>2790</v>
      </c>
      <c r="L404">
        <v>294</v>
      </c>
      <c r="V404" t="s">
        <v>1277</v>
      </c>
      <c r="W404">
        <v>25666</v>
      </c>
      <c r="X404">
        <v>0.87460740415994176</v>
      </c>
      <c r="Y404">
        <v>5</v>
      </c>
      <c r="Z404">
        <v>759</v>
      </c>
      <c r="AA404">
        <v>1.4386438397671619E-2</v>
      </c>
      <c r="AB404">
        <v>0.88083374665917669</v>
      </c>
      <c r="AC404">
        <v>18.356439246074409</v>
      </c>
      <c r="AD404">
        <v>45</v>
      </c>
      <c r="AE404">
        <v>807.95</v>
      </c>
      <c r="AF404">
        <v>826.3</v>
      </c>
      <c r="AG404">
        <v>838.37</v>
      </c>
      <c r="AH404">
        <v>1095.02</v>
      </c>
      <c r="AL404">
        <v>838.37</v>
      </c>
      <c r="AM404">
        <v>0.32877504032092503</v>
      </c>
      <c r="AN404">
        <v>1249.01</v>
      </c>
      <c r="AO404">
        <v>410.64</v>
      </c>
      <c r="AP404">
        <v>0.32879999999999998</v>
      </c>
      <c r="AQ404">
        <v>0.67120000000000002</v>
      </c>
      <c r="AR404">
        <v>28840</v>
      </c>
      <c r="AS404">
        <v>2403</v>
      </c>
      <c r="AT404">
        <v>8.6199999999999999E-2</v>
      </c>
      <c r="AU404">
        <v>26344</v>
      </c>
      <c r="AV404">
        <v>26344</v>
      </c>
      <c r="AW404">
        <v>26729</v>
      </c>
      <c r="AX404">
        <v>26729</v>
      </c>
      <c r="AY404">
        <v>0</v>
      </c>
      <c r="BA404">
        <v>0</v>
      </c>
      <c r="BB404">
        <v>0</v>
      </c>
      <c r="BC404">
        <v>0</v>
      </c>
      <c r="BD404">
        <v>0</v>
      </c>
      <c r="BE404">
        <v>0</v>
      </c>
    </row>
    <row r="405" spans="1:57" x14ac:dyDescent="0.35">
      <c r="A405" t="s">
        <v>1420</v>
      </c>
      <c r="B405" t="s">
        <v>1421</v>
      </c>
      <c r="C405" t="s">
        <v>548</v>
      </c>
      <c r="D405" t="s">
        <v>549</v>
      </c>
      <c r="E405" t="s">
        <v>551</v>
      </c>
      <c r="F405" t="s">
        <v>290</v>
      </c>
      <c r="G405" t="s">
        <v>558</v>
      </c>
      <c r="H405">
        <v>1235</v>
      </c>
      <c r="I405">
        <v>5.7771715655822363E-2</v>
      </c>
      <c r="J405">
        <v>1306</v>
      </c>
      <c r="K405">
        <v>6719</v>
      </c>
      <c r="L405">
        <v>687</v>
      </c>
      <c r="V405" t="s">
        <v>1321</v>
      </c>
      <c r="W405">
        <v>17666</v>
      </c>
      <c r="X405">
        <v>0.82961786069363619</v>
      </c>
      <c r="Y405">
        <v>9</v>
      </c>
      <c r="Z405">
        <v>3199</v>
      </c>
      <c r="AA405">
        <v>3.4797930183272548E-2</v>
      </c>
      <c r="AB405">
        <v>0.93726173775585808</v>
      </c>
      <c r="AC405">
        <v>9.6106545716109313</v>
      </c>
      <c r="AD405">
        <v>90</v>
      </c>
      <c r="AE405">
        <v>613.62</v>
      </c>
      <c r="AF405">
        <v>623.23</v>
      </c>
      <c r="AG405">
        <v>645.70000000000005</v>
      </c>
      <c r="AH405">
        <v>1711.38</v>
      </c>
      <c r="AL405">
        <v>645.70000000000005</v>
      </c>
      <c r="AM405">
        <v>0.29828955475986713</v>
      </c>
      <c r="AN405">
        <v>920.18</v>
      </c>
      <c r="AO405">
        <v>274.48</v>
      </c>
      <c r="AP405">
        <v>0.29830000000000001</v>
      </c>
      <c r="AQ405">
        <v>0.70169999999999999</v>
      </c>
      <c r="AR405">
        <v>52167</v>
      </c>
      <c r="AS405">
        <v>4347</v>
      </c>
      <c r="AT405">
        <v>8.8999999999999996E-2</v>
      </c>
      <c r="AU405">
        <v>46135</v>
      </c>
      <c r="AV405">
        <v>46135</v>
      </c>
      <c r="AW405">
        <v>47798</v>
      </c>
      <c r="AX405">
        <v>47798</v>
      </c>
      <c r="AY405">
        <v>0</v>
      </c>
      <c r="BA405">
        <v>0</v>
      </c>
      <c r="BB405">
        <v>0</v>
      </c>
      <c r="BC405">
        <v>0</v>
      </c>
      <c r="BD405">
        <v>0</v>
      </c>
      <c r="BE405">
        <v>0</v>
      </c>
    </row>
    <row r="406" spans="1:57" x14ac:dyDescent="0.35">
      <c r="A406" t="s">
        <v>1422</v>
      </c>
      <c r="B406" t="s">
        <v>1423</v>
      </c>
      <c r="C406" t="s">
        <v>562</v>
      </c>
      <c r="D406" t="s">
        <v>549</v>
      </c>
      <c r="E406" t="s">
        <v>551</v>
      </c>
      <c r="F406" t="s">
        <v>290</v>
      </c>
      <c r="G406" t="s">
        <v>566</v>
      </c>
      <c r="H406">
        <v>1491</v>
      </c>
      <c r="I406">
        <v>-2.2683537320891262E-3</v>
      </c>
      <c r="J406">
        <v>1488</v>
      </c>
      <c r="K406">
        <v>1200</v>
      </c>
      <c r="L406">
        <v>496</v>
      </c>
      <c r="V406" t="s">
        <v>1209</v>
      </c>
      <c r="W406">
        <v>22340</v>
      </c>
      <c r="X406">
        <v>0.88970772378422391</v>
      </c>
      <c r="Y406">
        <v>3</v>
      </c>
      <c r="Z406">
        <v>4593</v>
      </c>
      <c r="AA406">
        <v>1.436518853005217E-2</v>
      </c>
      <c r="AB406">
        <v>0.95450879671652333</v>
      </c>
      <c r="AC406">
        <v>16.941556678085941</v>
      </c>
      <c r="AD406">
        <v>45</v>
      </c>
      <c r="AE406">
        <v>215.27</v>
      </c>
      <c r="AF406">
        <v>232.21</v>
      </c>
      <c r="AG406">
        <v>235.59</v>
      </c>
      <c r="AH406">
        <v>1293.2</v>
      </c>
      <c r="AL406">
        <v>235.59</v>
      </c>
      <c r="AM406">
        <v>0.16333699924722439</v>
      </c>
      <c r="AN406">
        <v>281.58</v>
      </c>
      <c r="AO406">
        <v>45.99</v>
      </c>
      <c r="AP406">
        <v>0.1633</v>
      </c>
      <c r="AQ406">
        <v>0.8367</v>
      </c>
      <c r="AR406">
        <v>20037</v>
      </c>
      <c r="AS406">
        <v>1670</v>
      </c>
      <c r="AT406">
        <v>0.2218</v>
      </c>
      <c r="AU406">
        <v>19333</v>
      </c>
      <c r="AV406">
        <v>19333</v>
      </c>
      <c r="AW406">
        <v>19615</v>
      </c>
      <c r="AX406">
        <v>19615</v>
      </c>
      <c r="AY406">
        <v>0</v>
      </c>
      <c r="BA406">
        <v>0</v>
      </c>
      <c r="BB406">
        <v>0</v>
      </c>
      <c r="BC406">
        <v>0</v>
      </c>
      <c r="BD406">
        <v>0</v>
      </c>
      <c r="BE406">
        <v>0</v>
      </c>
    </row>
    <row r="407" spans="1:57" x14ac:dyDescent="0.35">
      <c r="A407" t="s">
        <v>1424</v>
      </c>
      <c r="B407" t="s">
        <v>1425</v>
      </c>
      <c r="C407" t="s">
        <v>548</v>
      </c>
      <c r="D407" t="s">
        <v>556</v>
      </c>
      <c r="E407" t="s">
        <v>557</v>
      </c>
      <c r="F407" t="s">
        <v>290</v>
      </c>
      <c r="G407" t="s">
        <v>551</v>
      </c>
      <c r="H407">
        <v>487</v>
      </c>
      <c r="I407">
        <v>6.5380731897151698E-2</v>
      </c>
      <c r="J407">
        <v>519</v>
      </c>
      <c r="K407">
        <v>12090</v>
      </c>
      <c r="L407">
        <v>805</v>
      </c>
      <c r="V407" t="s">
        <v>1233</v>
      </c>
      <c r="W407">
        <v>13838</v>
      </c>
      <c r="X407">
        <v>0.86820964947491663</v>
      </c>
      <c r="Y407">
        <v>9</v>
      </c>
      <c r="Z407">
        <v>2535</v>
      </c>
      <c r="AA407">
        <v>3.7803666716024413E-2</v>
      </c>
      <c r="AB407">
        <v>0.92886035049837545</v>
      </c>
      <c r="AC407">
        <v>10.86457955841807</v>
      </c>
      <c r="AD407">
        <v>30</v>
      </c>
      <c r="AE407">
        <v>618.86</v>
      </c>
      <c r="AF407">
        <v>629.73</v>
      </c>
      <c r="AG407">
        <v>654.47</v>
      </c>
      <c r="AH407">
        <v>585.41</v>
      </c>
      <c r="AL407">
        <v>654.47</v>
      </c>
      <c r="AM407">
        <v>0.26369108563816518</v>
      </c>
      <c r="AN407">
        <v>888.85</v>
      </c>
      <c r="AO407">
        <v>234.38</v>
      </c>
      <c r="AP407">
        <v>0.26369999999999999</v>
      </c>
      <c r="AQ407">
        <v>0.73629999999999995</v>
      </c>
      <c r="AR407">
        <v>61721</v>
      </c>
      <c r="AS407">
        <v>5143</v>
      </c>
      <c r="AT407">
        <v>0.10009999999999999</v>
      </c>
      <c r="AU407">
        <v>50436</v>
      </c>
      <c r="AV407">
        <v>50436</v>
      </c>
      <c r="AW407">
        <v>52418</v>
      </c>
      <c r="AX407">
        <v>52418</v>
      </c>
      <c r="AY407">
        <v>0</v>
      </c>
      <c r="BA407">
        <v>0</v>
      </c>
      <c r="BB407">
        <v>0</v>
      </c>
      <c r="BC407">
        <v>0</v>
      </c>
      <c r="BD407">
        <v>0</v>
      </c>
      <c r="BE407">
        <v>0</v>
      </c>
    </row>
    <row r="408" spans="1:57" x14ac:dyDescent="0.35">
      <c r="A408" t="s">
        <v>1426</v>
      </c>
      <c r="B408" t="s">
        <v>1427</v>
      </c>
      <c r="C408" t="s">
        <v>606</v>
      </c>
      <c r="D408" t="s">
        <v>549</v>
      </c>
      <c r="E408" t="s">
        <v>551</v>
      </c>
      <c r="F408" t="s">
        <v>290</v>
      </c>
      <c r="G408" t="s">
        <v>566</v>
      </c>
      <c r="H408">
        <v>1176</v>
      </c>
      <c r="I408">
        <v>1.4894112318762301E-2</v>
      </c>
      <c r="J408">
        <v>1194</v>
      </c>
      <c r="K408">
        <v>4108</v>
      </c>
      <c r="L408">
        <v>348</v>
      </c>
      <c r="V408" t="s">
        <v>1251</v>
      </c>
      <c r="W408">
        <v>5860</v>
      </c>
      <c r="X408">
        <v>0.87337391594646552</v>
      </c>
      <c r="Y408">
        <v>10</v>
      </c>
      <c r="Z408">
        <v>3872</v>
      </c>
      <c r="AA408">
        <v>2.4680306001966499E-2</v>
      </c>
      <c r="AB408">
        <v>0.91241658539950277</v>
      </c>
      <c r="AC408">
        <v>4.299423063814066</v>
      </c>
      <c r="AD408">
        <v>45</v>
      </c>
      <c r="AE408">
        <v>916.42</v>
      </c>
      <c r="AF408">
        <v>920.72</v>
      </c>
      <c r="AG408">
        <v>944.02</v>
      </c>
      <c r="AH408">
        <v>1188.56</v>
      </c>
      <c r="AL408">
        <v>944.02</v>
      </c>
      <c r="AM408">
        <v>0.3186965755418526</v>
      </c>
      <c r="AN408">
        <v>1385.61</v>
      </c>
      <c r="AO408">
        <v>441.59</v>
      </c>
      <c r="AP408">
        <v>0.31869999999999998</v>
      </c>
      <c r="AQ408">
        <v>0.68130000000000002</v>
      </c>
      <c r="AR408">
        <v>39495</v>
      </c>
      <c r="AS408">
        <v>3291</v>
      </c>
      <c r="AT408">
        <v>8.77E-2</v>
      </c>
      <c r="AU408">
        <v>35735</v>
      </c>
      <c r="AV408">
        <v>35735</v>
      </c>
      <c r="AW408">
        <v>36639</v>
      </c>
      <c r="AX408">
        <v>36639</v>
      </c>
      <c r="AY408">
        <v>0</v>
      </c>
      <c r="BA408">
        <v>0</v>
      </c>
      <c r="BB408">
        <v>0</v>
      </c>
      <c r="BC408">
        <v>0</v>
      </c>
      <c r="BD408">
        <v>0</v>
      </c>
      <c r="BE408">
        <v>0</v>
      </c>
    </row>
    <row r="409" spans="1:57" x14ac:dyDescent="0.35">
      <c r="A409" t="s">
        <v>1428</v>
      </c>
      <c r="B409" t="s">
        <v>1429</v>
      </c>
      <c r="C409" t="s">
        <v>573</v>
      </c>
      <c r="D409" t="s">
        <v>556</v>
      </c>
      <c r="E409" t="s">
        <v>551</v>
      </c>
      <c r="F409" t="s">
        <v>290</v>
      </c>
      <c r="G409" t="s">
        <v>628</v>
      </c>
      <c r="H409">
        <v>1401</v>
      </c>
      <c r="I409">
        <v>5.7246232960222618E-2</v>
      </c>
      <c r="J409">
        <v>1481</v>
      </c>
      <c r="K409">
        <v>3754</v>
      </c>
      <c r="L409">
        <v>692</v>
      </c>
      <c r="V409" t="s">
        <v>1285</v>
      </c>
      <c r="W409">
        <v>5995</v>
      </c>
      <c r="X409">
        <v>1.0391599915244341</v>
      </c>
      <c r="Y409">
        <v>18</v>
      </c>
      <c r="Z409">
        <v>3442</v>
      </c>
      <c r="AA409">
        <v>5.3627150779729411E-3</v>
      </c>
      <c r="AB409">
        <v>0.87743760073868027</v>
      </c>
      <c r="AC409">
        <v>3.0402276449423762</v>
      </c>
      <c r="AD409">
        <v>90</v>
      </c>
      <c r="AE409">
        <v>576.87</v>
      </c>
      <c r="AF409">
        <v>579.91</v>
      </c>
      <c r="AG409">
        <v>583.03</v>
      </c>
      <c r="AH409">
        <v>334.14</v>
      </c>
      <c r="AL409">
        <v>583.03</v>
      </c>
      <c r="AM409">
        <v>0.31938290347092108</v>
      </c>
      <c r="AN409">
        <v>856.62</v>
      </c>
      <c r="AO409">
        <v>273.58999999999997</v>
      </c>
      <c r="AP409">
        <v>0.31940000000000002</v>
      </c>
      <c r="AQ409">
        <v>0.68059999999999998</v>
      </c>
      <c r="AR409">
        <v>30848</v>
      </c>
      <c r="AS409">
        <v>2571</v>
      </c>
      <c r="AT409">
        <v>0.15440000000000001</v>
      </c>
      <c r="AU409">
        <v>27786</v>
      </c>
      <c r="AV409">
        <v>27786</v>
      </c>
      <c r="AW409">
        <v>27936</v>
      </c>
      <c r="AX409">
        <v>27936</v>
      </c>
      <c r="AY409">
        <v>0</v>
      </c>
      <c r="BA409">
        <v>0</v>
      </c>
      <c r="BB409">
        <v>0</v>
      </c>
      <c r="BC409">
        <v>0</v>
      </c>
      <c r="BD409">
        <v>0</v>
      </c>
      <c r="BE409">
        <v>0</v>
      </c>
    </row>
    <row r="410" spans="1:57" x14ac:dyDescent="0.35">
      <c r="A410" t="s">
        <v>1430</v>
      </c>
      <c r="B410" t="s">
        <v>1431</v>
      </c>
      <c r="C410" t="s">
        <v>562</v>
      </c>
      <c r="D410" t="s">
        <v>549</v>
      </c>
      <c r="E410" t="s">
        <v>551</v>
      </c>
      <c r="F410" t="s">
        <v>290</v>
      </c>
      <c r="G410" t="s">
        <v>551</v>
      </c>
      <c r="H410">
        <v>2287</v>
      </c>
      <c r="I410">
        <v>1.225218402727248E-2</v>
      </c>
      <c r="J410">
        <v>2315</v>
      </c>
      <c r="K410">
        <v>5318</v>
      </c>
      <c r="L410">
        <v>1009</v>
      </c>
      <c r="V410" t="s">
        <v>1220</v>
      </c>
      <c r="W410">
        <v>16447</v>
      </c>
      <c r="X410">
        <v>0.89505501759695993</v>
      </c>
      <c r="Y410">
        <v>8</v>
      </c>
      <c r="Z410">
        <v>2427</v>
      </c>
      <c r="AA410">
        <v>1.9871424108949459E-2</v>
      </c>
      <c r="AB410">
        <v>0.98767923972527805</v>
      </c>
      <c r="AC410">
        <v>11.17296217622472</v>
      </c>
      <c r="AD410">
        <v>15</v>
      </c>
      <c r="AE410">
        <v>1468.61</v>
      </c>
      <c r="AF410">
        <v>1479.78</v>
      </c>
      <c r="AG410">
        <v>1509.78</v>
      </c>
      <c r="AH410">
        <v>1112.98</v>
      </c>
      <c r="AL410">
        <v>1509.78</v>
      </c>
      <c r="AM410">
        <v>0.24328065460559589</v>
      </c>
      <c r="AN410">
        <v>1995.17</v>
      </c>
      <c r="AO410">
        <v>485.39</v>
      </c>
      <c r="AP410">
        <v>0.24329999999999999</v>
      </c>
      <c r="AQ410">
        <v>0.75670000000000004</v>
      </c>
      <c r="AR410">
        <v>51483</v>
      </c>
      <c r="AS410">
        <v>4290</v>
      </c>
      <c r="AT410">
        <v>0.2235</v>
      </c>
      <c r="AU410">
        <v>47174</v>
      </c>
      <c r="AV410">
        <v>47174</v>
      </c>
      <c r="AW410">
        <v>48130</v>
      </c>
      <c r="AX410">
        <v>48130</v>
      </c>
      <c r="AY410">
        <v>0</v>
      </c>
      <c r="BA410">
        <v>0</v>
      </c>
      <c r="BB410">
        <v>0</v>
      </c>
      <c r="BC410">
        <v>0</v>
      </c>
      <c r="BD410">
        <v>0</v>
      </c>
      <c r="BE410">
        <v>0</v>
      </c>
    </row>
    <row r="411" spans="1:57" x14ac:dyDescent="0.35">
      <c r="A411" t="s">
        <v>1432</v>
      </c>
      <c r="B411" t="s">
        <v>1433</v>
      </c>
      <c r="C411" t="s">
        <v>548</v>
      </c>
      <c r="D411" t="s">
        <v>556</v>
      </c>
      <c r="E411" t="s">
        <v>550</v>
      </c>
      <c r="F411" t="s">
        <v>290</v>
      </c>
      <c r="G411" t="s">
        <v>566</v>
      </c>
      <c r="H411">
        <v>160</v>
      </c>
      <c r="I411">
        <v>0.16450581775180731</v>
      </c>
      <c r="J411">
        <v>186</v>
      </c>
      <c r="K411">
        <v>4339</v>
      </c>
      <c r="L411">
        <v>548</v>
      </c>
      <c r="V411" t="s">
        <v>1209</v>
      </c>
      <c r="W411">
        <v>22340</v>
      </c>
      <c r="X411">
        <v>0.88970772378422391</v>
      </c>
      <c r="Y411">
        <v>3</v>
      </c>
      <c r="Z411">
        <v>4593</v>
      </c>
      <c r="AA411">
        <v>1.436518853005217E-2</v>
      </c>
      <c r="AB411">
        <v>0.95450879671652333</v>
      </c>
      <c r="AC411">
        <v>16.941556678085941</v>
      </c>
      <c r="AD411">
        <v>45</v>
      </c>
      <c r="AE411">
        <v>245.68</v>
      </c>
      <c r="AF411">
        <v>262.62</v>
      </c>
      <c r="AG411">
        <v>266.44</v>
      </c>
      <c r="AH411">
        <v>796.11</v>
      </c>
      <c r="AL411">
        <v>266.44</v>
      </c>
      <c r="AM411">
        <v>0.38542299666450758</v>
      </c>
      <c r="AN411">
        <v>433.53</v>
      </c>
      <c r="AO411">
        <v>167.09</v>
      </c>
      <c r="AP411">
        <v>0.38540000000000002</v>
      </c>
      <c r="AQ411">
        <v>0.61460000000000004</v>
      </c>
      <c r="AR411">
        <v>28474</v>
      </c>
      <c r="AS411">
        <v>2373</v>
      </c>
      <c r="AT411">
        <v>0.1246</v>
      </c>
      <c r="AU411">
        <v>24683</v>
      </c>
      <c r="AV411">
        <v>24683</v>
      </c>
      <c r="AW411">
        <v>25043</v>
      </c>
      <c r="AX411">
        <v>25043</v>
      </c>
      <c r="AY411">
        <v>0</v>
      </c>
      <c r="BA411">
        <v>0</v>
      </c>
      <c r="BB411">
        <v>0</v>
      </c>
      <c r="BC411">
        <v>0</v>
      </c>
      <c r="BD411">
        <v>0</v>
      </c>
      <c r="BE411">
        <v>0</v>
      </c>
    </row>
    <row r="412" spans="1:57" x14ac:dyDescent="0.35">
      <c r="A412" t="s">
        <v>1434</v>
      </c>
      <c r="B412" t="s">
        <v>1435</v>
      </c>
      <c r="C412" t="s">
        <v>555</v>
      </c>
      <c r="D412" t="s">
        <v>556</v>
      </c>
      <c r="E412" t="s">
        <v>551</v>
      </c>
      <c r="F412" t="s">
        <v>290</v>
      </c>
      <c r="G412" t="s">
        <v>566</v>
      </c>
      <c r="H412">
        <v>2722</v>
      </c>
      <c r="I412">
        <v>0.16229475137542601</v>
      </c>
      <c r="J412">
        <v>3164</v>
      </c>
      <c r="K412">
        <v>7328</v>
      </c>
      <c r="L412">
        <v>743</v>
      </c>
      <c r="V412" t="s">
        <v>1206</v>
      </c>
      <c r="W412">
        <v>15965</v>
      </c>
      <c r="X412">
        <v>1.1548850970305311</v>
      </c>
      <c r="Y412">
        <v>3</v>
      </c>
      <c r="Z412">
        <v>2790</v>
      </c>
      <c r="AA412">
        <v>3.0909831847442101E-2</v>
      </c>
      <c r="AB412">
        <v>0.92857880765972944</v>
      </c>
      <c r="AC412">
        <v>19.732245138954902</v>
      </c>
      <c r="AD412">
        <v>45</v>
      </c>
      <c r="AE412">
        <v>729.59</v>
      </c>
      <c r="AF412">
        <v>749.32</v>
      </c>
      <c r="AG412">
        <v>773.22</v>
      </c>
      <c r="AH412">
        <v>552.29999999999995</v>
      </c>
      <c r="AL412">
        <v>773.22</v>
      </c>
      <c r="AM412">
        <v>0.19183925805919519</v>
      </c>
      <c r="AN412">
        <v>956.77</v>
      </c>
      <c r="AO412">
        <v>183.55</v>
      </c>
      <c r="AP412">
        <v>0.1918</v>
      </c>
      <c r="AQ412">
        <v>0.80820000000000003</v>
      </c>
      <c r="AR412">
        <v>49069</v>
      </c>
      <c r="AS412">
        <v>4089</v>
      </c>
      <c r="AT412">
        <v>0.1517</v>
      </c>
      <c r="AU412">
        <v>42484</v>
      </c>
      <c r="AV412">
        <v>42484</v>
      </c>
      <c r="AW412">
        <v>43839</v>
      </c>
      <c r="AX412">
        <v>43839</v>
      </c>
      <c r="AY412">
        <v>0</v>
      </c>
      <c r="BA412">
        <v>0</v>
      </c>
      <c r="BB412">
        <v>0</v>
      </c>
      <c r="BC412">
        <v>0</v>
      </c>
      <c r="BD412">
        <v>0</v>
      </c>
      <c r="BE412">
        <v>0</v>
      </c>
    </row>
    <row r="413" spans="1:57" x14ac:dyDescent="0.35">
      <c r="A413" t="s">
        <v>1436</v>
      </c>
      <c r="B413" t="s">
        <v>1437</v>
      </c>
      <c r="C413" t="s">
        <v>548</v>
      </c>
      <c r="D413" t="s">
        <v>556</v>
      </c>
      <c r="E413" t="s">
        <v>557</v>
      </c>
      <c r="F413" t="s">
        <v>290</v>
      </c>
      <c r="G413" t="s">
        <v>628</v>
      </c>
      <c r="H413">
        <v>1919</v>
      </c>
      <c r="I413">
        <v>0.1059357712160023</v>
      </c>
      <c r="J413">
        <v>2122</v>
      </c>
      <c r="K413">
        <v>8717</v>
      </c>
      <c r="L413">
        <v>751</v>
      </c>
      <c r="V413" t="s">
        <v>1206</v>
      </c>
      <c r="W413">
        <v>15965</v>
      </c>
      <c r="X413">
        <v>1.1548850970305311</v>
      </c>
      <c r="Y413">
        <v>3</v>
      </c>
      <c r="Z413">
        <v>2790</v>
      </c>
      <c r="AA413">
        <v>3.0909831847442101E-2</v>
      </c>
      <c r="AB413">
        <v>0.92857880765972944</v>
      </c>
      <c r="AC413">
        <v>19.732245138954902</v>
      </c>
      <c r="AD413">
        <v>45</v>
      </c>
      <c r="AE413">
        <v>80.31</v>
      </c>
      <c r="AF413">
        <v>100.04</v>
      </c>
      <c r="AG413">
        <v>103.23</v>
      </c>
      <c r="AH413">
        <v>521.15</v>
      </c>
      <c r="AL413">
        <v>103.23</v>
      </c>
      <c r="AM413">
        <v>0.27508986155389009</v>
      </c>
      <c r="AN413">
        <v>142.4</v>
      </c>
      <c r="AO413">
        <v>39.17</v>
      </c>
      <c r="AP413">
        <v>0.27510000000000001</v>
      </c>
      <c r="AQ413">
        <v>0.72489999999999999</v>
      </c>
      <c r="AR413">
        <v>55416</v>
      </c>
      <c r="AS413">
        <v>4618</v>
      </c>
      <c r="AT413">
        <v>8.6800000000000002E-2</v>
      </c>
      <c r="AU413">
        <v>47450</v>
      </c>
      <c r="AV413">
        <v>47450</v>
      </c>
      <c r="AW413">
        <v>48963</v>
      </c>
      <c r="AX413">
        <v>48963</v>
      </c>
      <c r="AY413">
        <v>0</v>
      </c>
      <c r="BA413">
        <v>0</v>
      </c>
      <c r="BB413">
        <v>0</v>
      </c>
      <c r="BC413">
        <v>0</v>
      </c>
      <c r="BD413">
        <v>0</v>
      </c>
      <c r="BE413">
        <v>0</v>
      </c>
    </row>
    <row r="414" spans="1:57" x14ac:dyDescent="0.35">
      <c r="A414" t="s">
        <v>1438</v>
      </c>
      <c r="B414" t="s">
        <v>1439</v>
      </c>
      <c r="C414" t="s">
        <v>548</v>
      </c>
      <c r="D414" t="s">
        <v>549</v>
      </c>
      <c r="E414" t="s">
        <v>551</v>
      </c>
      <c r="F414" t="s">
        <v>290</v>
      </c>
      <c r="G414" t="s">
        <v>551</v>
      </c>
      <c r="H414">
        <v>1352</v>
      </c>
      <c r="I414">
        <v>5.0583738809333187E-2</v>
      </c>
      <c r="J414">
        <v>1420</v>
      </c>
      <c r="K414">
        <v>1932</v>
      </c>
      <c r="L414">
        <v>377</v>
      </c>
      <c r="V414" t="s">
        <v>1233</v>
      </c>
      <c r="W414">
        <v>13838</v>
      </c>
      <c r="X414">
        <v>0.86820964947491663</v>
      </c>
      <c r="Y414">
        <v>9</v>
      </c>
      <c r="Z414">
        <v>2535</v>
      </c>
      <c r="AA414">
        <v>3.7803666716024413E-2</v>
      </c>
      <c r="AB414">
        <v>0.92886035049837545</v>
      </c>
      <c r="AC414">
        <v>10.86457955841807</v>
      </c>
      <c r="AD414">
        <v>30</v>
      </c>
      <c r="AE414">
        <v>778.54</v>
      </c>
      <c r="AF414">
        <v>789.41</v>
      </c>
      <c r="AG414">
        <v>820.42</v>
      </c>
      <c r="AH414">
        <v>1282.42</v>
      </c>
      <c r="AL414">
        <v>820.42</v>
      </c>
      <c r="AM414">
        <v>0.32272099413770572</v>
      </c>
      <c r="AN414">
        <v>1211.3499999999999</v>
      </c>
      <c r="AO414">
        <v>390.93</v>
      </c>
      <c r="AP414">
        <v>0.32269999999999999</v>
      </c>
      <c r="AQ414">
        <v>0.67730000000000001</v>
      </c>
      <c r="AR414">
        <v>21411</v>
      </c>
      <c r="AS414">
        <v>1784</v>
      </c>
      <c r="AT414">
        <v>0.15629999999999999</v>
      </c>
      <c r="AU414">
        <v>19856</v>
      </c>
      <c r="AV414">
        <v>19856</v>
      </c>
      <c r="AW414">
        <v>20636</v>
      </c>
      <c r="AX414">
        <v>20636</v>
      </c>
      <c r="AY414">
        <v>0</v>
      </c>
      <c r="BA414">
        <v>0</v>
      </c>
      <c r="BB414">
        <v>0</v>
      </c>
      <c r="BC414">
        <v>0</v>
      </c>
      <c r="BD414">
        <v>0</v>
      </c>
      <c r="BE414">
        <v>0</v>
      </c>
    </row>
    <row r="415" spans="1:57" x14ac:dyDescent="0.35">
      <c r="A415" t="s">
        <v>1440</v>
      </c>
      <c r="B415" t="s">
        <v>1441</v>
      </c>
      <c r="C415" t="s">
        <v>548</v>
      </c>
      <c r="D415" t="s">
        <v>549</v>
      </c>
      <c r="E415" t="s">
        <v>551</v>
      </c>
      <c r="F415" t="s">
        <v>290</v>
      </c>
      <c r="G415" t="s">
        <v>551</v>
      </c>
      <c r="H415">
        <v>2688</v>
      </c>
      <c r="I415">
        <v>7.2188656208747454E-3</v>
      </c>
      <c r="J415">
        <v>2707</v>
      </c>
      <c r="K415">
        <v>5270</v>
      </c>
      <c r="L415">
        <v>1385</v>
      </c>
      <c r="V415" t="s">
        <v>1328</v>
      </c>
      <c r="W415">
        <v>24457</v>
      </c>
      <c r="X415">
        <v>0.97006234979649786</v>
      </c>
      <c r="Y415">
        <v>24</v>
      </c>
      <c r="Z415">
        <v>3943</v>
      </c>
      <c r="AA415">
        <v>9.0244693099700273E-3</v>
      </c>
      <c r="AB415">
        <v>0.98574184788703823</v>
      </c>
      <c r="AC415">
        <v>19.82805493730563</v>
      </c>
      <c r="AD415">
        <v>30</v>
      </c>
      <c r="AE415">
        <v>189.86</v>
      </c>
      <c r="AF415">
        <v>209.68</v>
      </c>
      <c r="AG415">
        <v>211.59</v>
      </c>
      <c r="AH415">
        <v>545.08000000000004</v>
      </c>
      <c r="AL415">
        <v>211.59</v>
      </c>
      <c r="AM415">
        <v>0.3242839514729523</v>
      </c>
      <c r="AN415">
        <v>313.13</v>
      </c>
      <c r="AO415">
        <v>101.54</v>
      </c>
      <c r="AP415">
        <v>0.32429999999999998</v>
      </c>
      <c r="AQ415">
        <v>0.67569999999999997</v>
      </c>
      <c r="AR415">
        <v>54133</v>
      </c>
      <c r="AS415">
        <v>4511</v>
      </c>
      <c r="AT415">
        <v>0.1782</v>
      </c>
      <c r="AU415">
        <v>50248</v>
      </c>
      <c r="AV415">
        <v>50248</v>
      </c>
      <c r="AW415">
        <v>50706</v>
      </c>
      <c r="AX415">
        <v>50706</v>
      </c>
      <c r="AY415">
        <v>0</v>
      </c>
      <c r="BA415">
        <v>0</v>
      </c>
      <c r="BB415">
        <v>0</v>
      </c>
      <c r="BC415">
        <v>0</v>
      </c>
      <c r="BD415">
        <v>0</v>
      </c>
      <c r="BE415">
        <v>0</v>
      </c>
    </row>
    <row r="416" spans="1:57" x14ac:dyDescent="0.35">
      <c r="A416" t="s">
        <v>1442</v>
      </c>
      <c r="B416" t="s">
        <v>1443</v>
      </c>
      <c r="C416" t="s">
        <v>573</v>
      </c>
      <c r="D416" t="s">
        <v>549</v>
      </c>
      <c r="E416" t="s">
        <v>557</v>
      </c>
      <c r="F416" t="s">
        <v>290</v>
      </c>
      <c r="G416" t="s">
        <v>551</v>
      </c>
      <c r="H416">
        <v>1062</v>
      </c>
      <c r="I416">
        <v>6.076484058260527E-2</v>
      </c>
      <c r="J416">
        <v>1127</v>
      </c>
      <c r="K416">
        <v>3199</v>
      </c>
      <c r="L416">
        <v>906</v>
      </c>
      <c r="V416" t="s">
        <v>1195</v>
      </c>
      <c r="W416">
        <v>7747</v>
      </c>
      <c r="X416">
        <v>0.94654473731747668</v>
      </c>
      <c r="Y416">
        <v>17</v>
      </c>
      <c r="Z416">
        <v>3105</v>
      </c>
      <c r="AA416">
        <v>9.5876037220176697E-3</v>
      </c>
      <c r="AB416">
        <v>0.92199282137790561</v>
      </c>
      <c r="AC416">
        <v>15.62553508382698</v>
      </c>
      <c r="AD416">
        <v>45</v>
      </c>
      <c r="AE416">
        <v>214.39</v>
      </c>
      <c r="AF416">
        <v>230.01</v>
      </c>
      <c r="AG416">
        <v>232.24</v>
      </c>
      <c r="AH416">
        <v>940.66</v>
      </c>
      <c r="AL416">
        <v>232.24</v>
      </c>
      <c r="AM416">
        <v>0.31215973919220391</v>
      </c>
      <c r="AN416">
        <v>337.64</v>
      </c>
      <c r="AO416">
        <v>105.4</v>
      </c>
      <c r="AP416">
        <v>0.31219999999999998</v>
      </c>
      <c r="AQ416">
        <v>0.68779999999999997</v>
      </c>
      <c r="AR416">
        <v>46508</v>
      </c>
      <c r="AS416">
        <v>3876</v>
      </c>
      <c r="AT416">
        <v>0.17710000000000001</v>
      </c>
      <c r="AU416">
        <v>44215</v>
      </c>
      <c r="AV416">
        <v>44215</v>
      </c>
      <c r="AW416">
        <v>44643</v>
      </c>
      <c r="AX416">
        <v>44643</v>
      </c>
      <c r="AY416">
        <v>0</v>
      </c>
      <c r="BA416">
        <v>0</v>
      </c>
      <c r="BB416">
        <v>0</v>
      </c>
      <c r="BC416">
        <v>0</v>
      </c>
      <c r="BD416">
        <v>0</v>
      </c>
      <c r="BE416">
        <v>0</v>
      </c>
    </row>
    <row r="417" spans="1:57" x14ac:dyDescent="0.35">
      <c r="A417" t="s">
        <v>1444</v>
      </c>
      <c r="B417" t="s">
        <v>1445</v>
      </c>
      <c r="C417" t="s">
        <v>573</v>
      </c>
      <c r="D417" t="s">
        <v>556</v>
      </c>
      <c r="E417" t="s">
        <v>550</v>
      </c>
      <c r="F417" t="s">
        <v>290</v>
      </c>
      <c r="G417" t="s">
        <v>551</v>
      </c>
      <c r="H417">
        <v>288</v>
      </c>
      <c r="I417">
        <v>0.1186965755418526</v>
      </c>
      <c r="J417">
        <v>322</v>
      </c>
      <c r="K417">
        <v>1838</v>
      </c>
      <c r="L417">
        <v>268</v>
      </c>
      <c r="V417" t="s">
        <v>1223</v>
      </c>
      <c r="W417">
        <v>27619</v>
      </c>
      <c r="X417">
        <v>0.97606099749584052</v>
      </c>
      <c r="Y417">
        <v>9</v>
      </c>
      <c r="Z417">
        <v>2656</v>
      </c>
      <c r="AA417">
        <v>3.3661406645974237E-2</v>
      </c>
      <c r="AB417">
        <v>0.87427105149108808</v>
      </c>
      <c r="AC417">
        <v>10.99439397418454</v>
      </c>
      <c r="AD417">
        <v>30</v>
      </c>
      <c r="AE417">
        <v>278.86</v>
      </c>
      <c r="AF417">
        <v>289.85000000000002</v>
      </c>
      <c r="AG417">
        <v>299.95</v>
      </c>
      <c r="AH417">
        <v>319.87</v>
      </c>
      <c r="AL417">
        <v>299.95</v>
      </c>
      <c r="AM417">
        <v>0.21882205336296501</v>
      </c>
      <c r="AN417">
        <v>383.97</v>
      </c>
      <c r="AO417">
        <v>84.02</v>
      </c>
      <c r="AP417">
        <v>0.21879999999999999</v>
      </c>
      <c r="AQ417">
        <v>0.78120000000000001</v>
      </c>
      <c r="AR417">
        <v>12389</v>
      </c>
      <c r="AS417">
        <v>1032</v>
      </c>
      <c r="AT417">
        <v>0.13650000000000001</v>
      </c>
      <c r="AU417">
        <v>10819</v>
      </c>
      <c r="AV417">
        <v>10819</v>
      </c>
      <c r="AW417">
        <v>11196</v>
      </c>
      <c r="AX417">
        <v>11196</v>
      </c>
      <c r="AY417">
        <v>0</v>
      </c>
      <c r="BA417">
        <v>0</v>
      </c>
      <c r="BB417">
        <v>0</v>
      </c>
      <c r="BC417">
        <v>0</v>
      </c>
      <c r="BD417">
        <v>0</v>
      </c>
      <c r="BE417">
        <v>0</v>
      </c>
    </row>
    <row r="418" spans="1:57" x14ac:dyDescent="0.35">
      <c r="A418" t="s">
        <v>1446</v>
      </c>
      <c r="B418" t="s">
        <v>1447</v>
      </c>
      <c r="C418" t="s">
        <v>555</v>
      </c>
      <c r="D418" t="s">
        <v>549</v>
      </c>
      <c r="E418" t="s">
        <v>557</v>
      </c>
      <c r="F418" t="s">
        <v>290</v>
      </c>
      <c r="G418" t="s">
        <v>551</v>
      </c>
      <c r="H418">
        <v>1010</v>
      </c>
      <c r="I418">
        <v>0.19356191353618901</v>
      </c>
      <c r="J418">
        <v>1205</v>
      </c>
      <c r="K418">
        <v>4272</v>
      </c>
      <c r="L418">
        <v>957</v>
      </c>
      <c r="V418" t="s">
        <v>1347</v>
      </c>
      <c r="W418">
        <v>26518</v>
      </c>
      <c r="X418">
        <v>0.84435632832473262</v>
      </c>
      <c r="Y418">
        <v>30</v>
      </c>
      <c r="Z418">
        <v>1584</v>
      </c>
      <c r="AA418">
        <v>9.6653296887450543E-3</v>
      </c>
      <c r="AB418">
        <v>0.9754069033942927</v>
      </c>
      <c r="AC418">
        <v>12.933515133188569</v>
      </c>
      <c r="AD418">
        <v>90</v>
      </c>
      <c r="AE418">
        <v>762.24</v>
      </c>
      <c r="AF418">
        <v>775.17</v>
      </c>
      <c r="AG418">
        <v>782.74</v>
      </c>
      <c r="AH418">
        <v>931.48</v>
      </c>
      <c r="AL418">
        <v>782.74</v>
      </c>
      <c r="AM418">
        <v>0.18905164217165549</v>
      </c>
      <c r="AN418">
        <v>965.22</v>
      </c>
      <c r="AO418">
        <v>182.48</v>
      </c>
      <c r="AP418">
        <v>0.18909999999999999</v>
      </c>
      <c r="AQ418">
        <v>0.81089999999999995</v>
      </c>
      <c r="AR418">
        <v>76335</v>
      </c>
      <c r="AS418">
        <v>6361</v>
      </c>
      <c r="AT418">
        <v>0.1336</v>
      </c>
      <c r="AU418">
        <v>73020</v>
      </c>
      <c r="AV418">
        <v>73020</v>
      </c>
      <c r="AW418">
        <v>73733</v>
      </c>
      <c r="AX418">
        <v>73733</v>
      </c>
      <c r="AY418">
        <v>0</v>
      </c>
      <c r="BA418">
        <v>0</v>
      </c>
      <c r="BB418">
        <v>0</v>
      </c>
      <c r="BC418">
        <v>0</v>
      </c>
      <c r="BD418">
        <v>0</v>
      </c>
      <c r="BE418">
        <v>0</v>
      </c>
    </row>
    <row r="419" spans="1:57" x14ac:dyDescent="0.35">
      <c r="A419" t="s">
        <v>1448</v>
      </c>
      <c r="B419" t="s">
        <v>1449</v>
      </c>
      <c r="C419" t="s">
        <v>562</v>
      </c>
      <c r="D419" t="s">
        <v>549</v>
      </c>
      <c r="E419" t="s">
        <v>550</v>
      </c>
      <c r="F419" t="s">
        <v>290</v>
      </c>
      <c r="G419" t="s">
        <v>551</v>
      </c>
      <c r="H419">
        <v>905</v>
      </c>
      <c r="I419">
        <v>6.37929979334141E-2</v>
      </c>
      <c r="J419">
        <v>963</v>
      </c>
      <c r="K419">
        <v>2603</v>
      </c>
      <c r="L419">
        <v>180</v>
      </c>
      <c r="V419" t="s">
        <v>1254</v>
      </c>
      <c r="W419">
        <v>5854</v>
      </c>
      <c r="X419">
        <v>0.91145858569464455</v>
      </c>
      <c r="Y419">
        <v>3</v>
      </c>
      <c r="Z419">
        <v>3574</v>
      </c>
      <c r="AA419">
        <v>2.7866807159081141E-2</v>
      </c>
      <c r="AB419">
        <v>0.92433084166439905</v>
      </c>
      <c r="AC419">
        <v>12.299012785181111</v>
      </c>
      <c r="AD419">
        <v>60</v>
      </c>
      <c r="AE419">
        <v>1683.62</v>
      </c>
      <c r="AF419">
        <v>1695.92</v>
      </c>
      <c r="AG419">
        <v>1744.54</v>
      </c>
      <c r="AH419">
        <v>500.24</v>
      </c>
      <c r="AL419">
        <v>1744.54</v>
      </c>
      <c r="AM419">
        <v>0.30898508170667771</v>
      </c>
      <c r="AN419">
        <v>2524.61</v>
      </c>
      <c r="AO419">
        <v>780.07</v>
      </c>
      <c r="AP419">
        <v>0.309</v>
      </c>
      <c r="AQ419">
        <v>0.69099999999999995</v>
      </c>
      <c r="AR419">
        <v>18639</v>
      </c>
      <c r="AS419">
        <v>1553</v>
      </c>
      <c r="AT419">
        <v>9.8100000000000007E-2</v>
      </c>
      <c r="AU419">
        <v>16216</v>
      </c>
      <c r="AV419">
        <v>16216</v>
      </c>
      <c r="AW419">
        <v>16681</v>
      </c>
      <c r="AX419">
        <v>16681</v>
      </c>
      <c r="AY419">
        <v>0</v>
      </c>
      <c r="BA419">
        <v>0</v>
      </c>
      <c r="BB419">
        <v>0</v>
      </c>
      <c r="BC419">
        <v>0</v>
      </c>
      <c r="BD419">
        <v>0</v>
      </c>
      <c r="BE419">
        <v>0</v>
      </c>
    </row>
    <row r="420" spans="1:57" x14ac:dyDescent="0.35">
      <c r="A420" t="s">
        <v>1450</v>
      </c>
      <c r="B420" t="s">
        <v>1451</v>
      </c>
      <c r="C420" t="s">
        <v>606</v>
      </c>
      <c r="D420" t="s">
        <v>556</v>
      </c>
      <c r="E420" t="s">
        <v>557</v>
      </c>
      <c r="F420" t="s">
        <v>290</v>
      </c>
      <c r="G420" t="s">
        <v>551</v>
      </c>
      <c r="H420">
        <v>542</v>
      </c>
      <c r="I420">
        <v>6.3394749980708529E-2</v>
      </c>
      <c r="J420">
        <v>576</v>
      </c>
      <c r="K420">
        <v>16921</v>
      </c>
      <c r="L420">
        <v>1661</v>
      </c>
      <c r="V420" t="s">
        <v>1212</v>
      </c>
      <c r="W420">
        <v>10895</v>
      </c>
      <c r="X420">
        <v>1.052455450398905</v>
      </c>
      <c r="Y420">
        <v>4</v>
      </c>
      <c r="Z420">
        <v>4993</v>
      </c>
      <c r="AA420">
        <v>2.6513927757161469E-2</v>
      </c>
      <c r="AB420">
        <v>0.94364936835283397</v>
      </c>
      <c r="AC420">
        <v>21.87585399665377</v>
      </c>
      <c r="AD420">
        <v>60</v>
      </c>
      <c r="AE420">
        <v>578.88</v>
      </c>
      <c r="AF420">
        <v>600.76</v>
      </c>
      <c r="AG420">
        <v>617.12</v>
      </c>
      <c r="AH420">
        <v>419.07</v>
      </c>
      <c r="AL420">
        <v>617.12</v>
      </c>
      <c r="AM420">
        <v>0.29982552903485937</v>
      </c>
      <c r="AN420">
        <v>881.38</v>
      </c>
      <c r="AO420">
        <v>264.26</v>
      </c>
      <c r="AP420">
        <v>0.29980000000000001</v>
      </c>
      <c r="AQ420">
        <v>0.70020000000000004</v>
      </c>
      <c r="AR420">
        <v>93768</v>
      </c>
      <c r="AS420">
        <v>7814</v>
      </c>
      <c r="AT420">
        <v>0.1424</v>
      </c>
      <c r="AU420">
        <v>78508</v>
      </c>
      <c r="AV420">
        <v>78508</v>
      </c>
      <c r="AW420">
        <v>80646</v>
      </c>
      <c r="AX420">
        <v>80646</v>
      </c>
      <c r="AY420">
        <v>0</v>
      </c>
      <c r="BA420">
        <v>0</v>
      </c>
      <c r="BB420">
        <v>0</v>
      </c>
      <c r="BC420">
        <v>0</v>
      </c>
      <c r="BD420">
        <v>0</v>
      </c>
      <c r="BE420">
        <v>0</v>
      </c>
    </row>
    <row r="421" spans="1:57" x14ac:dyDescent="0.35">
      <c r="A421" t="s">
        <v>1452</v>
      </c>
      <c r="B421" t="s">
        <v>1453</v>
      </c>
      <c r="C421" t="s">
        <v>606</v>
      </c>
      <c r="D421" t="s">
        <v>549</v>
      </c>
      <c r="E421" t="s">
        <v>551</v>
      </c>
      <c r="F421" t="s">
        <v>290</v>
      </c>
      <c r="G421" t="s">
        <v>558</v>
      </c>
      <c r="H421">
        <v>421</v>
      </c>
      <c r="I421">
        <v>9.3151808220505602E-2</v>
      </c>
      <c r="J421">
        <v>460</v>
      </c>
      <c r="K421">
        <v>9946</v>
      </c>
      <c r="L421">
        <v>473</v>
      </c>
      <c r="V421" t="s">
        <v>1294</v>
      </c>
      <c r="W421">
        <v>27299</v>
      </c>
      <c r="X421">
        <v>1.1718790609370291</v>
      </c>
      <c r="Y421">
        <v>15</v>
      </c>
      <c r="Z421">
        <v>1697</v>
      </c>
      <c r="AA421">
        <v>2.6069342747396088E-2</v>
      </c>
      <c r="AB421">
        <v>0.97200448262628047</v>
      </c>
      <c r="AC421">
        <v>20.484457768679629</v>
      </c>
      <c r="AD421">
        <v>60</v>
      </c>
      <c r="AE421">
        <v>2034.02</v>
      </c>
      <c r="AF421">
        <v>2054.5100000000002</v>
      </c>
      <c r="AG421">
        <v>2109.5</v>
      </c>
      <c r="AH421">
        <v>1799.06</v>
      </c>
      <c r="AL421">
        <v>2109.5</v>
      </c>
      <c r="AM421">
        <v>0.19483900257231021</v>
      </c>
      <c r="AN421">
        <v>2619.9699999999998</v>
      </c>
      <c r="AO421">
        <v>510.47</v>
      </c>
      <c r="AP421">
        <v>0.1948</v>
      </c>
      <c r="AQ421">
        <v>0.80520000000000003</v>
      </c>
      <c r="AR421">
        <v>54164</v>
      </c>
      <c r="AS421">
        <v>4514</v>
      </c>
      <c r="AT421">
        <v>9.69E-2</v>
      </c>
      <c r="AU421">
        <v>44691</v>
      </c>
      <c r="AV421">
        <v>44691</v>
      </c>
      <c r="AW421">
        <v>45887</v>
      </c>
      <c r="AX421">
        <v>45887</v>
      </c>
      <c r="AY421">
        <v>0</v>
      </c>
      <c r="BA421">
        <v>0</v>
      </c>
      <c r="BB421">
        <v>0</v>
      </c>
      <c r="BC421">
        <v>0</v>
      </c>
      <c r="BD421">
        <v>0</v>
      </c>
      <c r="BE421">
        <v>0</v>
      </c>
    </row>
    <row r="422" spans="1:57" x14ac:dyDescent="0.35">
      <c r="A422" t="s">
        <v>1454</v>
      </c>
      <c r="B422" t="s">
        <v>1455</v>
      </c>
      <c r="C422" t="s">
        <v>573</v>
      </c>
      <c r="D422" t="s">
        <v>556</v>
      </c>
      <c r="E422" t="s">
        <v>551</v>
      </c>
      <c r="F422" t="s">
        <v>290</v>
      </c>
      <c r="G422" t="s">
        <v>551</v>
      </c>
      <c r="H422">
        <v>2031</v>
      </c>
      <c r="I422">
        <v>-3.3368097947286193E-2</v>
      </c>
      <c r="J422">
        <v>1963</v>
      </c>
      <c r="K422">
        <v>2752</v>
      </c>
      <c r="L422">
        <v>491</v>
      </c>
      <c r="V422" t="s">
        <v>1198</v>
      </c>
      <c r="W422">
        <v>11420</v>
      </c>
      <c r="X422">
        <v>1.0469926038510871</v>
      </c>
      <c r="Y422">
        <v>28</v>
      </c>
      <c r="Z422">
        <v>4217</v>
      </c>
      <c r="AA422">
        <v>2.2685195983492609E-3</v>
      </c>
      <c r="AB422">
        <v>0.85322873950579814</v>
      </c>
      <c r="AC422">
        <v>14.06981718594295</v>
      </c>
      <c r="AD422">
        <v>30</v>
      </c>
      <c r="AE422">
        <v>523.34</v>
      </c>
      <c r="AF422">
        <v>537.41</v>
      </c>
      <c r="AG422">
        <v>538.64</v>
      </c>
      <c r="AH422">
        <v>523.46</v>
      </c>
      <c r="AL422">
        <v>538.64</v>
      </c>
      <c r="AM422">
        <v>0.3262847863926408</v>
      </c>
      <c r="AN422">
        <v>799.51</v>
      </c>
      <c r="AO422">
        <v>260.87</v>
      </c>
      <c r="AP422">
        <v>0.32629999999999998</v>
      </c>
      <c r="AQ422">
        <v>0.67369999999999997</v>
      </c>
      <c r="AR422">
        <v>23448</v>
      </c>
      <c r="AS422">
        <v>1954</v>
      </c>
      <c r="AT422">
        <v>0.21029999999999999</v>
      </c>
      <c r="AU422">
        <v>21187</v>
      </c>
      <c r="AV422">
        <v>21187</v>
      </c>
      <c r="AW422">
        <v>21235</v>
      </c>
      <c r="AX422">
        <v>21235</v>
      </c>
      <c r="AY422">
        <v>0</v>
      </c>
      <c r="BA422">
        <v>0</v>
      </c>
      <c r="BB422">
        <v>0</v>
      </c>
      <c r="BC422">
        <v>0</v>
      </c>
      <c r="BD422">
        <v>0</v>
      </c>
      <c r="BE422">
        <v>0</v>
      </c>
    </row>
    <row r="423" spans="1:57" x14ac:dyDescent="0.35">
      <c r="A423" t="s">
        <v>1456</v>
      </c>
      <c r="B423" t="s">
        <v>1457</v>
      </c>
      <c r="C423" t="s">
        <v>573</v>
      </c>
      <c r="D423" t="s">
        <v>549</v>
      </c>
      <c r="E423" t="s">
        <v>557</v>
      </c>
      <c r="F423" t="s">
        <v>290</v>
      </c>
      <c r="G423" t="s">
        <v>551</v>
      </c>
      <c r="H423">
        <v>1475</v>
      </c>
      <c r="I423">
        <v>0.165749207839718</v>
      </c>
      <c r="J423">
        <v>1719</v>
      </c>
      <c r="K423">
        <v>7369</v>
      </c>
      <c r="L423">
        <v>2453</v>
      </c>
      <c r="V423" t="s">
        <v>1261</v>
      </c>
      <c r="W423">
        <v>6734</v>
      </c>
      <c r="X423">
        <v>0.86974657160199664</v>
      </c>
      <c r="Y423">
        <v>3</v>
      </c>
      <c r="Z423">
        <v>2059</v>
      </c>
      <c r="AA423">
        <v>1.6695943159420419E-2</v>
      </c>
      <c r="AB423">
        <v>0.98114219842314276</v>
      </c>
      <c r="AC423">
        <v>5.1629817153578443</v>
      </c>
      <c r="AD423">
        <v>60</v>
      </c>
      <c r="AE423">
        <v>382.06</v>
      </c>
      <c r="AF423">
        <v>387.23</v>
      </c>
      <c r="AG423">
        <v>393.8</v>
      </c>
      <c r="AH423">
        <v>1322.61</v>
      </c>
      <c r="AL423">
        <v>393.8</v>
      </c>
      <c r="AM423">
        <v>0.2637929979334141</v>
      </c>
      <c r="AN423">
        <v>534.9</v>
      </c>
      <c r="AO423">
        <v>141.1</v>
      </c>
      <c r="AP423">
        <v>0.26379999999999998</v>
      </c>
      <c r="AQ423">
        <v>0.73619999999999997</v>
      </c>
      <c r="AR423">
        <v>61980</v>
      </c>
      <c r="AS423">
        <v>5165</v>
      </c>
      <c r="AT423">
        <v>0.24429999999999999</v>
      </c>
      <c r="AU423">
        <v>57064</v>
      </c>
      <c r="AV423">
        <v>57064</v>
      </c>
      <c r="AW423">
        <v>58033</v>
      </c>
      <c r="AX423">
        <v>58033</v>
      </c>
      <c r="AY423">
        <v>0</v>
      </c>
      <c r="BA423">
        <v>0</v>
      </c>
      <c r="BB423">
        <v>0</v>
      </c>
      <c r="BC423">
        <v>0</v>
      </c>
      <c r="BD423">
        <v>0</v>
      </c>
      <c r="BE423">
        <v>0</v>
      </c>
    </row>
    <row r="424" spans="1:57" x14ac:dyDescent="0.35">
      <c r="A424" t="s">
        <v>1458</v>
      </c>
      <c r="B424" t="s">
        <v>1459</v>
      </c>
      <c r="C424" t="s">
        <v>548</v>
      </c>
      <c r="D424" t="s">
        <v>549</v>
      </c>
      <c r="E424" t="s">
        <v>557</v>
      </c>
      <c r="F424" t="s">
        <v>290</v>
      </c>
      <c r="G424" t="s">
        <v>558</v>
      </c>
      <c r="H424">
        <v>311</v>
      </c>
      <c r="I424">
        <v>4.0567522819449234E-3</v>
      </c>
      <c r="J424">
        <v>312</v>
      </c>
      <c r="K424">
        <v>1945</v>
      </c>
      <c r="L424">
        <v>1275</v>
      </c>
      <c r="V424" t="s">
        <v>1285</v>
      </c>
      <c r="W424">
        <v>5995</v>
      </c>
      <c r="X424">
        <v>1.0391599915244341</v>
      </c>
      <c r="Y424">
        <v>18</v>
      </c>
      <c r="Z424">
        <v>3442</v>
      </c>
      <c r="AA424">
        <v>5.3627150779729411E-3</v>
      </c>
      <c r="AB424">
        <v>0.87743760073868027</v>
      </c>
      <c r="AC424">
        <v>3.0402276449423762</v>
      </c>
      <c r="AD424">
        <v>90</v>
      </c>
      <c r="AE424">
        <v>1228.77</v>
      </c>
      <c r="AF424">
        <v>1231.81</v>
      </c>
      <c r="AG424">
        <v>1238.45</v>
      </c>
      <c r="AH424">
        <v>638.29</v>
      </c>
      <c r="AL424">
        <v>1238.45</v>
      </c>
      <c r="AM424">
        <v>0.31694014790078823</v>
      </c>
      <c r="AN424">
        <v>1813.09</v>
      </c>
      <c r="AO424">
        <v>574.64</v>
      </c>
      <c r="AP424">
        <v>0.31690000000000002</v>
      </c>
      <c r="AQ424">
        <v>0.68310000000000004</v>
      </c>
      <c r="AR424">
        <v>31609</v>
      </c>
      <c r="AS424">
        <v>2634</v>
      </c>
      <c r="AT424">
        <v>0.24490000000000001</v>
      </c>
      <c r="AU424">
        <v>30939</v>
      </c>
      <c r="AV424">
        <v>30939</v>
      </c>
      <c r="AW424">
        <v>31106</v>
      </c>
      <c r="AX424">
        <v>31106</v>
      </c>
      <c r="AY424">
        <v>0</v>
      </c>
      <c r="BA424">
        <v>0</v>
      </c>
      <c r="BB424">
        <v>0</v>
      </c>
      <c r="BC424">
        <v>0</v>
      </c>
      <c r="BD424">
        <v>0</v>
      </c>
      <c r="BE424">
        <v>0</v>
      </c>
    </row>
    <row r="425" spans="1:57" x14ac:dyDescent="0.35">
      <c r="A425" t="s">
        <v>1460</v>
      </c>
      <c r="B425" t="s">
        <v>1461</v>
      </c>
      <c r="C425" t="s">
        <v>562</v>
      </c>
      <c r="D425" t="s">
        <v>549</v>
      </c>
      <c r="E425" t="s">
        <v>550</v>
      </c>
      <c r="F425" t="s">
        <v>290</v>
      </c>
      <c r="G425" t="s">
        <v>551</v>
      </c>
      <c r="H425">
        <v>1379</v>
      </c>
      <c r="I425">
        <v>-3.324586556219751E-2</v>
      </c>
      <c r="J425">
        <v>1333</v>
      </c>
      <c r="K425">
        <v>3048</v>
      </c>
      <c r="L425">
        <v>527</v>
      </c>
      <c r="V425" t="s">
        <v>1254</v>
      </c>
      <c r="W425">
        <v>5854</v>
      </c>
      <c r="X425">
        <v>0.91145858569464455</v>
      </c>
      <c r="Y425">
        <v>3</v>
      </c>
      <c r="Z425">
        <v>3574</v>
      </c>
      <c r="AA425">
        <v>2.7866807159081141E-2</v>
      </c>
      <c r="AB425">
        <v>0.92433084166439905</v>
      </c>
      <c r="AC425">
        <v>12.299012785181111</v>
      </c>
      <c r="AD425">
        <v>60</v>
      </c>
      <c r="AE425">
        <v>590.76</v>
      </c>
      <c r="AF425">
        <v>603.05999999999995</v>
      </c>
      <c r="AG425">
        <v>620.35</v>
      </c>
      <c r="AH425">
        <v>2150.83</v>
      </c>
      <c r="AL425">
        <v>620.35</v>
      </c>
      <c r="AM425">
        <v>0.35934176994253758</v>
      </c>
      <c r="AN425">
        <v>968.3</v>
      </c>
      <c r="AO425">
        <v>347.95</v>
      </c>
      <c r="AP425">
        <v>0.35930000000000001</v>
      </c>
      <c r="AQ425">
        <v>0.64070000000000005</v>
      </c>
      <c r="AR425">
        <v>20240</v>
      </c>
      <c r="AS425">
        <v>1687</v>
      </c>
      <c r="AT425">
        <v>0.2271</v>
      </c>
      <c r="AU425">
        <v>17719</v>
      </c>
      <c r="AV425">
        <v>17719</v>
      </c>
      <c r="AW425">
        <v>18227</v>
      </c>
      <c r="AX425">
        <v>18227</v>
      </c>
      <c r="AY425">
        <v>0</v>
      </c>
      <c r="BA425">
        <v>0</v>
      </c>
      <c r="BB425">
        <v>0</v>
      </c>
      <c r="BC425">
        <v>0</v>
      </c>
      <c r="BD425">
        <v>0</v>
      </c>
      <c r="BE425">
        <v>0</v>
      </c>
    </row>
    <row r="426" spans="1:57" x14ac:dyDescent="0.35">
      <c r="A426" t="s">
        <v>1462</v>
      </c>
      <c r="B426" t="s">
        <v>1463</v>
      </c>
      <c r="C426" t="s">
        <v>606</v>
      </c>
      <c r="D426" t="s">
        <v>549</v>
      </c>
      <c r="E426" t="s">
        <v>550</v>
      </c>
      <c r="F426" t="s">
        <v>290</v>
      </c>
      <c r="G426" t="s">
        <v>628</v>
      </c>
      <c r="H426">
        <v>1445</v>
      </c>
      <c r="I426">
        <v>5.4054514711337327E-2</v>
      </c>
      <c r="J426">
        <v>1523</v>
      </c>
      <c r="K426">
        <v>1553</v>
      </c>
      <c r="L426">
        <v>262</v>
      </c>
      <c r="V426" t="s">
        <v>1189</v>
      </c>
      <c r="W426">
        <v>15173</v>
      </c>
      <c r="X426">
        <v>1.0157368967662599</v>
      </c>
      <c r="Y426">
        <v>28</v>
      </c>
      <c r="Z426">
        <v>2138</v>
      </c>
      <c r="AA426">
        <v>3.6051469397092743E-2</v>
      </c>
      <c r="AB426">
        <v>0.89452048649606097</v>
      </c>
      <c r="AC426">
        <v>4.5311942641365652</v>
      </c>
      <c r="AD426">
        <v>15</v>
      </c>
      <c r="AE426">
        <v>2382.5100000000002</v>
      </c>
      <c r="AF426">
        <v>2387.04</v>
      </c>
      <c r="AG426">
        <v>2476.31</v>
      </c>
      <c r="AH426">
        <v>1959.95</v>
      </c>
      <c r="AL426">
        <v>2476.31</v>
      </c>
      <c r="AM426">
        <v>0.19243210714423081</v>
      </c>
      <c r="AN426">
        <v>3066.38</v>
      </c>
      <c r="AO426">
        <v>590.07000000000005</v>
      </c>
      <c r="AP426">
        <v>0.19239999999999999</v>
      </c>
      <c r="AQ426">
        <v>0.80759999999999998</v>
      </c>
      <c r="AR426">
        <v>8968</v>
      </c>
      <c r="AS426">
        <v>747</v>
      </c>
      <c r="AT426">
        <v>0.18210000000000001</v>
      </c>
      <c r="AU426">
        <v>7677</v>
      </c>
      <c r="AV426">
        <v>7677</v>
      </c>
      <c r="AW426">
        <v>7964</v>
      </c>
      <c r="AX426">
        <v>7964</v>
      </c>
      <c r="AY426">
        <v>0</v>
      </c>
      <c r="BA426">
        <v>0</v>
      </c>
      <c r="BB426">
        <v>0</v>
      </c>
      <c r="BC426">
        <v>0</v>
      </c>
      <c r="BD426">
        <v>0</v>
      </c>
      <c r="BE426">
        <v>0</v>
      </c>
    </row>
    <row r="427" spans="1:57" x14ac:dyDescent="0.35">
      <c r="A427" t="s">
        <v>1464</v>
      </c>
      <c r="B427" t="s">
        <v>1465</v>
      </c>
      <c r="C427" t="s">
        <v>562</v>
      </c>
      <c r="D427" t="s">
        <v>556</v>
      </c>
      <c r="E427" t="s">
        <v>550</v>
      </c>
      <c r="F427" t="s">
        <v>290</v>
      </c>
      <c r="G427" t="s">
        <v>628</v>
      </c>
      <c r="H427">
        <v>583</v>
      </c>
      <c r="I427">
        <v>0.19326919947807461</v>
      </c>
      <c r="J427">
        <v>696</v>
      </c>
      <c r="K427">
        <v>669</v>
      </c>
      <c r="L427">
        <v>198</v>
      </c>
      <c r="V427" t="s">
        <v>1347</v>
      </c>
      <c r="W427">
        <v>26518</v>
      </c>
      <c r="X427">
        <v>0.84435632832473262</v>
      </c>
      <c r="Y427">
        <v>30</v>
      </c>
      <c r="Z427">
        <v>1584</v>
      </c>
      <c r="AA427">
        <v>9.6653296887450543E-3</v>
      </c>
      <c r="AB427">
        <v>0.9754069033942927</v>
      </c>
      <c r="AC427">
        <v>12.933515133188569</v>
      </c>
      <c r="AD427">
        <v>90</v>
      </c>
      <c r="AE427">
        <v>106.71</v>
      </c>
      <c r="AF427">
        <v>119.64</v>
      </c>
      <c r="AG427">
        <v>120.81</v>
      </c>
      <c r="AH427">
        <v>1143.25</v>
      </c>
      <c r="AL427">
        <v>120.81</v>
      </c>
      <c r="AM427">
        <v>0.15478621699920919</v>
      </c>
      <c r="AN427">
        <v>142.93</v>
      </c>
      <c r="AO427">
        <v>22.12</v>
      </c>
      <c r="AP427">
        <v>0.15479999999999999</v>
      </c>
      <c r="AQ427">
        <v>0.84519999999999995</v>
      </c>
      <c r="AR427">
        <v>7716</v>
      </c>
      <c r="AS427">
        <v>643</v>
      </c>
      <c r="AT427">
        <v>0.1991</v>
      </c>
      <c r="AU427">
        <v>7245</v>
      </c>
      <c r="AV427">
        <v>7245</v>
      </c>
      <c r="AW427">
        <v>7316</v>
      </c>
      <c r="AX427">
        <v>7316</v>
      </c>
      <c r="AY427">
        <v>0</v>
      </c>
      <c r="BA427">
        <v>0</v>
      </c>
      <c r="BB427">
        <v>0</v>
      </c>
      <c r="BC427">
        <v>0</v>
      </c>
      <c r="BD427">
        <v>0</v>
      </c>
      <c r="BE427">
        <v>0</v>
      </c>
    </row>
    <row r="428" spans="1:57" x14ac:dyDescent="0.35">
      <c r="A428" t="s">
        <v>1466</v>
      </c>
      <c r="B428" t="s">
        <v>1467</v>
      </c>
      <c r="C428" t="s">
        <v>573</v>
      </c>
      <c r="D428" t="s">
        <v>556</v>
      </c>
      <c r="E428" t="s">
        <v>557</v>
      </c>
      <c r="F428" t="s">
        <v>290</v>
      </c>
      <c r="G428" t="s">
        <v>551</v>
      </c>
      <c r="H428">
        <v>1403</v>
      </c>
      <c r="I428">
        <v>4.9266975978500974E-3</v>
      </c>
      <c r="J428">
        <v>1410</v>
      </c>
      <c r="K428">
        <v>4164</v>
      </c>
      <c r="L428">
        <v>500</v>
      </c>
      <c r="V428" t="s">
        <v>1268</v>
      </c>
      <c r="W428">
        <v>18545</v>
      </c>
      <c r="X428">
        <v>0.93504606856145123</v>
      </c>
      <c r="Y428">
        <v>17</v>
      </c>
      <c r="Z428">
        <v>3545</v>
      </c>
      <c r="AA428">
        <v>1.0313040343776669E-2</v>
      </c>
      <c r="AB428">
        <v>0.92813428028242773</v>
      </c>
      <c r="AC428">
        <v>11.28823193433494</v>
      </c>
      <c r="AD428">
        <v>15</v>
      </c>
      <c r="AE428">
        <v>817.88</v>
      </c>
      <c r="AF428">
        <v>829.17</v>
      </c>
      <c r="AG428">
        <v>837.81</v>
      </c>
      <c r="AH428">
        <v>850.25</v>
      </c>
      <c r="AL428">
        <v>837.81</v>
      </c>
      <c r="AM428">
        <v>0.34477564659894672</v>
      </c>
      <c r="AN428">
        <v>1278.6600000000001</v>
      </c>
      <c r="AO428">
        <v>440.85</v>
      </c>
      <c r="AP428">
        <v>0.3448</v>
      </c>
      <c r="AQ428">
        <v>0.6552</v>
      </c>
      <c r="AR428">
        <v>36782</v>
      </c>
      <c r="AS428">
        <v>3065</v>
      </c>
      <c r="AT428">
        <v>0.1285</v>
      </c>
      <c r="AU428">
        <v>33118</v>
      </c>
      <c r="AV428">
        <v>33118</v>
      </c>
      <c r="AW428">
        <v>33463</v>
      </c>
      <c r="AX428">
        <v>33463</v>
      </c>
      <c r="AY428">
        <v>0</v>
      </c>
      <c r="BA428">
        <v>0</v>
      </c>
      <c r="BB428">
        <v>0</v>
      </c>
      <c r="BC428">
        <v>0</v>
      </c>
      <c r="BD428">
        <v>0</v>
      </c>
      <c r="BE428">
        <v>0</v>
      </c>
    </row>
    <row r="429" spans="1:57" x14ac:dyDescent="0.35">
      <c r="A429" t="s">
        <v>1468</v>
      </c>
      <c r="B429" t="s">
        <v>1469</v>
      </c>
      <c r="C429" t="s">
        <v>606</v>
      </c>
      <c r="D429" t="s">
        <v>556</v>
      </c>
      <c r="E429" t="s">
        <v>551</v>
      </c>
      <c r="F429" t="s">
        <v>290</v>
      </c>
      <c r="G429" t="s">
        <v>566</v>
      </c>
      <c r="H429">
        <v>381</v>
      </c>
      <c r="I429">
        <v>0.15225591007291911</v>
      </c>
      <c r="J429">
        <v>439</v>
      </c>
      <c r="K429">
        <v>3905</v>
      </c>
      <c r="L429">
        <v>590</v>
      </c>
      <c r="V429" t="s">
        <v>1209</v>
      </c>
      <c r="W429">
        <v>22340</v>
      </c>
      <c r="X429">
        <v>0.88970772378422391</v>
      </c>
      <c r="Y429">
        <v>3</v>
      </c>
      <c r="Z429">
        <v>4593</v>
      </c>
      <c r="AA429">
        <v>1.436518853005217E-2</v>
      </c>
      <c r="AB429">
        <v>0.95450879671652333</v>
      </c>
      <c r="AC429">
        <v>16.941556678085941</v>
      </c>
      <c r="AD429">
        <v>45</v>
      </c>
      <c r="AE429">
        <v>114.18</v>
      </c>
      <c r="AF429">
        <v>131.13</v>
      </c>
      <c r="AG429">
        <v>133.04</v>
      </c>
      <c r="AH429">
        <v>919.2</v>
      </c>
      <c r="AL429">
        <v>133.04</v>
      </c>
      <c r="AM429">
        <v>0.30242435628815401</v>
      </c>
      <c r="AN429">
        <v>190.72</v>
      </c>
      <c r="AO429">
        <v>57.68</v>
      </c>
      <c r="AP429">
        <v>0.3024</v>
      </c>
      <c r="AQ429">
        <v>0.6976</v>
      </c>
      <c r="AR429">
        <v>22211</v>
      </c>
      <c r="AS429">
        <v>1851</v>
      </c>
      <c r="AT429">
        <v>0.18720000000000001</v>
      </c>
      <c r="AU429">
        <v>18896</v>
      </c>
      <c r="AV429">
        <v>18896</v>
      </c>
      <c r="AW429">
        <v>19171</v>
      </c>
      <c r="AX429">
        <v>19171</v>
      </c>
      <c r="AY429">
        <v>0</v>
      </c>
      <c r="BA429">
        <v>0</v>
      </c>
      <c r="BB429">
        <v>0</v>
      </c>
      <c r="BC429">
        <v>0</v>
      </c>
      <c r="BD429">
        <v>0</v>
      </c>
      <c r="BE429">
        <v>0</v>
      </c>
    </row>
    <row r="430" spans="1:57" x14ac:dyDescent="0.35">
      <c r="A430" t="s">
        <v>1470</v>
      </c>
      <c r="B430" t="s">
        <v>1471</v>
      </c>
      <c r="C430" t="s">
        <v>555</v>
      </c>
      <c r="D430" t="s">
        <v>549</v>
      </c>
      <c r="E430" t="s">
        <v>557</v>
      </c>
      <c r="F430" t="s">
        <v>290</v>
      </c>
      <c r="G430" t="s">
        <v>628</v>
      </c>
      <c r="H430">
        <v>874</v>
      </c>
      <c r="I430">
        <v>0.12666888341942489</v>
      </c>
      <c r="J430">
        <v>985</v>
      </c>
      <c r="K430">
        <v>6955</v>
      </c>
      <c r="L430">
        <v>834</v>
      </c>
      <c r="V430" t="s">
        <v>1274</v>
      </c>
      <c r="W430">
        <v>21448</v>
      </c>
      <c r="X430">
        <v>0.80625456269647766</v>
      </c>
      <c r="Y430">
        <v>11</v>
      </c>
      <c r="Z430">
        <v>2127</v>
      </c>
      <c r="AA430">
        <v>1.315255063928545E-2</v>
      </c>
      <c r="AB430">
        <v>0.85197117518011178</v>
      </c>
      <c r="AC430">
        <v>6.5733752940425187</v>
      </c>
      <c r="AD430">
        <v>45</v>
      </c>
      <c r="AE430">
        <v>976.54</v>
      </c>
      <c r="AF430">
        <v>983.11</v>
      </c>
      <c r="AG430">
        <v>996.22</v>
      </c>
      <c r="AH430">
        <v>634.97</v>
      </c>
      <c r="AL430">
        <v>996.22</v>
      </c>
      <c r="AM430">
        <v>0.32490989240553042</v>
      </c>
      <c r="AN430">
        <v>1475.68</v>
      </c>
      <c r="AO430">
        <v>479.46</v>
      </c>
      <c r="AP430">
        <v>0.32490000000000002</v>
      </c>
      <c r="AQ430">
        <v>0.67510000000000003</v>
      </c>
      <c r="AR430">
        <v>38307</v>
      </c>
      <c r="AS430">
        <v>3192</v>
      </c>
      <c r="AT430">
        <v>0.1575</v>
      </c>
      <c r="AU430">
        <v>32186</v>
      </c>
      <c r="AV430">
        <v>32186</v>
      </c>
      <c r="AW430">
        <v>32615</v>
      </c>
      <c r="AX430">
        <v>32615</v>
      </c>
      <c r="AY430">
        <v>0</v>
      </c>
      <c r="BA430">
        <v>0</v>
      </c>
      <c r="BB430">
        <v>0</v>
      </c>
      <c r="BC430">
        <v>0</v>
      </c>
      <c r="BD430">
        <v>0</v>
      </c>
      <c r="BE430">
        <v>0</v>
      </c>
    </row>
    <row r="431" spans="1:57" x14ac:dyDescent="0.35">
      <c r="A431" t="s">
        <v>1472</v>
      </c>
      <c r="B431" t="s">
        <v>1473</v>
      </c>
      <c r="C431" t="s">
        <v>548</v>
      </c>
      <c r="D431" t="s">
        <v>556</v>
      </c>
      <c r="E431" t="s">
        <v>551</v>
      </c>
      <c r="F431" t="s">
        <v>290</v>
      </c>
      <c r="G431" t="s">
        <v>566</v>
      </c>
      <c r="H431">
        <v>1439</v>
      </c>
      <c r="I431">
        <v>1.8410104465192909E-2</v>
      </c>
      <c r="J431">
        <v>1465</v>
      </c>
      <c r="K431">
        <v>2329</v>
      </c>
      <c r="L431">
        <v>723</v>
      </c>
      <c r="V431" t="s">
        <v>1212</v>
      </c>
      <c r="W431">
        <v>10895</v>
      </c>
      <c r="X431">
        <v>1.052455450398905</v>
      </c>
      <c r="Y431">
        <v>4</v>
      </c>
      <c r="Z431">
        <v>4993</v>
      </c>
      <c r="AA431">
        <v>2.6513927757161469E-2</v>
      </c>
      <c r="AB431">
        <v>0.94364936835283397</v>
      </c>
      <c r="AC431">
        <v>21.87585399665377</v>
      </c>
      <c r="AD431">
        <v>60</v>
      </c>
      <c r="AE431">
        <v>706.22</v>
      </c>
      <c r="AF431">
        <v>728.1</v>
      </c>
      <c r="AG431">
        <v>747.93</v>
      </c>
      <c r="AH431">
        <v>182.74</v>
      </c>
      <c r="AL431">
        <v>747.93</v>
      </c>
      <c r="AM431">
        <v>0.35953874374716072</v>
      </c>
      <c r="AN431">
        <v>1167.8</v>
      </c>
      <c r="AO431">
        <v>419.87</v>
      </c>
      <c r="AP431">
        <v>0.35949999999999999</v>
      </c>
      <c r="AQ431">
        <v>0.64049999999999996</v>
      </c>
      <c r="AR431">
        <v>26927</v>
      </c>
      <c r="AS431">
        <v>2244</v>
      </c>
      <c r="AT431">
        <v>0.16189999999999999</v>
      </c>
      <c r="AU431">
        <v>25321</v>
      </c>
      <c r="AV431">
        <v>25321</v>
      </c>
      <c r="AW431">
        <v>26011</v>
      </c>
      <c r="AX431">
        <v>26011</v>
      </c>
      <c r="AY431">
        <v>0</v>
      </c>
      <c r="BA431">
        <v>0</v>
      </c>
      <c r="BB431">
        <v>0</v>
      </c>
      <c r="BC431">
        <v>0</v>
      </c>
      <c r="BD431">
        <v>0</v>
      </c>
      <c r="BE431">
        <v>0</v>
      </c>
    </row>
    <row r="432" spans="1:57" x14ac:dyDescent="0.35">
      <c r="A432" t="s">
        <v>1474</v>
      </c>
      <c r="B432" t="s">
        <v>1475</v>
      </c>
      <c r="C432" t="s">
        <v>548</v>
      </c>
      <c r="D432" t="s">
        <v>556</v>
      </c>
      <c r="E432" t="s">
        <v>557</v>
      </c>
      <c r="F432" t="s">
        <v>290</v>
      </c>
      <c r="G432" t="s">
        <v>558</v>
      </c>
      <c r="H432">
        <v>1183</v>
      </c>
      <c r="I432">
        <v>4.0952410285233373E-2</v>
      </c>
      <c r="J432">
        <v>1231</v>
      </c>
      <c r="K432">
        <v>10709</v>
      </c>
      <c r="L432">
        <v>1778</v>
      </c>
      <c r="V432" t="s">
        <v>1192</v>
      </c>
      <c r="W432">
        <v>22675</v>
      </c>
      <c r="X432">
        <v>0.90071291833014566</v>
      </c>
      <c r="Y432">
        <v>4</v>
      </c>
      <c r="Z432">
        <v>1736</v>
      </c>
      <c r="AA432">
        <v>1.282393878634377E-2</v>
      </c>
      <c r="AB432">
        <v>0.85516417262963462</v>
      </c>
      <c r="AC432">
        <v>16.019979681537631</v>
      </c>
      <c r="AD432">
        <v>30</v>
      </c>
      <c r="AE432">
        <v>805.32</v>
      </c>
      <c r="AF432">
        <v>821.34</v>
      </c>
      <c r="AG432">
        <v>832.01</v>
      </c>
      <c r="AH432">
        <v>319.02999999999997</v>
      </c>
      <c r="AL432">
        <v>832.01</v>
      </c>
      <c r="AM432">
        <v>0.35070273370612509</v>
      </c>
      <c r="AN432">
        <v>1281.4000000000001</v>
      </c>
      <c r="AO432">
        <v>449.39</v>
      </c>
      <c r="AP432">
        <v>0.35070000000000001</v>
      </c>
      <c r="AQ432">
        <v>0.64929999999999999</v>
      </c>
      <c r="AR432">
        <v>80772</v>
      </c>
      <c r="AS432">
        <v>6731</v>
      </c>
      <c r="AT432">
        <v>0.20880000000000001</v>
      </c>
      <c r="AU432">
        <v>71841</v>
      </c>
      <c r="AV432">
        <v>71841</v>
      </c>
      <c r="AW432">
        <v>72774</v>
      </c>
      <c r="AX432">
        <v>72774</v>
      </c>
      <c r="AY432">
        <v>0</v>
      </c>
      <c r="BA432">
        <v>0</v>
      </c>
      <c r="BB432">
        <v>0</v>
      </c>
      <c r="BC432">
        <v>0</v>
      </c>
      <c r="BD432">
        <v>0</v>
      </c>
      <c r="BE432">
        <v>0</v>
      </c>
    </row>
    <row r="433" spans="1:57" x14ac:dyDescent="0.35">
      <c r="A433" t="s">
        <v>1476</v>
      </c>
      <c r="B433" t="s">
        <v>1477</v>
      </c>
      <c r="C433" t="s">
        <v>555</v>
      </c>
      <c r="D433" t="s">
        <v>556</v>
      </c>
      <c r="E433" t="s">
        <v>550</v>
      </c>
      <c r="F433" t="s">
        <v>290</v>
      </c>
      <c r="G433" t="s">
        <v>551</v>
      </c>
      <c r="H433">
        <v>2998</v>
      </c>
      <c r="I433">
        <v>8.4505676340975736E-2</v>
      </c>
      <c r="J433">
        <v>3251</v>
      </c>
      <c r="K433">
        <v>1285</v>
      </c>
      <c r="L433">
        <v>290</v>
      </c>
      <c r="V433" t="s">
        <v>1201</v>
      </c>
      <c r="W433">
        <v>11776</v>
      </c>
      <c r="X433">
        <v>1.127205906368997</v>
      </c>
      <c r="Y433">
        <v>11</v>
      </c>
      <c r="Z433">
        <v>1382</v>
      </c>
      <c r="AA433">
        <v>2.264180960185247E-3</v>
      </c>
      <c r="AB433">
        <v>0.92150462236085917</v>
      </c>
      <c r="AC433">
        <v>11.600453072421921</v>
      </c>
      <c r="AD433">
        <v>90</v>
      </c>
      <c r="AE433">
        <v>247.51</v>
      </c>
      <c r="AF433">
        <v>259.11</v>
      </c>
      <c r="AG433">
        <v>259.7</v>
      </c>
      <c r="AH433">
        <v>1046.02</v>
      </c>
      <c r="AL433">
        <v>259.7</v>
      </c>
      <c r="AM433">
        <v>0.39023003673220608</v>
      </c>
      <c r="AN433">
        <v>425.9</v>
      </c>
      <c r="AO433">
        <v>166.2</v>
      </c>
      <c r="AP433">
        <v>0.39019999999999999</v>
      </c>
      <c r="AQ433">
        <v>0.60980000000000001</v>
      </c>
      <c r="AR433">
        <v>16298</v>
      </c>
      <c r="AS433">
        <v>1358</v>
      </c>
      <c r="AT433">
        <v>0.12790000000000001</v>
      </c>
      <c r="AU433">
        <v>15303</v>
      </c>
      <c r="AV433">
        <v>15303</v>
      </c>
      <c r="AW433">
        <v>15338</v>
      </c>
      <c r="AX433">
        <v>15338</v>
      </c>
      <c r="AY433">
        <v>0</v>
      </c>
      <c r="BA433">
        <v>0</v>
      </c>
      <c r="BB433">
        <v>0</v>
      </c>
      <c r="BC433">
        <v>0</v>
      </c>
      <c r="BD433">
        <v>0</v>
      </c>
      <c r="BE433">
        <v>0</v>
      </c>
    </row>
    <row r="434" spans="1:57" x14ac:dyDescent="0.35">
      <c r="A434" t="s">
        <v>1478</v>
      </c>
      <c r="B434" t="s">
        <v>1479</v>
      </c>
      <c r="C434" t="s">
        <v>573</v>
      </c>
      <c r="D434" t="s">
        <v>549</v>
      </c>
      <c r="E434" t="s">
        <v>551</v>
      </c>
      <c r="F434" t="s">
        <v>290</v>
      </c>
      <c r="G434" t="s">
        <v>566</v>
      </c>
      <c r="H434">
        <v>1219</v>
      </c>
      <c r="I434">
        <v>0.11401375549392601</v>
      </c>
      <c r="J434">
        <v>1358</v>
      </c>
      <c r="K434">
        <v>1774</v>
      </c>
      <c r="L434">
        <v>320</v>
      </c>
      <c r="V434" t="s">
        <v>1236</v>
      </c>
      <c r="W434">
        <v>19257</v>
      </c>
      <c r="X434">
        <v>1.1698774473114251</v>
      </c>
      <c r="Y434">
        <v>12</v>
      </c>
      <c r="Z434">
        <v>362</v>
      </c>
      <c r="AA434">
        <v>2.70793937492988E-2</v>
      </c>
      <c r="AB434">
        <v>0.96441110802817021</v>
      </c>
      <c r="AC434">
        <v>14.769618666787631</v>
      </c>
      <c r="AD434">
        <v>60</v>
      </c>
      <c r="AE434">
        <v>1218.49</v>
      </c>
      <c r="AF434">
        <v>1233.26</v>
      </c>
      <c r="AG434">
        <v>1267.58</v>
      </c>
      <c r="AH434">
        <v>1419.66</v>
      </c>
      <c r="AL434">
        <v>1267.58</v>
      </c>
      <c r="AM434">
        <v>0.28398376971302952</v>
      </c>
      <c r="AN434">
        <v>1770.32</v>
      </c>
      <c r="AO434">
        <v>502.74</v>
      </c>
      <c r="AP434">
        <v>0.28399999999999997</v>
      </c>
      <c r="AQ434">
        <v>0.71599999999999997</v>
      </c>
      <c r="AR434">
        <v>27177</v>
      </c>
      <c r="AS434">
        <v>2265</v>
      </c>
      <c r="AT434">
        <v>0.1341</v>
      </c>
      <c r="AU434">
        <v>25723</v>
      </c>
      <c r="AV434">
        <v>25723</v>
      </c>
      <c r="AW434">
        <v>26439</v>
      </c>
      <c r="AX434">
        <v>26439</v>
      </c>
      <c r="AY434">
        <v>0</v>
      </c>
      <c r="BA434">
        <v>0</v>
      </c>
      <c r="BB434">
        <v>0</v>
      </c>
      <c r="BC434">
        <v>0</v>
      </c>
      <c r="BD434">
        <v>0</v>
      </c>
      <c r="BE434">
        <v>0</v>
      </c>
    </row>
    <row r="435" spans="1:57" x14ac:dyDescent="0.35">
      <c r="A435" t="s">
        <v>1480</v>
      </c>
      <c r="B435" t="s">
        <v>1481</v>
      </c>
      <c r="C435" t="s">
        <v>606</v>
      </c>
      <c r="D435" t="s">
        <v>549</v>
      </c>
      <c r="E435" t="s">
        <v>557</v>
      </c>
      <c r="F435" t="s">
        <v>290</v>
      </c>
      <c r="G435" t="s">
        <v>551</v>
      </c>
      <c r="H435">
        <v>2830</v>
      </c>
      <c r="I435">
        <v>6.3497477799924748E-2</v>
      </c>
      <c r="J435">
        <v>3010</v>
      </c>
      <c r="K435">
        <v>18383</v>
      </c>
      <c r="L435">
        <v>2168</v>
      </c>
      <c r="V435" t="s">
        <v>1192</v>
      </c>
      <c r="W435">
        <v>22675</v>
      </c>
      <c r="X435">
        <v>0.90071291833014566</v>
      </c>
      <c r="Y435">
        <v>4</v>
      </c>
      <c r="Z435">
        <v>1736</v>
      </c>
      <c r="AA435">
        <v>1.282393878634377E-2</v>
      </c>
      <c r="AB435">
        <v>0.85516417262963462</v>
      </c>
      <c r="AC435">
        <v>16.019979681537631</v>
      </c>
      <c r="AD435">
        <v>30</v>
      </c>
      <c r="AE435">
        <v>1180.71</v>
      </c>
      <c r="AF435">
        <v>1196.73</v>
      </c>
      <c r="AG435">
        <v>1212.28</v>
      </c>
      <c r="AH435">
        <v>1107.3800000000001</v>
      </c>
      <c r="AL435">
        <v>1212.28</v>
      </c>
      <c r="AM435">
        <v>0.27212390816497628</v>
      </c>
      <c r="AN435">
        <v>1665.5</v>
      </c>
      <c r="AO435">
        <v>453.22</v>
      </c>
      <c r="AP435">
        <v>0.27210000000000001</v>
      </c>
      <c r="AQ435">
        <v>0.72789999999999999</v>
      </c>
      <c r="AR435">
        <v>98477</v>
      </c>
      <c r="AS435">
        <v>8206</v>
      </c>
      <c r="AT435">
        <v>0.23719999999999999</v>
      </c>
      <c r="AU435">
        <v>82262</v>
      </c>
      <c r="AV435">
        <v>82262</v>
      </c>
      <c r="AW435">
        <v>83331</v>
      </c>
      <c r="AX435">
        <v>83331</v>
      </c>
      <c r="AY435">
        <v>0</v>
      </c>
      <c r="BA435">
        <v>0</v>
      </c>
      <c r="BB435">
        <v>0</v>
      </c>
      <c r="BC435">
        <v>0</v>
      </c>
      <c r="BD435">
        <v>0</v>
      </c>
      <c r="BE435">
        <v>0</v>
      </c>
    </row>
    <row r="436" spans="1:57" x14ac:dyDescent="0.35">
      <c r="A436" t="s">
        <v>1482</v>
      </c>
      <c r="B436" t="s">
        <v>1483</v>
      </c>
      <c r="C436" t="s">
        <v>548</v>
      </c>
      <c r="D436" t="s">
        <v>556</v>
      </c>
      <c r="E436" t="s">
        <v>550</v>
      </c>
      <c r="F436" t="s">
        <v>290</v>
      </c>
      <c r="G436" t="s">
        <v>566</v>
      </c>
      <c r="H436">
        <v>687</v>
      </c>
      <c r="I436">
        <v>7.2406115512561195E-2</v>
      </c>
      <c r="J436">
        <v>737</v>
      </c>
      <c r="K436">
        <v>1970</v>
      </c>
      <c r="L436">
        <v>85</v>
      </c>
      <c r="V436" t="s">
        <v>1209</v>
      </c>
      <c r="W436">
        <v>22340</v>
      </c>
      <c r="X436">
        <v>0.88970772378422391</v>
      </c>
      <c r="Y436">
        <v>3</v>
      </c>
      <c r="Z436">
        <v>4593</v>
      </c>
      <c r="AA436">
        <v>1.436518853005217E-2</v>
      </c>
      <c r="AB436">
        <v>0.95450879671652333</v>
      </c>
      <c r="AC436">
        <v>16.941556678085941</v>
      </c>
      <c r="AD436">
        <v>45</v>
      </c>
      <c r="AE436">
        <v>799.78</v>
      </c>
      <c r="AF436">
        <v>816.72</v>
      </c>
      <c r="AG436">
        <v>828.62</v>
      </c>
      <c r="AH436">
        <v>1048.52</v>
      </c>
      <c r="AL436">
        <v>828.62</v>
      </c>
      <c r="AM436">
        <v>0.25047179997268249</v>
      </c>
      <c r="AN436">
        <v>1105.52</v>
      </c>
      <c r="AO436">
        <v>276.89999999999998</v>
      </c>
      <c r="AP436">
        <v>0.2505</v>
      </c>
      <c r="AQ436">
        <v>0.74950000000000006</v>
      </c>
      <c r="AR436">
        <v>11380</v>
      </c>
      <c r="AS436">
        <v>948</v>
      </c>
      <c r="AT436">
        <v>8.9599999999999999E-2</v>
      </c>
      <c r="AU436">
        <v>9495</v>
      </c>
      <c r="AV436">
        <v>9495</v>
      </c>
      <c r="AW436">
        <v>9633</v>
      </c>
      <c r="AX436">
        <v>9633</v>
      </c>
      <c r="AY436">
        <v>0</v>
      </c>
      <c r="BA436">
        <v>0</v>
      </c>
      <c r="BB436">
        <v>0</v>
      </c>
      <c r="BC436">
        <v>0</v>
      </c>
      <c r="BD436">
        <v>0</v>
      </c>
      <c r="BE436">
        <v>0</v>
      </c>
    </row>
    <row r="437" spans="1:57" x14ac:dyDescent="0.35">
      <c r="A437" t="s">
        <v>1484</v>
      </c>
      <c r="B437" t="s">
        <v>1485</v>
      </c>
      <c r="C437" t="s">
        <v>555</v>
      </c>
      <c r="D437" t="s">
        <v>556</v>
      </c>
      <c r="E437" t="s">
        <v>551</v>
      </c>
      <c r="F437" t="s">
        <v>290</v>
      </c>
      <c r="G437" t="s">
        <v>551</v>
      </c>
      <c r="H437">
        <v>2445</v>
      </c>
      <c r="I437">
        <v>0.16367586252329941</v>
      </c>
      <c r="J437">
        <v>2845</v>
      </c>
      <c r="K437">
        <v>8732</v>
      </c>
      <c r="L437">
        <v>1443</v>
      </c>
      <c r="V437" t="s">
        <v>1280</v>
      </c>
      <c r="W437">
        <v>6154</v>
      </c>
      <c r="X437">
        <v>1.1425297167512369</v>
      </c>
      <c r="Y437">
        <v>24</v>
      </c>
      <c r="Z437">
        <v>3291</v>
      </c>
      <c r="AA437">
        <v>3.5735263752916482E-2</v>
      </c>
      <c r="AB437">
        <v>0.96912998282745177</v>
      </c>
      <c r="AC437">
        <v>23.519604867081789</v>
      </c>
      <c r="AD437">
        <v>60</v>
      </c>
      <c r="AE437">
        <v>896.8</v>
      </c>
      <c r="AF437">
        <v>920.32</v>
      </c>
      <c r="AG437">
        <v>954.43</v>
      </c>
      <c r="AH437">
        <v>500.96</v>
      </c>
      <c r="AL437">
        <v>954.43</v>
      </c>
      <c r="AM437">
        <v>0.1884227607110511</v>
      </c>
      <c r="AN437">
        <v>1176.02</v>
      </c>
      <c r="AO437">
        <v>221.59</v>
      </c>
      <c r="AP437">
        <v>0.18840000000000001</v>
      </c>
      <c r="AQ437">
        <v>0.81159999999999999</v>
      </c>
      <c r="AR437">
        <v>53244</v>
      </c>
      <c r="AS437">
        <v>4437</v>
      </c>
      <c r="AT437">
        <v>0.16259999999999999</v>
      </c>
      <c r="AU437">
        <v>45955</v>
      </c>
      <c r="AV437">
        <v>45955</v>
      </c>
      <c r="AW437">
        <v>47658</v>
      </c>
      <c r="AX437">
        <v>47658</v>
      </c>
      <c r="AY437">
        <v>0</v>
      </c>
      <c r="BA437">
        <v>0</v>
      </c>
      <c r="BB437">
        <v>0</v>
      </c>
      <c r="BC437">
        <v>0</v>
      </c>
      <c r="BD437">
        <v>0</v>
      </c>
      <c r="BE437">
        <v>0</v>
      </c>
    </row>
    <row r="438" spans="1:57" x14ac:dyDescent="0.35">
      <c r="A438" t="s">
        <v>1486</v>
      </c>
      <c r="B438" t="s">
        <v>1487</v>
      </c>
      <c r="C438" t="s">
        <v>573</v>
      </c>
      <c r="D438" t="s">
        <v>556</v>
      </c>
      <c r="E438" t="s">
        <v>551</v>
      </c>
      <c r="F438" t="s">
        <v>290</v>
      </c>
      <c r="G438" t="s">
        <v>558</v>
      </c>
      <c r="H438">
        <v>921</v>
      </c>
      <c r="I438">
        <v>0.1924816313362977</v>
      </c>
      <c r="J438">
        <v>1098</v>
      </c>
      <c r="K438">
        <v>3192</v>
      </c>
      <c r="L438">
        <v>1967</v>
      </c>
      <c r="V438" t="s">
        <v>1261</v>
      </c>
      <c r="W438">
        <v>6734</v>
      </c>
      <c r="X438">
        <v>0.86974657160199664</v>
      </c>
      <c r="Y438">
        <v>3</v>
      </c>
      <c r="Z438">
        <v>2059</v>
      </c>
      <c r="AA438">
        <v>1.6695943159420419E-2</v>
      </c>
      <c r="AB438">
        <v>0.98114219842314276</v>
      </c>
      <c r="AC438">
        <v>5.1629817153578443</v>
      </c>
      <c r="AD438">
        <v>60</v>
      </c>
      <c r="AE438">
        <v>747.32</v>
      </c>
      <c r="AF438">
        <v>752.48</v>
      </c>
      <c r="AG438">
        <v>765.26</v>
      </c>
      <c r="AH438">
        <v>959.46</v>
      </c>
      <c r="AL438">
        <v>765.26</v>
      </c>
      <c r="AM438">
        <v>0.29315180822050563</v>
      </c>
      <c r="AN438">
        <v>1082.6400000000001</v>
      </c>
      <c r="AO438">
        <v>317.38</v>
      </c>
      <c r="AP438">
        <v>0.29320000000000002</v>
      </c>
      <c r="AQ438">
        <v>0.70679999999999998</v>
      </c>
      <c r="AR438">
        <v>55696</v>
      </c>
      <c r="AS438">
        <v>4641</v>
      </c>
      <c r="AT438">
        <v>0.23519999999999999</v>
      </c>
      <c r="AU438">
        <v>54471</v>
      </c>
      <c r="AV438">
        <v>54471</v>
      </c>
      <c r="AW438">
        <v>55396</v>
      </c>
      <c r="AX438">
        <v>55396</v>
      </c>
      <c r="AY438">
        <v>0</v>
      </c>
      <c r="BA438">
        <v>0</v>
      </c>
      <c r="BB438">
        <v>0</v>
      </c>
      <c r="BC438">
        <v>0</v>
      </c>
      <c r="BD438">
        <v>0</v>
      </c>
      <c r="BE438">
        <v>0</v>
      </c>
    </row>
    <row r="439" spans="1:57" x14ac:dyDescent="0.35">
      <c r="A439" t="s">
        <v>1488</v>
      </c>
      <c r="B439" t="s">
        <v>1489</v>
      </c>
      <c r="C439" t="s">
        <v>548</v>
      </c>
      <c r="D439" t="s">
        <v>556</v>
      </c>
      <c r="E439" t="s">
        <v>551</v>
      </c>
      <c r="F439" t="s">
        <v>290</v>
      </c>
      <c r="G439" t="s">
        <v>551</v>
      </c>
      <c r="H439">
        <v>2200</v>
      </c>
      <c r="I439">
        <v>0.13236594245791591</v>
      </c>
      <c r="J439">
        <v>2491</v>
      </c>
      <c r="K439">
        <v>3016</v>
      </c>
      <c r="L439">
        <v>467</v>
      </c>
      <c r="V439" t="s">
        <v>1280</v>
      </c>
      <c r="W439">
        <v>6154</v>
      </c>
      <c r="X439">
        <v>1.1425297167512369</v>
      </c>
      <c r="Y439">
        <v>24</v>
      </c>
      <c r="Z439">
        <v>3291</v>
      </c>
      <c r="AA439">
        <v>3.5735263752916482E-2</v>
      </c>
      <c r="AB439">
        <v>0.96912998282745177</v>
      </c>
      <c r="AC439">
        <v>23.519604867081789</v>
      </c>
      <c r="AD439">
        <v>60</v>
      </c>
      <c r="AE439">
        <v>673.05</v>
      </c>
      <c r="AF439">
        <v>696.57</v>
      </c>
      <c r="AG439">
        <v>722.38</v>
      </c>
      <c r="AH439">
        <v>261.93</v>
      </c>
      <c r="AL439">
        <v>722.38</v>
      </c>
      <c r="AM439">
        <v>0.21925313108149469</v>
      </c>
      <c r="AN439">
        <v>925.24</v>
      </c>
      <c r="AO439">
        <v>202.86</v>
      </c>
      <c r="AP439">
        <v>0.21929999999999999</v>
      </c>
      <c r="AQ439">
        <v>0.78069999999999995</v>
      </c>
      <c r="AR439">
        <v>17080</v>
      </c>
      <c r="AS439">
        <v>1423</v>
      </c>
      <c r="AT439">
        <v>0.18379999999999999</v>
      </c>
      <c r="AU439">
        <v>14531</v>
      </c>
      <c r="AV439">
        <v>14531</v>
      </c>
      <c r="AW439">
        <v>15070</v>
      </c>
      <c r="AX439">
        <v>15070</v>
      </c>
      <c r="AY439">
        <v>0</v>
      </c>
      <c r="BA439">
        <v>0</v>
      </c>
      <c r="BB439">
        <v>0</v>
      </c>
      <c r="BC439">
        <v>0</v>
      </c>
      <c r="BD439">
        <v>0</v>
      </c>
      <c r="BE439">
        <v>0</v>
      </c>
    </row>
    <row r="440" spans="1:57" x14ac:dyDescent="0.35">
      <c r="A440" t="s">
        <v>1490</v>
      </c>
      <c r="B440" t="s">
        <v>1491</v>
      </c>
      <c r="C440" t="s">
        <v>555</v>
      </c>
      <c r="D440" t="s">
        <v>549</v>
      </c>
      <c r="E440" t="s">
        <v>557</v>
      </c>
      <c r="F440" t="s">
        <v>290</v>
      </c>
      <c r="G440" t="s">
        <v>566</v>
      </c>
      <c r="H440">
        <v>1095</v>
      </c>
      <c r="I440">
        <v>1.2417238185057539E-2</v>
      </c>
      <c r="J440">
        <v>1109</v>
      </c>
      <c r="K440">
        <v>8778</v>
      </c>
      <c r="L440">
        <v>1650</v>
      </c>
      <c r="V440" t="s">
        <v>1233</v>
      </c>
      <c r="W440">
        <v>13838</v>
      </c>
      <c r="X440">
        <v>0.86820964947491663</v>
      </c>
      <c r="Y440">
        <v>9</v>
      </c>
      <c r="Z440">
        <v>2535</v>
      </c>
      <c r="AA440">
        <v>3.7803666716024413E-2</v>
      </c>
      <c r="AB440">
        <v>0.92886035049837545</v>
      </c>
      <c r="AC440">
        <v>10.86457955841807</v>
      </c>
      <c r="AD440">
        <v>30</v>
      </c>
      <c r="AE440">
        <v>759.8</v>
      </c>
      <c r="AF440">
        <v>770.67</v>
      </c>
      <c r="AG440">
        <v>800.95</v>
      </c>
      <c r="AH440">
        <v>156.91</v>
      </c>
      <c r="AL440">
        <v>800.95</v>
      </c>
      <c r="AM440">
        <v>0.38032687805324378</v>
      </c>
      <c r="AN440">
        <v>1292.54</v>
      </c>
      <c r="AO440">
        <v>491.59</v>
      </c>
      <c r="AP440">
        <v>0.38030000000000003</v>
      </c>
      <c r="AQ440">
        <v>0.61970000000000003</v>
      </c>
      <c r="AR440">
        <v>75865</v>
      </c>
      <c r="AS440">
        <v>6322</v>
      </c>
      <c r="AT440">
        <v>0.1729</v>
      </c>
      <c r="AU440">
        <v>68737</v>
      </c>
      <c r="AV440">
        <v>68737</v>
      </c>
      <c r="AW440">
        <v>71438</v>
      </c>
      <c r="AX440">
        <v>71438</v>
      </c>
      <c r="AY440">
        <v>0</v>
      </c>
      <c r="BA440">
        <v>0</v>
      </c>
      <c r="BB440">
        <v>0</v>
      </c>
      <c r="BC440">
        <v>0</v>
      </c>
      <c r="BD440">
        <v>0</v>
      </c>
      <c r="BE440">
        <v>0</v>
      </c>
    </row>
    <row r="441" spans="1:57" x14ac:dyDescent="0.35">
      <c r="A441" t="s">
        <v>1492</v>
      </c>
      <c r="B441" t="s">
        <v>1493</v>
      </c>
      <c r="C441" t="s">
        <v>548</v>
      </c>
      <c r="D441" t="s">
        <v>549</v>
      </c>
      <c r="E441" t="s">
        <v>551</v>
      </c>
      <c r="F441" t="s">
        <v>290</v>
      </c>
      <c r="G441" t="s">
        <v>551</v>
      </c>
      <c r="H441">
        <v>484</v>
      </c>
      <c r="I441">
        <v>3.7804846837195219E-2</v>
      </c>
      <c r="J441">
        <v>502</v>
      </c>
      <c r="K441">
        <v>4168</v>
      </c>
      <c r="L441">
        <v>546</v>
      </c>
      <c r="V441" t="s">
        <v>1280</v>
      </c>
      <c r="W441">
        <v>6154</v>
      </c>
      <c r="X441">
        <v>1.1425297167512369</v>
      </c>
      <c r="Y441">
        <v>24</v>
      </c>
      <c r="Z441">
        <v>3291</v>
      </c>
      <c r="AA441">
        <v>3.5735263752916482E-2</v>
      </c>
      <c r="AB441">
        <v>0.96912998282745177</v>
      </c>
      <c r="AC441">
        <v>23.519604867081789</v>
      </c>
      <c r="AD441">
        <v>60</v>
      </c>
      <c r="AE441">
        <v>1249.17</v>
      </c>
      <c r="AF441">
        <v>1272.69</v>
      </c>
      <c r="AG441">
        <v>1319.85</v>
      </c>
      <c r="AH441">
        <v>719.34</v>
      </c>
      <c r="AL441">
        <v>1319.85</v>
      </c>
      <c r="AM441">
        <v>0.29579770106927439</v>
      </c>
      <c r="AN441">
        <v>1874.25</v>
      </c>
      <c r="AO441">
        <v>554.4</v>
      </c>
      <c r="AP441">
        <v>0.29580000000000001</v>
      </c>
      <c r="AQ441">
        <v>0.70420000000000005</v>
      </c>
      <c r="AR441">
        <v>41123</v>
      </c>
      <c r="AS441">
        <v>3427</v>
      </c>
      <c r="AT441">
        <v>0.1225</v>
      </c>
      <c r="AU441">
        <v>37501</v>
      </c>
      <c r="AV441">
        <v>37501</v>
      </c>
      <c r="AW441">
        <v>38891</v>
      </c>
      <c r="AX441">
        <v>38891</v>
      </c>
      <c r="AY441">
        <v>0</v>
      </c>
      <c r="BA441">
        <v>0</v>
      </c>
      <c r="BB441">
        <v>0</v>
      </c>
      <c r="BC441">
        <v>0</v>
      </c>
      <c r="BD441">
        <v>0</v>
      </c>
      <c r="BE441">
        <v>0</v>
      </c>
    </row>
    <row r="442" spans="1:57" x14ac:dyDescent="0.35">
      <c r="A442" t="s">
        <v>1494</v>
      </c>
      <c r="B442" t="s">
        <v>1495</v>
      </c>
      <c r="C442" t="s">
        <v>562</v>
      </c>
      <c r="D442" t="s">
        <v>549</v>
      </c>
      <c r="E442" t="s">
        <v>557</v>
      </c>
      <c r="F442" t="s">
        <v>290</v>
      </c>
      <c r="G442" t="s">
        <v>566</v>
      </c>
      <c r="H442">
        <v>973</v>
      </c>
      <c r="I442">
        <v>0.1464531613670933</v>
      </c>
      <c r="J442">
        <v>1115</v>
      </c>
      <c r="K442">
        <v>11932</v>
      </c>
      <c r="L442">
        <v>1200</v>
      </c>
      <c r="V442" t="s">
        <v>1220</v>
      </c>
      <c r="W442">
        <v>16447</v>
      </c>
      <c r="X442">
        <v>0.89505501759695993</v>
      </c>
      <c r="Y442">
        <v>8</v>
      </c>
      <c r="Z442">
        <v>2427</v>
      </c>
      <c r="AA442">
        <v>1.9871424108949459E-2</v>
      </c>
      <c r="AB442">
        <v>0.98767923972527805</v>
      </c>
      <c r="AC442">
        <v>11.17296217622472</v>
      </c>
      <c r="AD442">
        <v>15</v>
      </c>
      <c r="AE442">
        <v>1095.53</v>
      </c>
      <c r="AF442">
        <v>1106.7</v>
      </c>
      <c r="AG442">
        <v>1129.1400000000001</v>
      </c>
      <c r="AH442">
        <v>589.75</v>
      </c>
      <c r="AL442">
        <v>1129.1400000000001</v>
      </c>
      <c r="AM442">
        <v>0.29821004512702748</v>
      </c>
      <c r="AN442">
        <v>1608.94</v>
      </c>
      <c r="AO442">
        <v>479.8</v>
      </c>
      <c r="AP442">
        <v>0.29820000000000002</v>
      </c>
      <c r="AQ442">
        <v>0.70179999999999998</v>
      </c>
      <c r="AR442">
        <v>90410</v>
      </c>
      <c r="AS442">
        <v>7534</v>
      </c>
      <c r="AT442">
        <v>0.1384</v>
      </c>
      <c r="AU442">
        <v>79678</v>
      </c>
      <c r="AV442">
        <v>79678</v>
      </c>
      <c r="AW442">
        <v>81293</v>
      </c>
      <c r="AX442">
        <v>81293</v>
      </c>
      <c r="AY442">
        <v>0</v>
      </c>
      <c r="BA442">
        <v>0</v>
      </c>
      <c r="BB442">
        <v>0</v>
      </c>
      <c r="BC442">
        <v>0</v>
      </c>
      <c r="BD442">
        <v>0</v>
      </c>
      <c r="BE442">
        <v>0</v>
      </c>
    </row>
    <row r="443" spans="1:57" x14ac:dyDescent="0.35">
      <c r="A443" t="s">
        <v>1496</v>
      </c>
      <c r="B443" t="s">
        <v>1497</v>
      </c>
      <c r="C443" t="s">
        <v>548</v>
      </c>
      <c r="D443" t="s">
        <v>549</v>
      </c>
      <c r="E443" t="s">
        <v>551</v>
      </c>
      <c r="F443" t="s">
        <v>290</v>
      </c>
      <c r="G443" t="s">
        <v>551</v>
      </c>
      <c r="H443">
        <v>500</v>
      </c>
      <c r="I443">
        <v>0.12602081783033481</v>
      </c>
      <c r="J443">
        <v>563</v>
      </c>
      <c r="K443">
        <v>1487</v>
      </c>
      <c r="L443">
        <v>562</v>
      </c>
      <c r="V443" t="s">
        <v>1212</v>
      </c>
      <c r="W443">
        <v>10895</v>
      </c>
      <c r="X443">
        <v>1.052455450398905</v>
      </c>
      <c r="Y443">
        <v>4</v>
      </c>
      <c r="Z443">
        <v>4993</v>
      </c>
      <c r="AA443">
        <v>2.6513927757161469E-2</v>
      </c>
      <c r="AB443">
        <v>0.94364936835283397</v>
      </c>
      <c r="AC443">
        <v>21.87585399665377</v>
      </c>
      <c r="AD443">
        <v>60</v>
      </c>
      <c r="AE443">
        <v>186.56</v>
      </c>
      <c r="AF443">
        <v>208.43</v>
      </c>
      <c r="AG443">
        <v>214.11</v>
      </c>
      <c r="AH443">
        <v>833.88</v>
      </c>
      <c r="AL443">
        <v>214.11</v>
      </c>
      <c r="AM443">
        <v>0.2387311652192525</v>
      </c>
      <c r="AN443">
        <v>281.25</v>
      </c>
      <c r="AO443">
        <v>67.14</v>
      </c>
      <c r="AP443">
        <v>0.2387</v>
      </c>
      <c r="AQ443">
        <v>0.76129999999999998</v>
      </c>
      <c r="AR443">
        <v>23346</v>
      </c>
      <c r="AS443">
        <v>1946</v>
      </c>
      <c r="AT443">
        <v>0.2248</v>
      </c>
      <c r="AU443">
        <v>22421</v>
      </c>
      <c r="AV443">
        <v>22421</v>
      </c>
      <c r="AW443">
        <v>23032</v>
      </c>
      <c r="AX443">
        <v>23032</v>
      </c>
      <c r="AY443">
        <v>0</v>
      </c>
      <c r="BA443">
        <v>0</v>
      </c>
      <c r="BB443">
        <v>0</v>
      </c>
      <c r="BC443">
        <v>0</v>
      </c>
      <c r="BD443">
        <v>0</v>
      </c>
      <c r="BE443">
        <v>0</v>
      </c>
    </row>
    <row r="444" spans="1:57" x14ac:dyDescent="0.35">
      <c r="A444" t="s">
        <v>1498</v>
      </c>
      <c r="B444" t="s">
        <v>1499</v>
      </c>
      <c r="C444" t="s">
        <v>555</v>
      </c>
      <c r="D444" t="s">
        <v>549</v>
      </c>
      <c r="E444" t="s">
        <v>551</v>
      </c>
      <c r="F444" t="s">
        <v>290</v>
      </c>
      <c r="G444" t="s">
        <v>551</v>
      </c>
      <c r="H444">
        <v>211</v>
      </c>
      <c r="I444">
        <v>3.5102889028564913E-2</v>
      </c>
      <c r="J444">
        <v>218</v>
      </c>
      <c r="K444">
        <v>5702</v>
      </c>
      <c r="L444">
        <v>700</v>
      </c>
      <c r="V444" t="s">
        <v>1261</v>
      </c>
      <c r="W444">
        <v>6734</v>
      </c>
      <c r="X444">
        <v>0.86974657160199664</v>
      </c>
      <c r="Y444">
        <v>3</v>
      </c>
      <c r="Z444">
        <v>2059</v>
      </c>
      <c r="AA444">
        <v>1.6695943159420419E-2</v>
      </c>
      <c r="AB444">
        <v>0.98114219842314276</v>
      </c>
      <c r="AC444">
        <v>5.1629817153578443</v>
      </c>
      <c r="AD444">
        <v>60</v>
      </c>
      <c r="AE444">
        <v>502.4</v>
      </c>
      <c r="AF444">
        <v>507.56</v>
      </c>
      <c r="AG444">
        <v>516.17999999999995</v>
      </c>
      <c r="AH444">
        <v>1312.75</v>
      </c>
      <c r="AL444">
        <v>516.17999999999995</v>
      </c>
      <c r="AM444">
        <v>0.16299733799442689</v>
      </c>
      <c r="AN444">
        <v>616.70000000000005</v>
      </c>
      <c r="AO444">
        <v>100.52</v>
      </c>
      <c r="AP444">
        <v>0.16300000000000001</v>
      </c>
      <c r="AQ444">
        <v>0.83699999999999997</v>
      </c>
      <c r="AR444">
        <v>34878</v>
      </c>
      <c r="AS444">
        <v>2906</v>
      </c>
      <c r="AT444">
        <v>0.17510000000000001</v>
      </c>
      <c r="AU444">
        <v>29876</v>
      </c>
      <c r="AV444">
        <v>29876</v>
      </c>
      <c r="AW444">
        <v>30383</v>
      </c>
      <c r="AX444">
        <v>30383</v>
      </c>
      <c r="AY444">
        <v>0</v>
      </c>
      <c r="BA444">
        <v>0</v>
      </c>
      <c r="BB444">
        <v>0</v>
      </c>
      <c r="BC444">
        <v>0</v>
      </c>
      <c r="BD444">
        <v>0</v>
      </c>
      <c r="BE444">
        <v>0</v>
      </c>
    </row>
    <row r="445" spans="1:57" x14ac:dyDescent="0.35">
      <c r="A445" t="s">
        <v>1500</v>
      </c>
      <c r="B445" t="s">
        <v>1501</v>
      </c>
      <c r="C445" t="s">
        <v>562</v>
      </c>
      <c r="D445" t="s">
        <v>549</v>
      </c>
      <c r="E445" t="s">
        <v>551</v>
      </c>
      <c r="F445" t="s">
        <v>290</v>
      </c>
      <c r="G445" t="s">
        <v>551</v>
      </c>
      <c r="H445">
        <v>2715</v>
      </c>
      <c r="I445">
        <v>1.9617682231888079E-2</v>
      </c>
      <c r="J445">
        <v>2768</v>
      </c>
      <c r="K445">
        <v>6686</v>
      </c>
      <c r="L445">
        <v>1193</v>
      </c>
      <c r="V445" t="s">
        <v>1230</v>
      </c>
      <c r="W445">
        <v>13529</v>
      </c>
      <c r="X445">
        <v>1.0158768529556319</v>
      </c>
      <c r="Y445">
        <v>26</v>
      </c>
      <c r="Z445">
        <v>4093</v>
      </c>
      <c r="AA445">
        <v>3.8679701676037237E-2</v>
      </c>
      <c r="AB445">
        <v>0.93498479467613582</v>
      </c>
      <c r="AC445">
        <v>8.3479811865184974</v>
      </c>
      <c r="AD445">
        <v>90</v>
      </c>
      <c r="AE445">
        <v>1742.94</v>
      </c>
      <c r="AF445">
        <v>1751.29</v>
      </c>
      <c r="AG445">
        <v>1821.75</v>
      </c>
      <c r="AH445">
        <v>821.69</v>
      </c>
      <c r="AL445">
        <v>1821.75</v>
      </c>
      <c r="AM445">
        <v>0.15793594134324709</v>
      </c>
      <c r="AN445">
        <v>2163.4299999999998</v>
      </c>
      <c r="AO445">
        <v>341.68</v>
      </c>
      <c r="AP445">
        <v>0.15790000000000001</v>
      </c>
      <c r="AQ445">
        <v>0.84209999999999996</v>
      </c>
      <c r="AR445">
        <v>48672</v>
      </c>
      <c r="AS445">
        <v>4056</v>
      </c>
      <c r="AT445">
        <v>0.16750000000000001</v>
      </c>
      <c r="AU445">
        <v>43179</v>
      </c>
      <c r="AV445">
        <v>43179</v>
      </c>
      <c r="AW445">
        <v>44916</v>
      </c>
      <c r="AX445">
        <v>44916</v>
      </c>
      <c r="AY445">
        <v>0</v>
      </c>
      <c r="BA445">
        <v>0</v>
      </c>
      <c r="BB445">
        <v>0</v>
      </c>
      <c r="BC445">
        <v>0</v>
      </c>
      <c r="BD445">
        <v>0</v>
      </c>
      <c r="BE445">
        <v>0</v>
      </c>
    </row>
    <row r="446" spans="1:57" x14ac:dyDescent="0.35">
      <c r="A446" t="s">
        <v>1502</v>
      </c>
      <c r="B446" t="s">
        <v>1503</v>
      </c>
      <c r="C446" t="s">
        <v>573</v>
      </c>
      <c r="D446" t="s">
        <v>549</v>
      </c>
      <c r="E446" t="s">
        <v>551</v>
      </c>
      <c r="F446" t="s">
        <v>290</v>
      </c>
      <c r="G446" t="s">
        <v>551</v>
      </c>
      <c r="H446">
        <v>1299</v>
      </c>
      <c r="I446">
        <v>-3.7596406665290641E-2</v>
      </c>
      <c r="J446">
        <v>1250</v>
      </c>
      <c r="K446">
        <v>2547</v>
      </c>
      <c r="L446">
        <v>406</v>
      </c>
      <c r="V446" t="s">
        <v>1206</v>
      </c>
      <c r="W446">
        <v>15965</v>
      </c>
      <c r="X446">
        <v>1.1548850970305311</v>
      </c>
      <c r="Y446">
        <v>3</v>
      </c>
      <c r="Z446">
        <v>2790</v>
      </c>
      <c r="AA446">
        <v>3.0909831847442101E-2</v>
      </c>
      <c r="AB446">
        <v>0.92857880765972944</v>
      </c>
      <c r="AC446">
        <v>19.732245138954902</v>
      </c>
      <c r="AD446">
        <v>45</v>
      </c>
      <c r="AE446">
        <v>1863.35</v>
      </c>
      <c r="AF446">
        <v>1883.08</v>
      </c>
      <c r="AG446">
        <v>1943.14</v>
      </c>
      <c r="AH446">
        <v>917.91</v>
      </c>
      <c r="AL446">
        <v>1943.14</v>
      </c>
      <c r="AM446">
        <v>0.25583378603829943</v>
      </c>
      <c r="AN446">
        <v>2611.16</v>
      </c>
      <c r="AO446">
        <v>668.02</v>
      </c>
      <c r="AP446">
        <v>0.25580000000000003</v>
      </c>
      <c r="AQ446">
        <v>0.74419999999999997</v>
      </c>
      <c r="AR446">
        <v>32653</v>
      </c>
      <c r="AS446">
        <v>2721</v>
      </c>
      <c r="AT446">
        <v>9.69E-2</v>
      </c>
      <c r="AU446">
        <v>30512</v>
      </c>
      <c r="AV446">
        <v>30512</v>
      </c>
      <c r="AW446">
        <v>31485</v>
      </c>
      <c r="AX446">
        <v>31485</v>
      </c>
      <c r="AY446">
        <v>0</v>
      </c>
      <c r="BA446">
        <v>0</v>
      </c>
      <c r="BB446">
        <v>0</v>
      </c>
      <c r="BC446">
        <v>0</v>
      </c>
      <c r="BD446">
        <v>0</v>
      </c>
      <c r="BE446">
        <v>0</v>
      </c>
    </row>
    <row r="447" spans="1:57" x14ac:dyDescent="0.35">
      <c r="A447" t="s">
        <v>1504</v>
      </c>
      <c r="B447" t="s">
        <v>1505</v>
      </c>
      <c r="C447" t="s">
        <v>548</v>
      </c>
      <c r="D447" t="s">
        <v>549</v>
      </c>
      <c r="E447" t="s">
        <v>557</v>
      </c>
      <c r="F447" t="s">
        <v>290</v>
      </c>
      <c r="G447" t="s">
        <v>566</v>
      </c>
      <c r="H447">
        <v>731</v>
      </c>
      <c r="I447">
        <v>-3.9682179515124212E-5</v>
      </c>
      <c r="J447">
        <v>731</v>
      </c>
      <c r="K447">
        <v>2494</v>
      </c>
      <c r="L447">
        <v>237</v>
      </c>
      <c r="V447" t="s">
        <v>1220</v>
      </c>
      <c r="W447">
        <v>16447</v>
      </c>
      <c r="X447">
        <v>0.89505501759695993</v>
      </c>
      <c r="Y447">
        <v>8</v>
      </c>
      <c r="Z447">
        <v>2427</v>
      </c>
      <c r="AA447">
        <v>1.9871424108949459E-2</v>
      </c>
      <c r="AB447">
        <v>0.98767923972527805</v>
      </c>
      <c r="AC447">
        <v>11.17296217622472</v>
      </c>
      <c r="AD447">
        <v>15</v>
      </c>
      <c r="AE447">
        <v>587.12</v>
      </c>
      <c r="AF447">
        <v>598.29999999999995</v>
      </c>
      <c r="AG447">
        <v>610.42999999999995</v>
      </c>
      <c r="AH447">
        <v>435.05</v>
      </c>
      <c r="AL447">
        <v>610.42999999999995</v>
      </c>
      <c r="AM447">
        <v>0.17114134452430951</v>
      </c>
      <c r="AN447">
        <v>736.47</v>
      </c>
      <c r="AO447">
        <v>126.04</v>
      </c>
      <c r="AP447">
        <v>0.1711</v>
      </c>
      <c r="AQ447">
        <v>0.82889999999999997</v>
      </c>
      <c r="AR447">
        <v>31881</v>
      </c>
      <c r="AS447">
        <v>2657</v>
      </c>
      <c r="AT447">
        <v>8.2699999999999996E-2</v>
      </c>
      <c r="AU447">
        <v>29624</v>
      </c>
      <c r="AV447">
        <v>29624</v>
      </c>
      <c r="AW447">
        <v>30225</v>
      </c>
      <c r="AX447">
        <v>30225</v>
      </c>
      <c r="AY447">
        <v>0</v>
      </c>
      <c r="BA447">
        <v>0</v>
      </c>
      <c r="BB447">
        <v>0</v>
      </c>
      <c r="BC447">
        <v>0</v>
      </c>
      <c r="BD447">
        <v>0</v>
      </c>
      <c r="BE447">
        <v>0</v>
      </c>
    </row>
    <row r="448" spans="1:57" x14ac:dyDescent="0.35">
      <c r="A448" t="s">
        <v>1506</v>
      </c>
      <c r="B448" t="s">
        <v>1507</v>
      </c>
      <c r="C448" t="s">
        <v>562</v>
      </c>
      <c r="D448" t="s">
        <v>549</v>
      </c>
      <c r="E448" t="s">
        <v>557</v>
      </c>
      <c r="F448" t="s">
        <v>290</v>
      </c>
      <c r="G448" t="s">
        <v>551</v>
      </c>
      <c r="H448">
        <v>155</v>
      </c>
      <c r="I448">
        <v>4.6830629493828498E-2</v>
      </c>
      <c r="J448">
        <v>162</v>
      </c>
      <c r="K448">
        <v>5401</v>
      </c>
      <c r="L448">
        <v>1439</v>
      </c>
      <c r="V448" t="s">
        <v>1251</v>
      </c>
      <c r="W448">
        <v>5860</v>
      </c>
      <c r="X448">
        <v>0.87337391594646552</v>
      </c>
      <c r="Y448">
        <v>10</v>
      </c>
      <c r="Z448">
        <v>3872</v>
      </c>
      <c r="AA448">
        <v>2.4680306001966499E-2</v>
      </c>
      <c r="AB448">
        <v>0.91241658539950277</v>
      </c>
      <c r="AC448">
        <v>4.299423063814066</v>
      </c>
      <c r="AD448">
        <v>45</v>
      </c>
      <c r="AE448">
        <v>756.05</v>
      </c>
      <c r="AF448">
        <v>760.35</v>
      </c>
      <c r="AG448">
        <v>779.59</v>
      </c>
      <c r="AH448">
        <v>597.9</v>
      </c>
      <c r="AL448">
        <v>779.59</v>
      </c>
      <c r="AM448">
        <v>0.30171173888503477</v>
      </c>
      <c r="AN448">
        <v>1116.43</v>
      </c>
      <c r="AO448">
        <v>336.84</v>
      </c>
      <c r="AP448">
        <v>0.30170000000000002</v>
      </c>
      <c r="AQ448">
        <v>0.69830000000000003</v>
      </c>
      <c r="AR448">
        <v>69567</v>
      </c>
      <c r="AS448">
        <v>5797</v>
      </c>
      <c r="AT448">
        <v>0.24379999999999999</v>
      </c>
      <c r="AU448">
        <v>65605</v>
      </c>
      <c r="AV448">
        <v>65605</v>
      </c>
      <c r="AW448">
        <v>67265</v>
      </c>
      <c r="AX448">
        <v>67265</v>
      </c>
      <c r="AY448">
        <v>0</v>
      </c>
      <c r="BA448">
        <v>0</v>
      </c>
      <c r="BB448">
        <v>0</v>
      </c>
      <c r="BC448">
        <v>0</v>
      </c>
      <c r="BD448">
        <v>0</v>
      </c>
      <c r="BE448">
        <v>0</v>
      </c>
    </row>
    <row r="449" spans="1:57" x14ac:dyDescent="0.35">
      <c r="A449" t="s">
        <v>1508</v>
      </c>
      <c r="B449" t="s">
        <v>1509</v>
      </c>
      <c r="C449" t="s">
        <v>548</v>
      </c>
      <c r="D449" t="s">
        <v>549</v>
      </c>
      <c r="E449" t="s">
        <v>551</v>
      </c>
      <c r="F449" t="s">
        <v>290</v>
      </c>
      <c r="G449" t="s">
        <v>551</v>
      </c>
      <c r="H449">
        <v>638</v>
      </c>
      <c r="I449">
        <v>2.3129106369062999E-2</v>
      </c>
      <c r="J449">
        <v>653</v>
      </c>
      <c r="K449">
        <v>948</v>
      </c>
      <c r="L449">
        <v>214</v>
      </c>
      <c r="V449" t="s">
        <v>1280</v>
      </c>
      <c r="W449">
        <v>6154</v>
      </c>
      <c r="X449">
        <v>1.1425297167512369</v>
      </c>
      <c r="Y449">
        <v>24</v>
      </c>
      <c r="Z449">
        <v>3291</v>
      </c>
      <c r="AA449">
        <v>3.5735263752916482E-2</v>
      </c>
      <c r="AB449">
        <v>0.96912998282745177</v>
      </c>
      <c r="AC449">
        <v>23.519604867081789</v>
      </c>
      <c r="AD449">
        <v>60</v>
      </c>
      <c r="AE449">
        <v>653.01</v>
      </c>
      <c r="AF449">
        <v>676.53</v>
      </c>
      <c r="AG449">
        <v>701.6</v>
      </c>
      <c r="AH449">
        <v>563.63</v>
      </c>
      <c r="AL449">
        <v>701.6</v>
      </c>
      <c r="AM449">
        <v>0.37024325140991432</v>
      </c>
      <c r="AN449">
        <v>1114.08</v>
      </c>
      <c r="AO449">
        <v>412.48</v>
      </c>
      <c r="AP449">
        <v>0.37019999999999997</v>
      </c>
      <c r="AQ449">
        <v>0.62980000000000003</v>
      </c>
      <c r="AR449">
        <v>16184</v>
      </c>
      <c r="AS449">
        <v>1349</v>
      </c>
      <c r="AT449">
        <v>0.14410000000000001</v>
      </c>
      <c r="AU449">
        <v>15450</v>
      </c>
      <c r="AV449">
        <v>15450</v>
      </c>
      <c r="AW449">
        <v>16023</v>
      </c>
      <c r="AX449">
        <v>16023</v>
      </c>
      <c r="AY449">
        <v>0</v>
      </c>
      <c r="BA449">
        <v>0</v>
      </c>
      <c r="BB449">
        <v>0</v>
      </c>
      <c r="BC449">
        <v>0</v>
      </c>
      <c r="BD449">
        <v>0</v>
      </c>
      <c r="BE449">
        <v>0</v>
      </c>
    </row>
    <row r="450" spans="1:57" x14ac:dyDescent="0.35">
      <c r="A450" t="s">
        <v>1510</v>
      </c>
      <c r="B450" t="s">
        <v>1511</v>
      </c>
      <c r="C450" t="s">
        <v>555</v>
      </c>
      <c r="D450" t="s">
        <v>556</v>
      </c>
      <c r="E450" t="s">
        <v>551</v>
      </c>
      <c r="F450" t="s">
        <v>290</v>
      </c>
      <c r="G450" t="s">
        <v>551</v>
      </c>
      <c r="H450">
        <v>683</v>
      </c>
      <c r="I450">
        <v>2.9387425064397111E-2</v>
      </c>
      <c r="J450">
        <v>703</v>
      </c>
      <c r="K450">
        <v>6838</v>
      </c>
      <c r="L450">
        <v>1062</v>
      </c>
      <c r="V450" t="s">
        <v>1280</v>
      </c>
      <c r="W450">
        <v>6154</v>
      </c>
      <c r="X450">
        <v>1.1425297167512369</v>
      </c>
      <c r="Y450">
        <v>24</v>
      </c>
      <c r="Z450">
        <v>3291</v>
      </c>
      <c r="AA450">
        <v>3.5735263752916482E-2</v>
      </c>
      <c r="AB450">
        <v>0.96912998282745177</v>
      </c>
      <c r="AC450">
        <v>23.519604867081789</v>
      </c>
      <c r="AD450">
        <v>60</v>
      </c>
      <c r="AE450">
        <v>332.13</v>
      </c>
      <c r="AF450">
        <v>355.65</v>
      </c>
      <c r="AG450">
        <v>368.83</v>
      </c>
      <c r="AH450">
        <v>769.74</v>
      </c>
      <c r="AL450">
        <v>368.83</v>
      </c>
      <c r="AM450">
        <v>0.37072870412968051</v>
      </c>
      <c r="AN450">
        <v>586.12</v>
      </c>
      <c r="AO450">
        <v>217.29</v>
      </c>
      <c r="AP450">
        <v>0.37069999999999997</v>
      </c>
      <c r="AQ450">
        <v>0.62929999999999997</v>
      </c>
      <c r="AR450">
        <v>49493</v>
      </c>
      <c r="AS450">
        <v>4124</v>
      </c>
      <c r="AT450">
        <v>0.1825</v>
      </c>
      <c r="AU450">
        <v>43717</v>
      </c>
      <c r="AV450">
        <v>43717</v>
      </c>
      <c r="AW450">
        <v>45337</v>
      </c>
      <c r="AX450">
        <v>45337</v>
      </c>
      <c r="AY450">
        <v>0</v>
      </c>
      <c r="BA450">
        <v>0</v>
      </c>
      <c r="BB450">
        <v>0</v>
      </c>
      <c r="BC450">
        <v>0</v>
      </c>
      <c r="BD450">
        <v>0</v>
      </c>
      <c r="BE450">
        <v>0</v>
      </c>
    </row>
    <row r="451" spans="1:57" x14ac:dyDescent="0.35">
      <c r="A451" t="s">
        <v>1512</v>
      </c>
      <c r="B451" t="s">
        <v>1513</v>
      </c>
      <c r="C451" t="s">
        <v>573</v>
      </c>
      <c r="D451" t="s">
        <v>549</v>
      </c>
      <c r="E451" t="s">
        <v>551</v>
      </c>
      <c r="F451" t="s">
        <v>290</v>
      </c>
      <c r="G451" t="s">
        <v>566</v>
      </c>
      <c r="H451">
        <v>557</v>
      </c>
      <c r="I451">
        <v>6.3904789109312896E-2</v>
      </c>
      <c r="J451">
        <v>593</v>
      </c>
      <c r="K451">
        <v>10413</v>
      </c>
      <c r="L451">
        <v>892</v>
      </c>
      <c r="V451" t="s">
        <v>1251</v>
      </c>
      <c r="W451">
        <v>5860</v>
      </c>
      <c r="X451">
        <v>0.87337391594646552</v>
      </c>
      <c r="Y451">
        <v>10</v>
      </c>
      <c r="Z451">
        <v>3872</v>
      </c>
      <c r="AA451">
        <v>2.4680306001966499E-2</v>
      </c>
      <c r="AB451">
        <v>0.91241658539950277</v>
      </c>
      <c r="AC451">
        <v>4.299423063814066</v>
      </c>
      <c r="AD451">
        <v>45</v>
      </c>
      <c r="AE451">
        <v>775.81</v>
      </c>
      <c r="AF451">
        <v>780.11</v>
      </c>
      <c r="AG451">
        <v>799.85</v>
      </c>
      <c r="AH451">
        <v>1165.52</v>
      </c>
      <c r="AL451">
        <v>799.85</v>
      </c>
      <c r="AM451">
        <v>0.31476135253305809</v>
      </c>
      <c r="AN451">
        <v>1167.26</v>
      </c>
      <c r="AO451">
        <v>367.41</v>
      </c>
      <c r="AP451">
        <v>0.31480000000000002</v>
      </c>
      <c r="AQ451">
        <v>0.68520000000000003</v>
      </c>
      <c r="AR451">
        <v>59148</v>
      </c>
      <c r="AS451">
        <v>4929</v>
      </c>
      <c r="AT451">
        <v>9.3600000000000003E-2</v>
      </c>
      <c r="AU451">
        <v>49627</v>
      </c>
      <c r="AV451">
        <v>49627</v>
      </c>
      <c r="AW451">
        <v>50883</v>
      </c>
      <c r="AX451">
        <v>50883</v>
      </c>
      <c r="AY451">
        <v>0</v>
      </c>
      <c r="BA451">
        <v>0</v>
      </c>
      <c r="BB451">
        <v>0</v>
      </c>
      <c r="BC451">
        <v>0</v>
      </c>
      <c r="BD451">
        <v>0</v>
      </c>
      <c r="BE451">
        <v>0</v>
      </c>
    </row>
    <row r="452" spans="1:57" x14ac:dyDescent="0.35">
      <c r="A452" t="s">
        <v>1514</v>
      </c>
      <c r="B452" t="s">
        <v>1515</v>
      </c>
      <c r="C452" t="s">
        <v>562</v>
      </c>
      <c r="D452" t="s">
        <v>556</v>
      </c>
      <c r="E452" t="s">
        <v>551</v>
      </c>
      <c r="F452" t="s">
        <v>290</v>
      </c>
      <c r="G452" t="s">
        <v>551</v>
      </c>
      <c r="H452">
        <v>1249</v>
      </c>
      <c r="I452">
        <v>-3.0265149263361119E-2</v>
      </c>
      <c r="J452">
        <v>1211</v>
      </c>
      <c r="K452">
        <v>2097</v>
      </c>
      <c r="L452">
        <v>1066</v>
      </c>
      <c r="V452" t="s">
        <v>1294</v>
      </c>
      <c r="W452">
        <v>27299</v>
      </c>
      <c r="X452">
        <v>1.1718790609370291</v>
      </c>
      <c r="Y452">
        <v>15</v>
      </c>
      <c r="Z452">
        <v>1697</v>
      </c>
      <c r="AA452">
        <v>2.6069342747396088E-2</v>
      </c>
      <c r="AB452">
        <v>0.97200448262628047</v>
      </c>
      <c r="AC452">
        <v>20.484457768679629</v>
      </c>
      <c r="AD452">
        <v>60</v>
      </c>
      <c r="AE452">
        <v>557.53</v>
      </c>
      <c r="AF452">
        <v>578.01</v>
      </c>
      <c r="AG452">
        <v>593.48</v>
      </c>
      <c r="AH452">
        <v>246.16</v>
      </c>
      <c r="AL452">
        <v>593.48</v>
      </c>
      <c r="AM452">
        <v>0.20280795786823269</v>
      </c>
      <c r="AN452">
        <v>744.46</v>
      </c>
      <c r="AO452">
        <v>150.97999999999999</v>
      </c>
      <c r="AP452">
        <v>0.20280000000000001</v>
      </c>
      <c r="AQ452">
        <v>0.79720000000000002</v>
      </c>
      <c r="AR452">
        <v>39846</v>
      </c>
      <c r="AS452">
        <v>3320</v>
      </c>
      <c r="AT452">
        <v>0.1961</v>
      </c>
      <c r="AU452">
        <v>38815</v>
      </c>
      <c r="AV452">
        <v>38815</v>
      </c>
      <c r="AW452">
        <v>39854</v>
      </c>
      <c r="AX452">
        <v>39854</v>
      </c>
      <c r="AY452">
        <v>0</v>
      </c>
      <c r="BA452">
        <v>0</v>
      </c>
      <c r="BB452">
        <v>0</v>
      </c>
      <c r="BC452">
        <v>0</v>
      </c>
      <c r="BD452">
        <v>0</v>
      </c>
      <c r="BE452">
        <v>0</v>
      </c>
    </row>
    <row r="453" spans="1:57" x14ac:dyDescent="0.35">
      <c r="A453" t="s">
        <v>1516</v>
      </c>
      <c r="B453" t="s">
        <v>1517</v>
      </c>
      <c r="C453" t="s">
        <v>555</v>
      </c>
      <c r="D453" t="s">
        <v>556</v>
      </c>
      <c r="E453" t="s">
        <v>550</v>
      </c>
      <c r="F453" t="s">
        <v>290</v>
      </c>
      <c r="G453" t="s">
        <v>558</v>
      </c>
      <c r="H453">
        <v>2743</v>
      </c>
      <c r="I453">
        <v>6.3203428552729188E-2</v>
      </c>
      <c r="J453">
        <v>2916</v>
      </c>
      <c r="K453">
        <v>1560</v>
      </c>
      <c r="L453">
        <v>974</v>
      </c>
      <c r="V453" t="s">
        <v>1301</v>
      </c>
      <c r="W453">
        <v>16363</v>
      </c>
      <c r="X453">
        <v>0.85714672716877638</v>
      </c>
      <c r="Y453">
        <v>5</v>
      </c>
      <c r="Z453">
        <v>1785</v>
      </c>
      <c r="AA453">
        <v>4.1436400030298104E-3</v>
      </c>
      <c r="AB453">
        <v>0.95107982811735547</v>
      </c>
      <c r="AC453">
        <v>23.586712307362259</v>
      </c>
      <c r="AD453">
        <v>30</v>
      </c>
      <c r="AE453">
        <v>848.99</v>
      </c>
      <c r="AF453">
        <v>872.58</v>
      </c>
      <c r="AG453">
        <v>876.21</v>
      </c>
      <c r="AH453">
        <v>1502.79</v>
      </c>
      <c r="AL453">
        <v>876.21</v>
      </c>
      <c r="AM453">
        <v>0.36574920783971798</v>
      </c>
      <c r="AN453">
        <v>1381.49</v>
      </c>
      <c r="AO453">
        <v>505.28</v>
      </c>
      <c r="AP453">
        <v>0.36580000000000001</v>
      </c>
      <c r="AQ453">
        <v>0.63419999999999999</v>
      </c>
      <c r="AR453">
        <v>27202</v>
      </c>
      <c r="AS453">
        <v>2267</v>
      </c>
      <c r="AT453">
        <v>0.23849999999999999</v>
      </c>
      <c r="AU453">
        <v>26616</v>
      </c>
      <c r="AV453">
        <v>26616</v>
      </c>
      <c r="AW453">
        <v>26727</v>
      </c>
      <c r="AX453">
        <v>26727</v>
      </c>
      <c r="AY453">
        <v>0</v>
      </c>
      <c r="BA453">
        <v>0</v>
      </c>
      <c r="BB453">
        <v>0</v>
      </c>
      <c r="BC453">
        <v>0</v>
      </c>
      <c r="BD453">
        <v>0</v>
      </c>
      <c r="BE453">
        <v>0</v>
      </c>
    </row>
    <row r="454" spans="1:57" x14ac:dyDescent="0.35">
      <c r="A454" t="s">
        <v>1518</v>
      </c>
      <c r="B454" t="s">
        <v>1519</v>
      </c>
      <c r="C454" t="s">
        <v>548</v>
      </c>
      <c r="D454" t="s">
        <v>556</v>
      </c>
      <c r="E454" t="s">
        <v>551</v>
      </c>
      <c r="F454" t="s">
        <v>290</v>
      </c>
      <c r="G454" t="s">
        <v>566</v>
      </c>
      <c r="H454">
        <v>1248</v>
      </c>
      <c r="I454">
        <v>6.1678631814630083E-2</v>
      </c>
      <c r="J454">
        <v>1325</v>
      </c>
      <c r="K454">
        <v>2801</v>
      </c>
      <c r="L454">
        <v>448</v>
      </c>
      <c r="V454" t="s">
        <v>1212</v>
      </c>
      <c r="W454">
        <v>10895</v>
      </c>
      <c r="X454">
        <v>1.052455450398905</v>
      </c>
      <c r="Y454">
        <v>4</v>
      </c>
      <c r="Z454">
        <v>4993</v>
      </c>
      <c r="AA454">
        <v>2.6513927757161469E-2</v>
      </c>
      <c r="AB454">
        <v>0.94364936835283397</v>
      </c>
      <c r="AC454">
        <v>21.87585399665377</v>
      </c>
      <c r="AD454">
        <v>60</v>
      </c>
      <c r="AE454">
        <v>175.83</v>
      </c>
      <c r="AF454">
        <v>197.7</v>
      </c>
      <c r="AG454">
        <v>203.09</v>
      </c>
      <c r="AH454">
        <v>293.66000000000003</v>
      </c>
      <c r="AL454">
        <v>203.09</v>
      </c>
      <c r="AM454">
        <v>0.37152335882830201</v>
      </c>
      <c r="AN454">
        <v>323.14999999999998</v>
      </c>
      <c r="AO454">
        <v>120.06</v>
      </c>
      <c r="AP454">
        <v>0.3715</v>
      </c>
      <c r="AQ454">
        <v>0.62849999999999995</v>
      </c>
      <c r="AR454">
        <v>20606</v>
      </c>
      <c r="AS454">
        <v>1717</v>
      </c>
      <c r="AT454">
        <v>0.1779</v>
      </c>
      <c r="AU454">
        <v>18253</v>
      </c>
      <c r="AV454">
        <v>18253</v>
      </c>
      <c r="AW454">
        <v>18750</v>
      </c>
      <c r="AX454">
        <v>18750</v>
      </c>
      <c r="AY454">
        <v>0</v>
      </c>
      <c r="BA454">
        <v>0</v>
      </c>
      <c r="BB454">
        <v>0</v>
      </c>
      <c r="BC454">
        <v>0</v>
      </c>
      <c r="BD454">
        <v>0</v>
      </c>
      <c r="BE454">
        <v>0</v>
      </c>
    </row>
    <row r="455" spans="1:57" x14ac:dyDescent="0.35">
      <c r="A455" t="s">
        <v>1520</v>
      </c>
      <c r="B455" t="s">
        <v>1521</v>
      </c>
      <c r="C455" t="s">
        <v>555</v>
      </c>
      <c r="D455" t="s">
        <v>556</v>
      </c>
      <c r="E455" t="s">
        <v>551</v>
      </c>
      <c r="F455" t="s">
        <v>290</v>
      </c>
      <c r="G455" t="s">
        <v>551</v>
      </c>
      <c r="H455">
        <v>109</v>
      </c>
      <c r="I455">
        <v>-5.7018747472022263E-3</v>
      </c>
      <c r="J455">
        <v>108</v>
      </c>
      <c r="K455">
        <v>3278</v>
      </c>
      <c r="L455">
        <v>218</v>
      </c>
      <c r="V455" t="s">
        <v>1277</v>
      </c>
      <c r="W455">
        <v>25666</v>
      </c>
      <c r="X455">
        <v>0.87460740415994176</v>
      </c>
      <c r="Y455">
        <v>5</v>
      </c>
      <c r="Z455">
        <v>759</v>
      </c>
      <c r="AA455">
        <v>1.4386438397671619E-2</v>
      </c>
      <c r="AB455">
        <v>0.88083374665917669</v>
      </c>
      <c r="AC455">
        <v>18.356439246074409</v>
      </c>
      <c r="AD455">
        <v>45</v>
      </c>
      <c r="AE455">
        <v>1024.45</v>
      </c>
      <c r="AF455">
        <v>1042.8</v>
      </c>
      <c r="AG455">
        <v>1058.02</v>
      </c>
      <c r="AH455">
        <v>1147.75</v>
      </c>
      <c r="AL455">
        <v>1058.02</v>
      </c>
      <c r="AM455">
        <v>0.1991633962382397</v>
      </c>
      <c r="AN455">
        <v>1321.14</v>
      </c>
      <c r="AO455">
        <v>263.12</v>
      </c>
      <c r="AP455">
        <v>0.19919999999999999</v>
      </c>
      <c r="AQ455">
        <v>0.80079999999999996</v>
      </c>
      <c r="AR455">
        <v>18956</v>
      </c>
      <c r="AS455">
        <v>1580</v>
      </c>
      <c r="AT455">
        <v>0.1014</v>
      </c>
      <c r="AU455">
        <v>15896</v>
      </c>
      <c r="AV455">
        <v>15896</v>
      </c>
      <c r="AW455">
        <v>16128</v>
      </c>
      <c r="AX455">
        <v>16128</v>
      </c>
      <c r="AY455">
        <v>0</v>
      </c>
      <c r="BA455">
        <v>0</v>
      </c>
      <c r="BB455">
        <v>0</v>
      </c>
      <c r="BC455">
        <v>0</v>
      </c>
      <c r="BD455">
        <v>0</v>
      </c>
      <c r="BE455">
        <v>0</v>
      </c>
    </row>
    <row r="456" spans="1:57" x14ac:dyDescent="0.35">
      <c r="A456" t="s">
        <v>1522</v>
      </c>
      <c r="B456" t="s">
        <v>1523</v>
      </c>
      <c r="C456" t="s">
        <v>548</v>
      </c>
      <c r="D456" t="s">
        <v>549</v>
      </c>
      <c r="E456" t="s">
        <v>551</v>
      </c>
      <c r="F456" t="s">
        <v>290</v>
      </c>
      <c r="G456" t="s">
        <v>551</v>
      </c>
      <c r="H456">
        <v>143</v>
      </c>
      <c r="I456">
        <v>5.2799372220636451E-2</v>
      </c>
      <c r="J456">
        <v>151</v>
      </c>
      <c r="K456">
        <v>3124</v>
      </c>
      <c r="L456">
        <v>522</v>
      </c>
      <c r="V456" t="s">
        <v>1189</v>
      </c>
      <c r="W456">
        <v>15173</v>
      </c>
      <c r="X456">
        <v>1.0157368967662599</v>
      </c>
      <c r="Y456">
        <v>28</v>
      </c>
      <c r="Z456">
        <v>2138</v>
      </c>
      <c r="AA456">
        <v>3.6051469397092743E-2</v>
      </c>
      <c r="AB456">
        <v>0.89452048649606097</v>
      </c>
      <c r="AC456">
        <v>4.5311942641365652</v>
      </c>
      <c r="AD456">
        <v>15</v>
      </c>
      <c r="AE456">
        <v>1804.52</v>
      </c>
      <c r="AF456">
        <v>1809.05</v>
      </c>
      <c r="AG456">
        <v>1876.7</v>
      </c>
      <c r="AH456">
        <v>1581.33</v>
      </c>
      <c r="AL456">
        <v>1876.7</v>
      </c>
      <c r="AM456">
        <v>0.33435652144266931</v>
      </c>
      <c r="AN456">
        <v>2819.38</v>
      </c>
      <c r="AO456">
        <v>942.68</v>
      </c>
      <c r="AP456">
        <v>0.33439999999999998</v>
      </c>
      <c r="AQ456">
        <v>0.66559999999999997</v>
      </c>
      <c r="AR456">
        <v>31555</v>
      </c>
      <c r="AS456">
        <v>2630</v>
      </c>
      <c r="AT456">
        <v>0.1789</v>
      </c>
      <c r="AU456">
        <v>28953</v>
      </c>
      <c r="AV456">
        <v>28953</v>
      </c>
      <c r="AW456">
        <v>30036</v>
      </c>
      <c r="AX456">
        <v>30036</v>
      </c>
      <c r="AY456">
        <v>0</v>
      </c>
      <c r="BA456">
        <v>0</v>
      </c>
      <c r="BB456">
        <v>0</v>
      </c>
      <c r="BC456">
        <v>0</v>
      </c>
      <c r="BD456">
        <v>0</v>
      </c>
      <c r="BE456">
        <v>0</v>
      </c>
    </row>
    <row r="457" spans="1:57" x14ac:dyDescent="0.35">
      <c r="A457" t="s">
        <v>1524</v>
      </c>
      <c r="B457" t="s">
        <v>1525</v>
      </c>
      <c r="C457" t="s">
        <v>573</v>
      </c>
      <c r="D457" t="s">
        <v>549</v>
      </c>
      <c r="E457" t="s">
        <v>550</v>
      </c>
      <c r="F457" t="s">
        <v>290</v>
      </c>
      <c r="G457" t="s">
        <v>566</v>
      </c>
      <c r="H457">
        <v>628</v>
      </c>
      <c r="I457">
        <v>6.0014511627349679E-2</v>
      </c>
      <c r="J457">
        <v>666</v>
      </c>
      <c r="K457">
        <v>2335</v>
      </c>
      <c r="L457">
        <v>750</v>
      </c>
      <c r="V457" t="s">
        <v>1271</v>
      </c>
      <c r="W457">
        <v>10423</v>
      </c>
      <c r="X457">
        <v>1.186167740515518</v>
      </c>
      <c r="Y457">
        <v>7</v>
      </c>
      <c r="Z457">
        <v>3208</v>
      </c>
      <c r="AA457">
        <v>3.5540181041194913E-2</v>
      </c>
      <c r="AB457">
        <v>0.87641899516779309</v>
      </c>
      <c r="AC457">
        <v>8.4140411096201824</v>
      </c>
      <c r="AD457">
        <v>45</v>
      </c>
      <c r="AE457">
        <v>2060.71</v>
      </c>
      <c r="AF457">
        <v>2069.12</v>
      </c>
      <c r="AG457">
        <v>2145.37</v>
      </c>
      <c r="AH457">
        <v>1391.22</v>
      </c>
      <c r="AL457">
        <v>2145.37</v>
      </c>
      <c r="AM457">
        <v>0.2216298872317807</v>
      </c>
      <c r="AN457">
        <v>2756.23</v>
      </c>
      <c r="AO457">
        <v>610.86</v>
      </c>
      <c r="AP457">
        <v>0.22159999999999999</v>
      </c>
      <c r="AQ457">
        <v>0.77839999999999998</v>
      </c>
      <c r="AR457">
        <v>22796</v>
      </c>
      <c r="AS457">
        <v>1900</v>
      </c>
      <c r="AT457">
        <v>0.21029999999999999</v>
      </c>
      <c r="AU457">
        <v>21211</v>
      </c>
      <c r="AV457">
        <v>21211</v>
      </c>
      <c r="AW457">
        <v>21993</v>
      </c>
      <c r="AX457">
        <v>21993</v>
      </c>
      <c r="AY457">
        <v>0</v>
      </c>
      <c r="BA457">
        <v>0</v>
      </c>
      <c r="BB457">
        <v>0</v>
      </c>
      <c r="BC457">
        <v>0</v>
      </c>
      <c r="BD457">
        <v>0</v>
      </c>
      <c r="BE457">
        <v>0</v>
      </c>
    </row>
    <row r="458" spans="1:57" x14ac:dyDescent="0.35">
      <c r="A458" t="s">
        <v>1526</v>
      </c>
      <c r="B458" t="s">
        <v>1527</v>
      </c>
      <c r="C458" t="s">
        <v>573</v>
      </c>
      <c r="D458" t="s">
        <v>549</v>
      </c>
      <c r="E458" t="s">
        <v>550</v>
      </c>
      <c r="F458" t="s">
        <v>290</v>
      </c>
      <c r="G458" t="s">
        <v>558</v>
      </c>
      <c r="H458">
        <v>2504</v>
      </c>
      <c r="I458">
        <v>-2.076911611865213E-2</v>
      </c>
      <c r="J458">
        <v>2452</v>
      </c>
      <c r="K458">
        <v>2060</v>
      </c>
      <c r="L458">
        <v>327</v>
      </c>
      <c r="V458" t="s">
        <v>1285</v>
      </c>
      <c r="W458">
        <v>5995</v>
      </c>
      <c r="X458">
        <v>1.0391599915244341</v>
      </c>
      <c r="Y458">
        <v>18</v>
      </c>
      <c r="Z458">
        <v>3442</v>
      </c>
      <c r="AA458">
        <v>5.3627150779729411E-3</v>
      </c>
      <c r="AB458">
        <v>0.87743760073868027</v>
      </c>
      <c r="AC458">
        <v>3.0402276449423762</v>
      </c>
      <c r="AD458">
        <v>90</v>
      </c>
      <c r="AE458">
        <v>1418.81</v>
      </c>
      <c r="AF458">
        <v>1421.85</v>
      </c>
      <c r="AG458">
        <v>1429.51</v>
      </c>
      <c r="AH458">
        <v>1305.03</v>
      </c>
      <c r="AL458">
        <v>1429.51</v>
      </c>
      <c r="AM458">
        <v>0.35066007808823241</v>
      </c>
      <c r="AN458">
        <v>2201.48</v>
      </c>
      <c r="AO458">
        <v>771.97</v>
      </c>
      <c r="AP458">
        <v>0.35070000000000001</v>
      </c>
      <c r="AQ458">
        <v>0.64929999999999999</v>
      </c>
      <c r="AR458">
        <v>14775</v>
      </c>
      <c r="AS458">
        <v>1231</v>
      </c>
      <c r="AT458">
        <v>0.14910000000000001</v>
      </c>
      <c r="AU458">
        <v>13042</v>
      </c>
      <c r="AV458">
        <v>13042</v>
      </c>
      <c r="AW458">
        <v>13112</v>
      </c>
      <c r="AX458">
        <v>13112</v>
      </c>
      <c r="AY458">
        <v>0</v>
      </c>
      <c r="BA458">
        <v>0</v>
      </c>
      <c r="BB458">
        <v>0</v>
      </c>
      <c r="BC458">
        <v>0</v>
      </c>
      <c r="BD458">
        <v>0</v>
      </c>
      <c r="BE458">
        <v>0</v>
      </c>
    </row>
    <row r="459" spans="1:57" x14ac:dyDescent="0.35">
      <c r="A459" t="s">
        <v>1528</v>
      </c>
      <c r="B459" t="s">
        <v>1529</v>
      </c>
      <c r="C459" t="s">
        <v>573</v>
      </c>
      <c r="D459" t="s">
        <v>556</v>
      </c>
      <c r="E459" t="s">
        <v>551</v>
      </c>
      <c r="F459" t="s">
        <v>290</v>
      </c>
      <c r="G459" t="s">
        <v>551</v>
      </c>
      <c r="H459">
        <v>1389</v>
      </c>
      <c r="I459">
        <v>8.6673920518032535E-2</v>
      </c>
      <c r="J459">
        <v>1509</v>
      </c>
      <c r="K459">
        <v>3768</v>
      </c>
      <c r="L459">
        <v>924</v>
      </c>
      <c r="V459" t="s">
        <v>1347</v>
      </c>
      <c r="W459">
        <v>26518</v>
      </c>
      <c r="X459">
        <v>0.84435632832473262</v>
      </c>
      <c r="Y459">
        <v>30</v>
      </c>
      <c r="Z459">
        <v>1584</v>
      </c>
      <c r="AA459">
        <v>9.6653296887450543E-3</v>
      </c>
      <c r="AB459">
        <v>0.9754069033942927</v>
      </c>
      <c r="AC459">
        <v>12.933515133188569</v>
      </c>
      <c r="AD459">
        <v>90</v>
      </c>
      <c r="AE459">
        <v>360.26</v>
      </c>
      <c r="AF459">
        <v>373.2</v>
      </c>
      <c r="AG459">
        <v>376.84</v>
      </c>
      <c r="AH459">
        <v>1066.5899999999999</v>
      </c>
      <c r="AL459">
        <v>376.84</v>
      </c>
      <c r="AM459">
        <v>0.39930947497590058</v>
      </c>
      <c r="AN459">
        <v>627.34</v>
      </c>
      <c r="AO459">
        <v>250.5</v>
      </c>
      <c r="AP459">
        <v>0.39929999999999999</v>
      </c>
      <c r="AQ459">
        <v>0.60070000000000001</v>
      </c>
      <c r="AR459">
        <v>41347</v>
      </c>
      <c r="AS459">
        <v>3446</v>
      </c>
      <c r="AT459">
        <v>0.2296</v>
      </c>
      <c r="AU459">
        <v>38503</v>
      </c>
      <c r="AV459">
        <v>38503</v>
      </c>
      <c r="AW459">
        <v>38879</v>
      </c>
      <c r="AX459">
        <v>38879</v>
      </c>
      <c r="AY459">
        <v>0</v>
      </c>
      <c r="BA459">
        <v>0</v>
      </c>
      <c r="BB459">
        <v>0</v>
      </c>
      <c r="BC459">
        <v>0</v>
      </c>
      <c r="BD459">
        <v>0</v>
      </c>
      <c r="BE459">
        <v>0</v>
      </c>
    </row>
    <row r="460" spans="1:57" x14ac:dyDescent="0.35">
      <c r="A460" t="s">
        <v>1530</v>
      </c>
      <c r="B460" t="s">
        <v>1531</v>
      </c>
      <c r="C460" t="s">
        <v>555</v>
      </c>
      <c r="D460" t="s">
        <v>549</v>
      </c>
      <c r="E460" t="s">
        <v>551</v>
      </c>
      <c r="F460" t="s">
        <v>290</v>
      </c>
      <c r="G460" t="s">
        <v>558</v>
      </c>
      <c r="H460">
        <v>313</v>
      </c>
      <c r="I460">
        <v>8.0785755174291304E-2</v>
      </c>
      <c r="J460">
        <v>338</v>
      </c>
      <c r="K460">
        <v>2602</v>
      </c>
      <c r="L460">
        <v>1156</v>
      </c>
      <c r="V460" t="s">
        <v>1220</v>
      </c>
      <c r="W460">
        <v>16447</v>
      </c>
      <c r="X460">
        <v>0.89505501759695993</v>
      </c>
      <c r="Y460">
        <v>8</v>
      </c>
      <c r="Z460">
        <v>2427</v>
      </c>
      <c r="AA460">
        <v>1.9871424108949459E-2</v>
      </c>
      <c r="AB460">
        <v>0.98767923972527805</v>
      </c>
      <c r="AC460">
        <v>11.17296217622472</v>
      </c>
      <c r="AD460">
        <v>15</v>
      </c>
      <c r="AE460">
        <v>1327.77</v>
      </c>
      <c r="AF460">
        <v>1338.94</v>
      </c>
      <c r="AG460">
        <v>1366.09</v>
      </c>
      <c r="AH460">
        <v>746</v>
      </c>
      <c r="AL460">
        <v>1366.09</v>
      </c>
      <c r="AM460">
        <v>0.1575065013323482</v>
      </c>
      <c r="AN460">
        <v>1621.48</v>
      </c>
      <c r="AO460">
        <v>255.39</v>
      </c>
      <c r="AP460">
        <v>0.1575</v>
      </c>
      <c r="AQ460">
        <v>0.84250000000000003</v>
      </c>
      <c r="AR460">
        <v>48189</v>
      </c>
      <c r="AS460">
        <v>4016</v>
      </c>
      <c r="AT460">
        <v>0.1903</v>
      </c>
      <c r="AU460">
        <v>46743</v>
      </c>
      <c r="AV460">
        <v>46743</v>
      </c>
      <c r="AW460">
        <v>47691</v>
      </c>
      <c r="AX460">
        <v>47691</v>
      </c>
      <c r="AY460">
        <v>0</v>
      </c>
      <c r="BA460">
        <v>0</v>
      </c>
      <c r="BB460">
        <v>0</v>
      </c>
      <c r="BC460">
        <v>0</v>
      </c>
      <c r="BD460">
        <v>0</v>
      </c>
      <c r="BE460">
        <v>0</v>
      </c>
    </row>
    <row r="461" spans="1:57" x14ac:dyDescent="0.35">
      <c r="A461" t="s">
        <v>1532</v>
      </c>
      <c r="B461" t="s">
        <v>1533</v>
      </c>
      <c r="C461" t="s">
        <v>555</v>
      </c>
      <c r="D461" t="s">
        <v>556</v>
      </c>
      <c r="E461" t="s">
        <v>550</v>
      </c>
      <c r="F461" t="s">
        <v>290</v>
      </c>
      <c r="G461" t="s">
        <v>628</v>
      </c>
      <c r="H461">
        <v>691</v>
      </c>
      <c r="I461">
        <v>-2.388637047496216E-2</v>
      </c>
      <c r="J461">
        <v>674</v>
      </c>
      <c r="K461">
        <v>861</v>
      </c>
      <c r="L461">
        <v>155</v>
      </c>
      <c r="V461" t="s">
        <v>1251</v>
      </c>
      <c r="W461">
        <v>5860</v>
      </c>
      <c r="X461">
        <v>0.87337391594646552</v>
      </c>
      <c r="Y461">
        <v>10</v>
      </c>
      <c r="Z461">
        <v>3872</v>
      </c>
      <c r="AA461">
        <v>2.4680306001966499E-2</v>
      </c>
      <c r="AB461">
        <v>0.91241658539950277</v>
      </c>
      <c r="AC461">
        <v>4.299423063814066</v>
      </c>
      <c r="AD461">
        <v>45</v>
      </c>
      <c r="AE461">
        <v>998.54</v>
      </c>
      <c r="AF461">
        <v>1002.84</v>
      </c>
      <c r="AG461">
        <v>1028.22</v>
      </c>
      <c r="AH461">
        <v>1345.8</v>
      </c>
      <c r="AL461">
        <v>1028.22</v>
      </c>
      <c r="AM461">
        <v>0.37434146644773297</v>
      </c>
      <c r="AN461">
        <v>1643.42</v>
      </c>
      <c r="AO461">
        <v>615.20000000000005</v>
      </c>
      <c r="AP461">
        <v>0.37430000000000002</v>
      </c>
      <c r="AQ461">
        <v>0.62570000000000003</v>
      </c>
      <c r="AR461">
        <v>5371</v>
      </c>
      <c r="AS461">
        <v>448</v>
      </c>
      <c r="AT461">
        <v>0.2329</v>
      </c>
      <c r="AU461">
        <v>4665</v>
      </c>
      <c r="AV461">
        <v>4665</v>
      </c>
      <c r="AW461">
        <v>4783</v>
      </c>
      <c r="AX461">
        <v>4783</v>
      </c>
      <c r="AY461">
        <v>0</v>
      </c>
      <c r="BA461">
        <v>0</v>
      </c>
      <c r="BB461">
        <v>0</v>
      </c>
      <c r="BC461">
        <v>0</v>
      </c>
      <c r="BD461">
        <v>0</v>
      </c>
      <c r="BE461">
        <v>0</v>
      </c>
    </row>
    <row r="462" spans="1:57" x14ac:dyDescent="0.35">
      <c r="A462" t="s">
        <v>1534</v>
      </c>
      <c r="B462" t="s">
        <v>1535</v>
      </c>
      <c r="C462" t="s">
        <v>562</v>
      </c>
      <c r="D462" t="s">
        <v>556</v>
      </c>
      <c r="E462" t="s">
        <v>550</v>
      </c>
      <c r="F462" t="s">
        <v>290</v>
      </c>
      <c r="G462" t="s">
        <v>566</v>
      </c>
      <c r="H462">
        <v>1751</v>
      </c>
      <c r="I462">
        <v>0.14587502021131421</v>
      </c>
      <c r="J462">
        <v>2006</v>
      </c>
      <c r="K462">
        <v>3911</v>
      </c>
      <c r="L462">
        <v>685</v>
      </c>
      <c r="V462" t="s">
        <v>1189</v>
      </c>
      <c r="W462">
        <v>15173</v>
      </c>
      <c r="X462">
        <v>1.0157368967662599</v>
      </c>
      <c r="Y462">
        <v>28</v>
      </c>
      <c r="Z462">
        <v>2138</v>
      </c>
      <c r="AA462">
        <v>3.6051469397092743E-2</v>
      </c>
      <c r="AB462">
        <v>0.89452048649606097</v>
      </c>
      <c r="AC462">
        <v>4.5311942641365652</v>
      </c>
      <c r="AD462">
        <v>15</v>
      </c>
      <c r="AE462">
        <v>359.45</v>
      </c>
      <c r="AF462">
        <v>363.98</v>
      </c>
      <c r="AG462">
        <v>377.59</v>
      </c>
      <c r="AH462">
        <v>1136.33</v>
      </c>
      <c r="AL462">
        <v>377.59</v>
      </c>
      <c r="AM462">
        <v>0.30565763339966451</v>
      </c>
      <c r="AN462">
        <v>543.80999999999995</v>
      </c>
      <c r="AO462">
        <v>166.22</v>
      </c>
      <c r="AP462">
        <v>0.30570000000000003</v>
      </c>
      <c r="AQ462">
        <v>0.69430000000000003</v>
      </c>
      <c r="AR462">
        <v>27190</v>
      </c>
      <c r="AS462">
        <v>2266</v>
      </c>
      <c r="AT462">
        <v>0.186</v>
      </c>
      <c r="AU462">
        <v>23964</v>
      </c>
      <c r="AV462">
        <v>23964</v>
      </c>
      <c r="AW462">
        <v>24860</v>
      </c>
      <c r="AX462">
        <v>24860</v>
      </c>
      <c r="AY462">
        <v>0</v>
      </c>
      <c r="BA462">
        <v>0</v>
      </c>
      <c r="BB462">
        <v>0</v>
      </c>
      <c r="BC462">
        <v>0</v>
      </c>
      <c r="BD462">
        <v>0</v>
      </c>
      <c r="BE462">
        <v>0</v>
      </c>
    </row>
    <row r="463" spans="1:57" x14ac:dyDescent="0.35">
      <c r="A463" t="s">
        <v>1536</v>
      </c>
      <c r="B463" t="s">
        <v>1537</v>
      </c>
      <c r="C463" t="s">
        <v>562</v>
      </c>
      <c r="D463" t="s">
        <v>549</v>
      </c>
      <c r="E463" t="s">
        <v>557</v>
      </c>
      <c r="F463" t="s">
        <v>290</v>
      </c>
      <c r="G463" t="s">
        <v>558</v>
      </c>
      <c r="H463">
        <v>480</v>
      </c>
      <c r="I463">
        <v>0.15468505737101271</v>
      </c>
      <c r="J463">
        <v>554</v>
      </c>
      <c r="K463">
        <v>8422</v>
      </c>
      <c r="L463">
        <v>1019</v>
      </c>
      <c r="V463" t="s">
        <v>1186</v>
      </c>
      <c r="W463">
        <v>16296</v>
      </c>
      <c r="X463">
        <v>1.01701609222196</v>
      </c>
      <c r="Y463">
        <v>29</v>
      </c>
      <c r="Z463">
        <v>4665</v>
      </c>
      <c r="AA463">
        <v>1.2077689971905571E-2</v>
      </c>
      <c r="AB463">
        <v>0.88415855007307165</v>
      </c>
      <c r="AC463">
        <v>24.379242759306251</v>
      </c>
      <c r="AD463">
        <v>90</v>
      </c>
      <c r="AE463">
        <v>1257.47</v>
      </c>
      <c r="AF463">
        <v>1281.8499999999999</v>
      </c>
      <c r="AG463">
        <v>1297.52</v>
      </c>
      <c r="AH463">
        <v>846.21</v>
      </c>
      <c r="AL463">
        <v>1297.52</v>
      </c>
      <c r="AM463">
        <v>0.39334565479120531</v>
      </c>
      <c r="AN463">
        <v>2138.81</v>
      </c>
      <c r="AO463">
        <v>841.29</v>
      </c>
      <c r="AP463">
        <v>0.39329999999999998</v>
      </c>
      <c r="AQ463">
        <v>0.60670000000000002</v>
      </c>
      <c r="AR463">
        <v>61422</v>
      </c>
      <c r="AS463">
        <v>5118</v>
      </c>
      <c r="AT463">
        <v>0.1023</v>
      </c>
      <c r="AU463">
        <v>54019</v>
      </c>
      <c r="AV463">
        <v>54019</v>
      </c>
      <c r="AW463">
        <v>54679</v>
      </c>
      <c r="AX463">
        <v>54679</v>
      </c>
      <c r="AY463">
        <v>0</v>
      </c>
      <c r="BA463">
        <v>0</v>
      </c>
      <c r="BB463">
        <v>0</v>
      </c>
      <c r="BC463">
        <v>0</v>
      </c>
      <c r="BD463">
        <v>0</v>
      </c>
      <c r="BE463">
        <v>0</v>
      </c>
    </row>
    <row r="464" spans="1:57" x14ac:dyDescent="0.35">
      <c r="A464" t="s">
        <v>1538</v>
      </c>
      <c r="B464" t="s">
        <v>1539</v>
      </c>
      <c r="C464" t="s">
        <v>555</v>
      </c>
      <c r="D464" t="s">
        <v>549</v>
      </c>
      <c r="E464" t="s">
        <v>551</v>
      </c>
      <c r="F464" t="s">
        <v>290</v>
      </c>
      <c r="G464" t="s">
        <v>566</v>
      </c>
      <c r="H464">
        <v>2587</v>
      </c>
      <c r="I464">
        <v>-4.3187497012296218E-2</v>
      </c>
      <c r="J464">
        <v>2475</v>
      </c>
      <c r="K464">
        <v>4993</v>
      </c>
      <c r="L464">
        <v>540</v>
      </c>
      <c r="V464" t="s">
        <v>1328</v>
      </c>
      <c r="W464">
        <v>24457</v>
      </c>
      <c r="X464">
        <v>0.97006234979649786</v>
      </c>
      <c r="Y464">
        <v>24</v>
      </c>
      <c r="Z464">
        <v>3943</v>
      </c>
      <c r="AA464">
        <v>9.0244693099700273E-3</v>
      </c>
      <c r="AB464">
        <v>0.98574184788703823</v>
      </c>
      <c r="AC464">
        <v>19.82805493730563</v>
      </c>
      <c r="AD464">
        <v>30</v>
      </c>
      <c r="AE464">
        <v>1453.46</v>
      </c>
      <c r="AF464">
        <v>1473.29</v>
      </c>
      <c r="AG464">
        <v>1486.7</v>
      </c>
      <c r="AH464">
        <v>1053.76</v>
      </c>
      <c r="AL464">
        <v>1486.7</v>
      </c>
      <c r="AM464">
        <v>0.2662523793816069</v>
      </c>
      <c r="AN464">
        <v>2026.17</v>
      </c>
      <c r="AO464">
        <v>539.47</v>
      </c>
      <c r="AP464">
        <v>0.26629999999999998</v>
      </c>
      <c r="AQ464">
        <v>0.73370000000000002</v>
      </c>
      <c r="AR464">
        <v>30966</v>
      </c>
      <c r="AS464">
        <v>2580</v>
      </c>
      <c r="AT464">
        <v>0.1326</v>
      </c>
      <c r="AU464">
        <v>26513</v>
      </c>
      <c r="AV464">
        <v>26513</v>
      </c>
      <c r="AW464">
        <v>26754</v>
      </c>
      <c r="AX464">
        <v>26754</v>
      </c>
      <c r="AY464">
        <v>0</v>
      </c>
      <c r="BA464">
        <v>0</v>
      </c>
      <c r="BB464">
        <v>0</v>
      </c>
      <c r="BC464">
        <v>0</v>
      </c>
      <c r="BD464">
        <v>0</v>
      </c>
      <c r="BE464">
        <v>0</v>
      </c>
    </row>
    <row r="465" spans="1:57" x14ac:dyDescent="0.35">
      <c r="A465" t="s">
        <v>1540</v>
      </c>
      <c r="B465" t="s">
        <v>1541</v>
      </c>
      <c r="C465" t="s">
        <v>548</v>
      </c>
      <c r="D465" t="s">
        <v>549</v>
      </c>
      <c r="E465" t="s">
        <v>551</v>
      </c>
      <c r="F465" t="s">
        <v>290</v>
      </c>
      <c r="G465" t="s">
        <v>566</v>
      </c>
      <c r="H465">
        <v>925</v>
      </c>
      <c r="I465">
        <v>0.15588805665295469</v>
      </c>
      <c r="J465">
        <v>1069</v>
      </c>
      <c r="K465">
        <v>6974</v>
      </c>
      <c r="L465">
        <v>676</v>
      </c>
      <c r="V465" t="s">
        <v>1233</v>
      </c>
      <c r="W465">
        <v>13838</v>
      </c>
      <c r="X465">
        <v>0.86820964947491663</v>
      </c>
      <c r="Y465">
        <v>9</v>
      </c>
      <c r="Z465">
        <v>2535</v>
      </c>
      <c r="AA465">
        <v>3.7803666716024413E-2</v>
      </c>
      <c r="AB465">
        <v>0.92886035049837545</v>
      </c>
      <c r="AC465">
        <v>10.86457955841807</v>
      </c>
      <c r="AD465">
        <v>30</v>
      </c>
      <c r="AE465">
        <v>1488.68</v>
      </c>
      <c r="AF465">
        <v>1499.55</v>
      </c>
      <c r="AG465">
        <v>1558.46</v>
      </c>
      <c r="AH465">
        <v>1172.6500000000001</v>
      </c>
      <c r="AL465">
        <v>1558.46</v>
      </c>
      <c r="AM465">
        <v>0.36184698264284337</v>
      </c>
      <c r="AN465">
        <v>2442.14</v>
      </c>
      <c r="AO465">
        <v>883.68</v>
      </c>
      <c r="AP465">
        <v>0.36180000000000001</v>
      </c>
      <c r="AQ465">
        <v>0.63819999999999999</v>
      </c>
      <c r="AR465">
        <v>46097</v>
      </c>
      <c r="AS465">
        <v>3841</v>
      </c>
      <c r="AT465">
        <v>0.1143</v>
      </c>
      <c r="AU465">
        <v>39799</v>
      </c>
      <c r="AV465">
        <v>39799</v>
      </c>
      <c r="AW465">
        <v>41363</v>
      </c>
      <c r="AX465">
        <v>41363</v>
      </c>
      <c r="AY465">
        <v>0</v>
      </c>
      <c r="BA465">
        <v>0</v>
      </c>
      <c r="BB465">
        <v>0</v>
      </c>
      <c r="BC465">
        <v>0</v>
      </c>
      <c r="BD465">
        <v>0</v>
      </c>
      <c r="BE465">
        <v>0</v>
      </c>
    </row>
    <row r="466" spans="1:57" x14ac:dyDescent="0.35">
      <c r="A466" t="s">
        <v>1542</v>
      </c>
      <c r="B466" t="s">
        <v>1543</v>
      </c>
      <c r="C466" t="s">
        <v>562</v>
      </c>
      <c r="D466" t="s">
        <v>556</v>
      </c>
      <c r="E466" t="s">
        <v>551</v>
      </c>
      <c r="F466" t="s">
        <v>290</v>
      </c>
      <c r="G466" t="s">
        <v>558</v>
      </c>
      <c r="H466">
        <v>1101</v>
      </c>
      <c r="I466">
        <v>-1.099104716500578E-2</v>
      </c>
      <c r="J466">
        <v>1089</v>
      </c>
      <c r="K466">
        <v>2498</v>
      </c>
      <c r="L466">
        <v>634</v>
      </c>
      <c r="V466" t="s">
        <v>1277</v>
      </c>
      <c r="W466">
        <v>25666</v>
      </c>
      <c r="X466">
        <v>0.87460740415994176</v>
      </c>
      <c r="Y466">
        <v>5</v>
      </c>
      <c r="Z466">
        <v>759</v>
      </c>
      <c r="AA466">
        <v>1.4386438397671619E-2</v>
      </c>
      <c r="AB466">
        <v>0.88083374665917669</v>
      </c>
      <c r="AC466">
        <v>18.356439246074409</v>
      </c>
      <c r="AD466">
        <v>45</v>
      </c>
      <c r="AE466">
        <v>780.85</v>
      </c>
      <c r="AF466">
        <v>799.21</v>
      </c>
      <c r="AG466">
        <v>810.88</v>
      </c>
      <c r="AH466">
        <v>663.9</v>
      </c>
      <c r="AL466">
        <v>810.88</v>
      </c>
      <c r="AM466">
        <v>0.1655985171495693</v>
      </c>
      <c r="AN466">
        <v>971.81</v>
      </c>
      <c r="AO466">
        <v>160.93</v>
      </c>
      <c r="AP466">
        <v>0.1656</v>
      </c>
      <c r="AQ466">
        <v>0.83440000000000003</v>
      </c>
      <c r="AR466">
        <v>30882</v>
      </c>
      <c r="AS466">
        <v>2574</v>
      </c>
      <c r="AT466">
        <v>0.23449999999999999</v>
      </c>
      <c r="AU466">
        <v>29018</v>
      </c>
      <c r="AV466">
        <v>29018</v>
      </c>
      <c r="AW466">
        <v>29442</v>
      </c>
      <c r="AX466">
        <v>29442</v>
      </c>
      <c r="AY466">
        <v>0</v>
      </c>
      <c r="BA466">
        <v>0</v>
      </c>
      <c r="BB466">
        <v>0</v>
      </c>
      <c r="BC466">
        <v>0</v>
      </c>
      <c r="BD466">
        <v>0</v>
      </c>
      <c r="BE466">
        <v>0</v>
      </c>
    </row>
    <row r="467" spans="1:57" x14ac:dyDescent="0.35">
      <c r="A467" t="s">
        <v>1544</v>
      </c>
      <c r="B467" t="s">
        <v>1545</v>
      </c>
      <c r="C467" t="s">
        <v>555</v>
      </c>
      <c r="D467" t="s">
        <v>549</v>
      </c>
      <c r="E467" t="s">
        <v>551</v>
      </c>
      <c r="F467" t="s">
        <v>290</v>
      </c>
      <c r="G467" t="s">
        <v>566</v>
      </c>
      <c r="H467">
        <v>1654</v>
      </c>
      <c r="I467">
        <v>0.15590590268724339</v>
      </c>
      <c r="J467">
        <v>1912</v>
      </c>
      <c r="K467">
        <v>2024</v>
      </c>
      <c r="L467">
        <v>365</v>
      </c>
      <c r="V467" t="s">
        <v>1186</v>
      </c>
      <c r="W467">
        <v>16296</v>
      </c>
      <c r="X467">
        <v>1.01701609222196</v>
      </c>
      <c r="Y467">
        <v>29</v>
      </c>
      <c r="Z467">
        <v>4665</v>
      </c>
      <c r="AA467">
        <v>1.2077689971905571E-2</v>
      </c>
      <c r="AB467">
        <v>0.88415855007307165</v>
      </c>
      <c r="AC467">
        <v>24.379242759306251</v>
      </c>
      <c r="AD467">
        <v>90</v>
      </c>
      <c r="AE467">
        <v>1162.25</v>
      </c>
      <c r="AF467">
        <v>1186.6300000000001</v>
      </c>
      <c r="AG467">
        <v>1201.1400000000001</v>
      </c>
      <c r="AH467">
        <v>1500.78</v>
      </c>
      <c r="AL467">
        <v>1201.1400000000001</v>
      </c>
      <c r="AM467">
        <v>0.2338197625195739</v>
      </c>
      <c r="AN467">
        <v>1567.7</v>
      </c>
      <c r="AO467">
        <v>366.56</v>
      </c>
      <c r="AP467">
        <v>0.23380000000000001</v>
      </c>
      <c r="AQ467">
        <v>0.76619999999999999</v>
      </c>
      <c r="AR467">
        <v>19675</v>
      </c>
      <c r="AS467">
        <v>1640</v>
      </c>
      <c r="AT467">
        <v>0.20930000000000001</v>
      </c>
      <c r="AU467">
        <v>18016</v>
      </c>
      <c r="AV467">
        <v>18016</v>
      </c>
      <c r="AW467">
        <v>18236</v>
      </c>
      <c r="AX467">
        <v>18236</v>
      </c>
      <c r="AY467">
        <v>0</v>
      </c>
      <c r="BA467">
        <v>0</v>
      </c>
      <c r="BB467">
        <v>0</v>
      </c>
      <c r="BC467">
        <v>0</v>
      </c>
      <c r="BD467">
        <v>0</v>
      </c>
      <c r="BE467">
        <v>0</v>
      </c>
    </row>
    <row r="468" spans="1:57" x14ac:dyDescent="0.35">
      <c r="A468" t="s">
        <v>1546</v>
      </c>
      <c r="B468" t="s">
        <v>1547</v>
      </c>
      <c r="C468" t="s">
        <v>562</v>
      </c>
      <c r="D468" t="s">
        <v>556</v>
      </c>
      <c r="E468" t="s">
        <v>550</v>
      </c>
      <c r="F468" t="s">
        <v>290</v>
      </c>
      <c r="G468" t="s">
        <v>566</v>
      </c>
      <c r="H468">
        <v>404</v>
      </c>
      <c r="I468">
        <v>5.5190300441481453E-2</v>
      </c>
      <c r="J468">
        <v>426</v>
      </c>
      <c r="K468">
        <v>440</v>
      </c>
      <c r="L468">
        <v>123</v>
      </c>
      <c r="V468" t="s">
        <v>1261</v>
      </c>
      <c r="W468">
        <v>6734</v>
      </c>
      <c r="X468">
        <v>0.86974657160199664</v>
      </c>
      <c r="Y468">
        <v>3</v>
      </c>
      <c r="Z468">
        <v>2059</v>
      </c>
      <c r="AA468">
        <v>1.6695943159420419E-2</v>
      </c>
      <c r="AB468">
        <v>0.98114219842314276</v>
      </c>
      <c r="AC468">
        <v>5.1629817153578443</v>
      </c>
      <c r="AD468">
        <v>60</v>
      </c>
      <c r="AE468">
        <v>643.95000000000005</v>
      </c>
      <c r="AF468">
        <v>649.11</v>
      </c>
      <c r="AG468">
        <v>660.13</v>
      </c>
      <c r="AH468">
        <v>1602.52</v>
      </c>
      <c r="AL468">
        <v>660.13</v>
      </c>
      <c r="AM468">
        <v>0.16675413443780249</v>
      </c>
      <c r="AN468">
        <v>792.24</v>
      </c>
      <c r="AO468">
        <v>132.11000000000001</v>
      </c>
      <c r="AP468">
        <v>0.1668</v>
      </c>
      <c r="AQ468">
        <v>0.83320000000000005</v>
      </c>
      <c r="AR468">
        <v>6391</v>
      </c>
      <c r="AS468">
        <v>533</v>
      </c>
      <c r="AT468">
        <v>0.19500000000000001</v>
      </c>
      <c r="AU468">
        <v>6074</v>
      </c>
      <c r="AV468">
        <v>6074</v>
      </c>
      <c r="AW468">
        <v>6177</v>
      </c>
      <c r="AX468">
        <v>6177</v>
      </c>
      <c r="AY468">
        <v>0</v>
      </c>
      <c r="BA468">
        <v>0</v>
      </c>
      <c r="BB468">
        <v>0</v>
      </c>
      <c r="BC468">
        <v>0</v>
      </c>
      <c r="BD468">
        <v>0</v>
      </c>
      <c r="BE468">
        <v>0</v>
      </c>
    </row>
    <row r="469" spans="1:57" x14ac:dyDescent="0.35">
      <c r="A469" t="s">
        <v>1548</v>
      </c>
      <c r="B469" t="s">
        <v>1549</v>
      </c>
      <c r="C469" t="s">
        <v>573</v>
      </c>
      <c r="D469" t="s">
        <v>556</v>
      </c>
      <c r="E469" t="s">
        <v>557</v>
      </c>
      <c r="F469" t="s">
        <v>290</v>
      </c>
      <c r="G469" t="s">
        <v>551</v>
      </c>
      <c r="H469">
        <v>887</v>
      </c>
      <c r="I469">
        <v>9.0547202766131277E-2</v>
      </c>
      <c r="J469">
        <v>967</v>
      </c>
      <c r="K469">
        <v>6639</v>
      </c>
      <c r="L469">
        <v>1079</v>
      </c>
      <c r="V469" t="s">
        <v>1198</v>
      </c>
      <c r="W469">
        <v>11420</v>
      </c>
      <c r="X469">
        <v>1.0469926038510871</v>
      </c>
      <c r="Y469">
        <v>28</v>
      </c>
      <c r="Z469">
        <v>4217</v>
      </c>
      <c r="AA469">
        <v>2.2685195983492609E-3</v>
      </c>
      <c r="AB469">
        <v>0.85322873950579814</v>
      </c>
      <c r="AC469">
        <v>14.06981718594295</v>
      </c>
      <c r="AD469">
        <v>30</v>
      </c>
      <c r="AE469">
        <v>883.13</v>
      </c>
      <c r="AF469">
        <v>897.2</v>
      </c>
      <c r="AG469">
        <v>899.24</v>
      </c>
      <c r="AH469">
        <v>855.95</v>
      </c>
      <c r="AL469">
        <v>899.24</v>
      </c>
      <c r="AM469">
        <v>0.39383578336976771</v>
      </c>
      <c r="AN469">
        <v>1483.49</v>
      </c>
      <c r="AO469">
        <v>584.25</v>
      </c>
      <c r="AP469">
        <v>0.39379999999999998</v>
      </c>
      <c r="AQ469">
        <v>0.60619999999999996</v>
      </c>
      <c r="AR469">
        <v>95552</v>
      </c>
      <c r="AS469">
        <v>7963</v>
      </c>
      <c r="AT469">
        <v>0.13120000000000001</v>
      </c>
      <c r="AU469">
        <v>89992</v>
      </c>
      <c r="AV469">
        <v>89992</v>
      </c>
      <c r="AW469">
        <v>90197</v>
      </c>
      <c r="AX469">
        <v>90197</v>
      </c>
      <c r="AY469">
        <v>0</v>
      </c>
      <c r="BA469">
        <v>0</v>
      </c>
      <c r="BB469">
        <v>0</v>
      </c>
      <c r="BC469">
        <v>0</v>
      </c>
      <c r="BD469">
        <v>0</v>
      </c>
      <c r="BE469">
        <v>0</v>
      </c>
    </row>
    <row r="470" spans="1:57" x14ac:dyDescent="0.35">
      <c r="A470" t="s">
        <v>1550</v>
      </c>
      <c r="B470" t="s">
        <v>1551</v>
      </c>
      <c r="C470" t="s">
        <v>548</v>
      </c>
      <c r="D470" t="s">
        <v>556</v>
      </c>
      <c r="E470" t="s">
        <v>557</v>
      </c>
      <c r="F470" t="s">
        <v>290</v>
      </c>
      <c r="G470" t="s">
        <v>551</v>
      </c>
      <c r="H470">
        <v>436</v>
      </c>
      <c r="I470">
        <v>0.1120589743455242</v>
      </c>
      <c r="J470">
        <v>485</v>
      </c>
      <c r="K470">
        <v>11530</v>
      </c>
      <c r="L470">
        <v>1231</v>
      </c>
      <c r="V470" t="s">
        <v>1206</v>
      </c>
      <c r="W470">
        <v>15965</v>
      </c>
      <c r="X470">
        <v>1.1548850970305311</v>
      </c>
      <c r="Y470">
        <v>3</v>
      </c>
      <c r="Z470">
        <v>2790</v>
      </c>
      <c r="AA470">
        <v>3.0909831847442101E-2</v>
      </c>
      <c r="AB470">
        <v>0.92857880765972944</v>
      </c>
      <c r="AC470">
        <v>19.732245138954902</v>
      </c>
      <c r="AD470">
        <v>45</v>
      </c>
      <c r="AE470">
        <v>909.46</v>
      </c>
      <c r="AF470">
        <v>929.2</v>
      </c>
      <c r="AG470">
        <v>958.83</v>
      </c>
      <c r="AH470">
        <v>143.55000000000001</v>
      </c>
      <c r="AL470">
        <v>958.83</v>
      </c>
      <c r="AM470">
        <v>0.3542434768179592</v>
      </c>
      <c r="AN470">
        <v>1484.82</v>
      </c>
      <c r="AO470">
        <v>525.99</v>
      </c>
      <c r="AP470">
        <v>0.35420000000000001</v>
      </c>
      <c r="AQ470">
        <v>0.64580000000000004</v>
      </c>
      <c r="AR470">
        <v>76142</v>
      </c>
      <c r="AS470">
        <v>6345</v>
      </c>
      <c r="AT470">
        <v>0.1113</v>
      </c>
      <c r="AU470">
        <v>65843</v>
      </c>
      <c r="AV470">
        <v>65843</v>
      </c>
      <c r="AW470">
        <v>67943</v>
      </c>
      <c r="AX470">
        <v>67943</v>
      </c>
      <c r="AY470">
        <v>0</v>
      </c>
      <c r="BA470">
        <v>0</v>
      </c>
      <c r="BB470">
        <v>0</v>
      </c>
      <c r="BC470">
        <v>0</v>
      </c>
      <c r="BD470">
        <v>0</v>
      </c>
      <c r="BE470">
        <v>0</v>
      </c>
    </row>
    <row r="471" spans="1:57" x14ac:dyDescent="0.35">
      <c r="A471" t="s">
        <v>1552</v>
      </c>
      <c r="B471" t="s">
        <v>1553</v>
      </c>
      <c r="C471" t="s">
        <v>606</v>
      </c>
      <c r="D471" t="s">
        <v>549</v>
      </c>
      <c r="E471" t="s">
        <v>557</v>
      </c>
      <c r="F471" t="s">
        <v>290</v>
      </c>
      <c r="G471" t="s">
        <v>566</v>
      </c>
      <c r="H471">
        <v>826</v>
      </c>
      <c r="I471">
        <v>1.383409344081103E-2</v>
      </c>
      <c r="J471">
        <v>837</v>
      </c>
      <c r="K471">
        <v>16394</v>
      </c>
      <c r="L471">
        <v>2747</v>
      </c>
      <c r="V471" t="s">
        <v>1280</v>
      </c>
      <c r="W471">
        <v>6154</v>
      </c>
      <c r="X471">
        <v>1.1425297167512369</v>
      </c>
      <c r="Y471">
        <v>24</v>
      </c>
      <c r="Z471">
        <v>3291</v>
      </c>
      <c r="AA471">
        <v>3.5735263752916482E-2</v>
      </c>
      <c r="AB471">
        <v>0.96912998282745177</v>
      </c>
      <c r="AC471">
        <v>23.519604867081789</v>
      </c>
      <c r="AD471">
        <v>60</v>
      </c>
      <c r="AE471">
        <v>151.56</v>
      </c>
      <c r="AF471">
        <v>175.08</v>
      </c>
      <c r="AG471">
        <v>181.57</v>
      </c>
      <c r="AH471">
        <v>384.93</v>
      </c>
      <c r="AL471">
        <v>181.57</v>
      </c>
      <c r="AM471">
        <v>0.36313685531149259</v>
      </c>
      <c r="AN471">
        <v>285.10000000000002</v>
      </c>
      <c r="AO471">
        <v>103.53</v>
      </c>
      <c r="AP471">
        <v>0.36309999999999998</v>
      </c>
      <c r="AQ471">
        <v>0.63690000000000002</v>
      </c>
      <c r="AR471">
        <v>91692</v>
      </c>
      <c r="AS471">
        <v>7641</v>
      </c>
      <c r="AT471">
        <v>0.20860000000000001</v>
      </c>
      <c r="AU471">
        <v>78045</v>
      </c>
      <c r="AV471">
        <v>78045</v>
      </c>
      <c r="AW471">
        <v>80937</v>
      </c>
      <c r="AX471">
        <v>80937</v>
      </c>
      <c r="AY471">
        <v>0</v>
      </c>
      <c r="BA471">
        <v>0</v>
      </c>
      <c r="BB471">
        <v>0</v>
      </c>
      <c r="BC471">
        <v>0</v>
      </c>
      <c r="BD471">
        <v>0</v>
      </c>
      <c r="BE471">
        <v>0</v>
      </c>
    </row>
    <row r="472" spans="1:57" x14ac:dyDescent="0.35">
      <c r="A472" t="s">
        <v>1554</v>
      </c>
      <c r="B472" t="s">
        <v>1555</v>
      </c>
      <c r="C472" t="s">
        <v>555</v>
      </c>
      <c r="D472" t="s">
        <v>556</v>
      </c>
      <c r="E472" t="s">
        <v>551</v>
      </c>
      <c r="F472" t="s">
        <v>290</v>
      </c>
      <c r="G472" t="s">
        <v>551</v>
      </c>
      <c r="H472">
        <v>2774</v>
      </c>
      <c r="I472">
        <v>2.200133648101028E-2</v>
      </c>
      <c r="J472">
        <v>2835</v>
      </c>
      <c r="K472">
        <v>10598</v>
      </c>
      <c r="L472">
        <v>829</v>
      </c>
      <c r="V472" t="s">
        <v>1189</v>
      </c>
      <c r="W472">
        <v>15173</v>
      </c>
      <c r="X472">
        <v>1.0157368967662599</v>
      </c>
      <c r="Y472">
        <v>28</v>
      </c>
      <c r="Z472">
        <v>2138</v>
      </c>
      <c r="AA472">
        <v>3.6051469397092743E-2</v>
      </c>
      <c r="AB472">
        <v>0.89452048649606097</v>
      </c>
      <c r="AC472">
        <v>4.5311942641365652</v>
      </c>
      <c r="AD472">
        <v>15</v>
      </c>
      <c r="AE472">
        <v>111.25</v>
      </c>
      <c r="AF472">
        <v>115.79</v>
      </c>
      <c r="AG472">
        <v>120.12</v>
      </c>
      <c r="AH472">
        <v>1121.51</v>
      </c>
      <c r="AL472">
        <v>120.12</v>
      </c>
      <c r="AM472">
        <v>0.38449130785847352</v>
      </c>
      <c r="AN472">
        <v>195.16</v>
      </c>
      <c r="AO472">
        <v>75.040000000000006</v>
      </c>
      <c r="AP472">
        <v>0.38450000000000001</v>
      </c>
      <c r="AQ472">
        <v>0.61550000000000005</v>
      </c>
      <c r="AR472">
        <v>54516</v>
      </c>
      <c r="AS472">
        <v>4543</v>
      </c>
      <c r="AT472">
        <v>0.16059999999999999</v>
      </c>
      <c r="AU472">
        <v>44747</v>
      </c>
      <c r="AV472">
        <v>44747</v>
      </c>
      <c r="AW472">
        <v>46421</v>
      </c>
      <c r="AX472">
        <v>46421</v>
      </c>
      <c r="AY472">
        <v>0</v>
      </c>
      <c r="BA472">
        <v>0</v>
      </c>
      <c r="BB472">
        <v>0</v>
      </c>
      <c r="BC472">
        <v>0</v>
      </c>
      <c r="BD472">
        <v>0</v>
      </c>
      <c r="BE472">
        <v>0</v>
      </c>
    </row>
    <row r="473" spans="1:57" x14ac:dyDescent="0.35">
      <c r="A473" t="s">
        <v>1556</v>
      </c>
      <c r="B473" t="s">
        <v>1557</v>
      </c>
      <c r="C473" t="s">
        <v>548</v>
      </c>
      <c r="D473" t="s">
        <v>549</v>
      </c>
      <c r="E473" t="s">
        <v>557</v>
      </c>
      <c r="F473" t="s">
        <v>290</v>
      </c>
      <c r="G473" t="s">
        <v>566</v>
      </c>
      <c r="H473">
        <v>693</v>
      </c>
      <c r="I473">
        <v>8.9260128318758777E-2</v>
      </c>
      <c r="J473">
        <v>755</v>
      </c>
      <c r="K473">
        <v>13036</v>
      </c>
      <c r="L473">
        <v>1637</v>
      </c>
      <c r="V473" t="s">
        <v>1192</v>
      </c>
      <c r="W473">
        <v>22675</v>
      </c>
      <c r="X473">
        <v>0.90071291833014566</v>
      </c>
      <c r="Y473">
        <v>4</v>
      </c>
      <c r="Z473">
        <v>1736</v>
      </c>
      <c r="AA473">
        <v>1.282393878634377E-2</v>
      </c>
      <c r="AB473">
        <v>0.85516417262963462</v>
      </c>
      <c r="AC473">
        <v>16.019979681537631</v>
      </c>
      <c r="AD473">
        <v>30</v>
      </c>
      <c r="AE473">
        <v>499.89</v>
      </c>
      <c r="AF473">
        <v>515.91</v>
      </c>
      <c r="AG473">
        <v>522.61</v>
      </c>
      <c r="AH473">
        <v>926.97</v>
      </c>
      <c r="AL473">
        <v>522.61</v>
      </c>
      <c r="AM473">
        <v>0.17127587152994631</v>
      </c>
      <c r="AN473">
        <v>630.62</v>
      </c>
      <c r="AO473">
        <v>108.01</v>
      </c>
      <c r="AP473">
        <v>0.17130000000000001</v>
      </c>
      <c r="AQ473">
        <v>0.82869999999999999</v>
      </c>
      <c r="AR473">
        <v>90372</v>
      </c>
      <c r="AS473">
        <v>7531</v>
      </c>
      <c r="AT473">
        <v>0.11840000000000001</v>
      </c>
      <c r="AU473">
        <v>78973</v>
      </c>
      <c r="AV473">
        <v>78973</v>
      </c>
      <c r="AW473">
        <v>79999</v>
      </c>
      <c r="AX473">
        <v>79999</v>
      </c>
      <c r="AY473">
        <v>0</v>
      </c>
      <c r="BA473">
        <v>0</v>
      </c>
      <c r="BB473">
        <v>0</v>
      </c>
      <c r="BC473">
        <v>0</v>
      </c>
      <c r="BD473">
        <v>0</v>
      </c>
      <c r="BE473">
        <v>0</v>
      </c>
    </row>
    <row r="474" spans="1:57" x14ac:dyDescent="0.35">
      <c r="A474" t="s">
        <v>1558</v>
      </c>
      <c r="B474" t="s">
        <v>1559</v>
      </c>
      <c r="C474" t="s">
        <v>562</v>
      </c>
      <c r="D474" t="s">
        <v>549</v>
      </c>
      <c r="E474" t="s">
        <v>550</v>
      </c>
      <c r="F474" t="s">
        <v>290</v>
      </c>
      <c r="G474" t="s">
        <v>566</v>
      </c>
      <c r="H474">
        <v>463</v>
      </c>
      <c r="I474">
        <v>0.17910513613301651</v>
      </c>
      <c r="J474">
        <v>546</v>
      </c>
      <c r="K474">
        <v>1552</v>
      </c>
      <c r="L474">
        <v>356</v>
      </c>
      <c r="V474" t="s">
        <v>1233</v>
      </c>
      <c r="W474">
        <v>13838</v>
      </c>
      <c r="X474">
        <v>0.86820964947491663</v>
      </c>
      <c r="Y474">
        <v>9</v>
      </c>
      <c r="Z474">
        <v>2535</v>
      </c>
      <c r="AA474">
        <v>3.7803666716024413E-2</v>
      </c>
      <c r="AB474">
        <v>0.92886035049837545</v>
      </c>
      <c r="AC474">
        <v>10.86457955841807</v>
      </c>
      <c r="AD474">
        <v>30</v>
      </c>
      <c r="AE474">
        <v>1732.27</v>
      </c>
      <c r="AF474">
        <v>1743.13</v>
      </c>
      <c r="AG474">
        <v>1811.62</v>
      </c>
      <c r="AH474">
        <v>2209.75</v>
      </c>
      <c r="AL474">
        <v>1811.62</v>
      </c>
      <c r="AM474">
        <v>0.24639939812833331</v>
      </c>
      <c r="AN474">
        <v>2403.9499999999998</v>
      </c>
      <c r="AO474">
        <v>592.33000000000004</v>
      </c>
      <c r="AP474">
        <v>0.24640000000000001</v>
      </c>
      <c r="AQ474">
        <v>0.75360000000000005</v>
      </c>
      <c r="AR474">
        <v>19998</v>
      </c>
      <c r="AS474">
        <v>1666</v>
      </c>
      <c r="AT474">
        <v>0.18479999999999999</v>
      </c>
      <c r="AU474">
        <v>18802</v>
      </c>
      <c r="AV474">
        <v>18802</v>
      </c>
      <c r="AW474">
        <v>19541</v>
      </c>
      <c r="AX474">
        <v>19541</v>
      </c>
      <c r="AY474">
        <v>0</v>
      </c>
      <c r="BA474">
        <v>0</v>
      </c>
      <c r="BB474">
        <v>0</v>
      </c>
      <c r="BC474">
        <v>0</v>
      </c>
      <c r="BD474">
        <v>0</v>
      </c>
      <c r="BE474">
        <v>0</v>
      </c>
    </row>
    <row r="475" spans="1:57" x14ac:dyDescent="0.35">
      <c r="A475" t="s">
        <v>1560</v>
      </c>
      <c r="B475" t="s">
        <v>1561</v>
      </c>
      <c r="C475" t="s">
        <v>562</v>
      </c>
      <c r="D475" t="s">
        <v>556</v>
      </c>
      <c r="E475" t="s">
        <v>551</v>
      </c>
      <c r="F475" t="s">
        <v>290</v>
      </c>
      <c r="G475" t="s">
        <v>551</v>
      </c>
      <c r="H475">
        <v>1232</v>
      </c>
      <c r="I475">
        <v>4.9556948489502907E-2</v>
      </c>
      <c r="J475">
        <v>1293</v>
      </c>
      <c r="K475">
        <v>2280</v>
      </c>
      <c r="L475">
        <v>326</v>
      </c>
      <c r="V475" t="s">
        <v>1277</v>
      </c>
      <c r="W475">
        <v>25666</v>
      </c>
      <c r="X475">
        <v>0.87460740415994176</v>
      </c>
      <c r="Y475">
        <v>5</v>
      </c>
      <c r="Z475">
        <v>759</v>
      </c>
      <c r="AA475">
        <v>1.4386438397671619E-2</v>
      </c>
      <c r="AB475">
        <v>0.88083374665917669</v>
      </c>
      <c r="AC475">
        <v>18.356439246074409</v>
      </c>
      <c r="AD475">
        <v>45</v>
      </c>
      <c r="AE475">
        <v>1037.07</v>
      </c>
      <c r="AF475">
        <v>1055.42</v>
      </c>
      <c r="AG475">
        <v>1070.83</v>
      </c>
      <c r="AH475">
        <v>1111.26</v>
      </c>
      <c r="AL475">
        <v>1070.83</v>
      </c>
      <c r="AM475">
        <v>0.1677587222610005</v>
      </c>
      <c r="AN475">
        <v>1286.68</v>
      </c>
      <c r="AO475">
        <v>215.85</v>
      </c>
      <c r="AP475">
        <v>0.1678</v>
      </c>
      <c r="AQ475">
        <v>0.83220000000000005</v>
      </c>
      <c r="AR475">
        <v>34627</v>
      </c>
      <c r="AS475">
        <v>2886</v>
      </c>
      <c r="AT475">
        <v>8.6900000000000005E-2</v>
      </c>
      <c r="AU475">
        <v>32673</v>
      </c>
      <c r="AV475">
        <v>32673</v>
      </c>
      <c r="AW475">
        <v>33150</v>
      </c>
      <c r="AX475">
        <v>33150</v>
      </c>
      <c r="AY475">
        <v>0</v>
      </c>
      <c r="BA475">
        <v>0</v>
      </c>
      <c r="BB475">
        <v>0</v>
      </c>
      <c r="BC475">
        <v>0</v>
      </c>
      <c r="BD475">
        <v>0</v>
      </c>
      <c r="BE475">
        <v>0</v>
      </c>
    </row>
    <row r="476" spans="1:57" x14ac:dyDescent="0.35">
      <c r="A476" t="s">
        <v>1562</v>
      </c>
      <c r="B476" t="s">
        <v>1563</v>
      </c>
      <c r="C476" t="s">
        <v>573</v>
      </c>
      <c r="D476" t="s">
        <v>549</v>
      </c>
      <c r="E476" t="s">
        <v>557</v>
      </c>
      <c r="F476" t="s">
        <v>290</v>
      </c>
      <c r="G476" t="s">
        <v>558</v>
      </c>
      <c r="H476">
        <v>1119</v>
      </c>
      <c r="I476">
        <v>4.4760121345758748E-2</v>
      </c>
      <c r="J476">
        <v>1169</v>
      </c>
      <c r="K476">
        <v>13624</v>
      </c>
      <c r="L476">
        <v>1117</v>
      </c>
      <c r="V476" t="s">
        <v>1271</v>
      </c>
      <c r="W476">
        <v>10423</v>
      </c>
      <c r="X476">
        <v>1.186167740515518</v>
      </c>
      <c r="Y476">
        <v>7</v>
      </c>
      <c r="Z476">
        <v>3208</v>
      </c>
      <c r="AA476">
        <v>3.5540181041194913E-2</v>
      </c>
      <c r="AB476">
        <v>0.87641899516779309</v>
      </c>
      <c r="AC476">
        <v>8.4140411096201824</v>
      </c>
      <c r="AD476">
        <v>45</v>
      </c>
      <c r="AE476">
        <v>316.45</v>
      </c>
      <c r="AF476">
        <v>324.86</v>
      </c>
      <c r="AG476">
        <v>336.83</v>
      </c>
      <c r="AH476">
        <v>1262.44</v>
      </c>
      <c r="AL476">
        <v>336.83</v>
      </c>
      <c r="AM476">
        <v>0.20269827538750709</v>
      </c>
      <c r="AN476">
        <v>422.46</v>
      </c>
      <c r="AO476">
        <v>85.63</v>
      </c>
      <c r="AP476">
        <v>0.20269999999999999</v>
      </c>
      <c r="AQ476">
        <v>0.79730000000000001</v>
      </c>
      <c r="AR476">
        <v>79241</v>
      </c>
      <c r="AS476">
        <v>6603</v>
      </c>
      <c r="AT476">
        <v>0.13539999999999999</v>
      </c>
      <c r="AU476">
        <v>66734</v>
      </c>
      <c r="AV476">
        <v>66734</v>
      </c>
      <c r="AW476">
        <v>69193</v>
      </c>
      <c r="AX476">
        <v>69193</v>
      </c>
      <c r="AY476">
        <v>0</v>
      </c>
      <c r="BA476">
        <v>0</v>
      </c>
      <c r="BB476">
        <v>0</v>
      </c>
      <c r="BC476">
        <v>0</v>
      </c>
      <c r="BD476">
        <v>0</v>
      </c>
      <c r="BE476">
        <v>0</v>
      </c>
    </row>
    <row r="477" spans="1:57" x14ac:dyDescent="0.35">
      <c r="A477" t="s">
        <v>1564</v>
      </c>
      <c r="B477" t="s">
        <v>1565</v>
      </c>
      <c r="C477" t="s">
        <v>555</v>
      </c>
      <c r="D477" t="s">
        <v>549</v>
      </c>
      <c r="E477" t="s">
        <v>551</v>
      </c>
      <c r="F477" t="s">
        <v>290</v>
      </c>
      <c r="G477" t="s">
        <v>551</v>
      </c>
      <c r="H477">
        <v>711</v>
      </c>
      <c r="I477">
        <v>3.8011199332981939E-3</v>
      </c>
      <c r="J477">
        <v>714</v>
      </c>
      <c r="K477">
        <v>5613</v>
      </c>
      <c r="L477">
        <v>749</v>
      </c>
      <c r="V477" t="s">
        <v>1186</v>
      </c>
      <c r="W477">
        <v>16296</v>
      </c>
      <c r="X477">
        <v>1.01701609222196</v>
      </c>
      <c r="Y477">
        <v>29</v>
      </c>
      <c r="Z477">
        <v>4665</v>
      </c>
      <c r="AA477">
        <v>1.2077689971905571E-2</v>
      </c>
      <c r="AB477">
        <v>0.88415855007307165</v>
      </c>
      <c r="AC477">
        <v>24.379242759306251</v>
      </c>
      <c r="AD477">
        <v>90</v>
      </c>
      <c r="AE477">
        <v>1128.9100000000001</v>
      </c>
      <c r="AF477">
        <v>1153.29</v>
      </c>
      <c r="AG477">
        <v>1167.3900000000001</v>
      </c>
      <c r="AH477">
        <v>296.43</v>
      </c>
      <c r="AL477">
        <v>1167.3900000000001</v>
      </c>
      <c r="AM477">
        <v>0.20734144425941811</v>
      </c>
      <c r="AN477">
        <v>1472.75</v>
      </c>
      <c r="AO477">
        <v>305.36</v>
      </c>
      <c r="AP477">
        <v>0.20730000000000001</v>
      </c>
      <c r="AQ477">
        <v>0.79269999999999996</v>
      </c>
      <c r="AR477">
        <v>41025</v>
      </c>
      <c r="AS477">
        <v>3419</v>
      </c>
      <c r="AT477">
        <v>0.15970000000000001</v>
      </c>
      <c r="AU477">
        <v>36161</v>
      </c>
      <c r="AV477">
        <v>36161</v>
      </c>
      <c r="AW477">
        <v>36603</v>
      </c>
      <c r="AX477">
        <v>36603</v>
      </c>
      <c r="AY477">
        <v>0</v>
      </c>
      <c r="BA477">
        <v>0</v>
      </c>
      <c r="BB477">
        <v>0</v>
      </c>
      <c r="BC477">
        <v>0</v>
      </c>
      <c r="BD477">
        <v>0</v>
      </c>
      <c r="BE477">
        <v>0</v>
      </c>
    </row>
    <row r="478" spans="1:57" x14ac:dyDescent="0.35">
      <c r="A478" t="s">
        <v>1566</v>
      </c>
      <c r="B478" t="s">
        <v>1567</v>
      </c>
      <c r="C478" t="s">
        <v>562</v>
      </c>
      <c r="D478" t="s">
        <v>549</v>
      </c>
      <c r="E478" t="s">
        <v>551</v>
      </c>
      <c r="F478" t="s">
        <v>290</v>
      </c>
      <c r="G478" t="s">
        <v>551</v>
      </c>
      <c r="H478">
        <v>1348</v>
      </c>
      <c r="I478">
        <v>0.13209271358491151</v>
      </c>
      <c r="J478">
        <v>1526</v>
      </c>
      <c r="K478">
        <v>6114</v>
      </c>
      <c r="L478">
        <v>471</v>
      </c>
      <c r="V478" t="s">
        <v>1217</v>
      </c>
      <c r="W478">
        <v>23141</v>
      </c>
      <c r="X478">
        <v>0.85573258176235034</v>
      </c>
      <c r="Y478">
        <v>9</v>
      </c>
      <c r="Z478">
        <v>1778</v>
      </c>
      <c r="AA478">
        <v>3.0710943264635849E-2</v>
      </c>
      <c r="AB478">
        <v>0.88203174316882715</v>
      </c>
      <c r="AC478">
        <v>3.7705379260622389</v>
      </c>
      <c r="AD478">
        <v>45</v>
      </c>
      <c r="AE478">
        <v>639.66999999999996</v>
      </c>
      <c r="AF478">
        <v>643.44000000000005</v>
      </c>
      <c r="AG478">
        <v>663.83</v>
      </c>
      <c r="AH478">
        <v>1695.1</v>
      </c>
      <c r="AL478">
        <v>663.83</v>
      </c>
      <c r="AM478">
        <v>0.26727680276189469</v>
      </c>
      <c r="AN478">
        <v>905.98</v>
      </c>
      <c r="AO478">
        <v>242.15</v>
      </c>
      <c r="AP478">
        <v>0.26729999999999998</v>
      </c>
      <c r="AQ478">
        <v>0.73270000000000002</v>
      </c>
      <c r="AR478">
        <v>42832</v>
      </c>
      <c r="AS478">
        <v>3569</v>
      </c>
      <c r="AT478">
        <v>0.1052</v>
      </c>
      <c r="AU478">
        <v>37189</v>
      </c>
      <c r="AV478">
        <v>37189</v>
      </c>
      <c r="AW478">
        <v>38367</v>
      </c>
      <c r="AX478">
        <v>38367</v>
      </c>
      <c r="AY478">
        <v>0</v>
      </c>
      <c r="BA478">
        <v>0</v>
      </c>
      <c r="BB478">
        <v>0</v>
      </c>
      <c r="BC478">
        <v>0</v>
      </c>
      <c r="BD478">
        <v>0</v>
      </c>
      <c r="BE478">
        <v>0</v>
      </c>
    </row>
    <row r="479" spans="1:57" x14ac:dyDescent="0.35">
      <c r="A479" t="s">
        <v>1568</v>
      </c>
      <c r="B479" t="s">
        <v>1569</v>
      </c>
      <c r="C479" t="s">
        <v>606</v>
      </c>
      <c r="D479" t="s">
        <v>549</v>
      </c>
      <c r="E479" t="s">
        <v>550</v>
      </c>
      <c r="F479" t="s">
        <v>290</v>
      </c>
      <c r="G479" t="s">
        <v>551</v>
      </c>
      <c r="H479">
        <v>366</v>
      </c>
      <c r="I479">
        <v>6.3600788619988205E-2</v>
      </c>
      <c r="J479">
        <v>389</v>
      </c>
      <c r="K479">
        <v>4173</v>
      </c>
      <c r="L479">
        <v>766</v>
      </c>
      <c r="V479" t="s">
        <v>1209</v>
      </c>
      <c r="W479">
        <v>22340</v>
      </c>
      <c r="X479">
        <v>0.88970772378422391</v>
      </c>
      <c r="Y479">
        <v>3</v>
      </c>
      <c r="Z479">
        <v>4593</v>
      </c>
      <c r="AA479">
        <v>1.436518853005217E-2</v>
      </c>
      <c r="AB479">
        <v>0.95450879671652333</v>
      </c>
      <c r="AC479">
        <v>16.941556678085941</v>
      </c>
      <c r="AD479">
        <v>45</v>
      </c>
      <c r="AE479">
        <v>2100.56</v>
      </c>
      <c r="AF479">
        <v>2117.5</v>
      </c>
      <c r="AG479">
        <v>2148.36</v>
      </c>
      <c r="AH479">
        <v>1029.51</v>
      </c>
      <c r="AL479">
        <v>2148.36</v>
      </c>
      <c r="AM479">
        <v>0.21714054186341061</v>
      </c>
      <c r="AN479">
        <v>2744.25</v>
      </c>
      <c r="AO479">
        <v>595.89</v>
      </c>
      <c r="AP479">
        <v>0.21709999999999999</v>
      </c>
      <c r="AQ479">
        <v>0.78290000000000004</v>
      </c>
      <c r="AR479">
        <v>24953</v>
      </c>
      <c r="AS479">
        <v>2079</v>
      </c>
      <c r="AT479">
        <v>0.24740000000000001</v>
      </c>
      <c r="AU479">
        <v>21546</v>
      </c>
      <c r="AV479">
        <v>21546</v>
      </c>
      <c r="AW479">
        <v>21860</v>
      </c>
      <c r="AX479">
        <v>21860</v>
      </c>
      <c r="AY479">
        <v>0</v>
      </c>
      <c r="BA479">
        <v>0</v>
      </c>
      <c r="BB479">
        <v>0</v>
      </c>
      <c r="BC479">
        <v>0</v>
      </c>
      <c r="BD479">
        <v>0</v>
      </c>
      <c r="BE479">
        <v>0</v>
      </c>
    </row>
    <row r="480" spans="1:57" x14ac:dyDescent="0.35">
      <c r="A480" t="s">
        <v>1570</v>
      </c>
      <c r="B480" t="s">
        <v>1571</v>
      </c>
      <c r="C480" t="s">
        <v>573</v>
      </c>
      <c r="D480" t="s">
        <v>556</v>
      </c>
      <c r="E480" t="s">
        <v>551</v>
      </c>
      <c r="F480" t="s">
        <v>290</v>
      </c>
      <c r="G480" t="s">
        <v>551</v>
      </c>
      <c r="H480">
        <v>1340</v>
      </c>
      <c r="I480">
        <v>-4.7041802374793024E-3</v>
      </c>
      <c r="J480">
        <v>1334</v>
      </c>
      <c r="K480">
        <v>3853</v>
      </c>
      <c r="L480">
        <v>336</v>
      </c>
      <c r="V480" t="s">
        <v>1233</v>
      </c>
      <c r="W480">
        <v>13838</v>
      </c>
      <c r="X480">
        <v>0.86820964947491663</v>
      </c>
      <c r="Y480">
        <v>9</v>
      </c>
      <c r="Z480">
        <v>2535</v>
      </c>
      <c r="AA480">
        <v>3.7803666716024413E-2</v>
      </c>
      <c r="AB480">
        <v>0.92886035049837545</v>
      </c>
      <c r="AC480">
        <v>10.86457955841807</v>
      </c>
      <c r="AD480">
        <v>30</v>
      </c>
      <c r="AE480">
        <v>888.33</v>
      </c>
      <c r="AF480">
        <v>899.19</v>
      </c>
      <c r="AG480">
        <v>934.52</v>
      </c>
      <c r="AH480">
        <v>1169.6099999999999</v>
      </c>
      <c r="AL480">
        <v>934.52</v>
      </c>
      <c r="AM480">
        <v>0.1752445267044403</v>
      </c>
      <c r="AN480">
        <v>1133.0899999999999</v>
      </c>
      <c r="AO480">
        <v>198.57</v>
      </c>
      <c r="AP480">
        <v>0.17519999999999999</v>
      </c>
      <c r="AQ480">
        <v>0.82479999999999998</v>
      </c>
      <c r="AR480">
        <v>24782</v>
      </c>
      <c r="AS480">
        <v>2065</v>
      </c>
      <c r="AT480">
        <v>0.11550000000000001</v>
      </c>
      <c r="AU480">
        <v>21265</v>
      </c>
      <c r="AV480">
        <v>21265</v>
      </c>
      <c r="AW480">
        <v>22100</v>
      </c>
      <c r="AX480">
        <v>22100</v>
      </c>
      <c r="AY480">
        <v>0</v>
      </c>
      <c r="BA480">
        <v>0</v>
      </c>
      <c r="BB480">
        <v>0</v>
      </c>
      <c r="BC480">
        <v>0</v>
      </c>
      <c r="BD480">
        <v>0</v>
      </c>
      <c r="BE480">
        <v>0</v>
      </c>
    </row>
    <row r="481" spans="1:57" x14ac:dyDescent="0.35">
      <c r="A481" t="s">
        <v>1572</v>
      </c>
      <c r="B481" t="s">
        <v>1573</v>
      </c>
      <c r="C481" t="s">
        <v>555</v>
      </c>
      <c r="D481" t="s">
        <v>556</v>
      </c>
      <c r="E481" t="s">
        <v>551</v>
      </c>
      <c r="F481" t="s">
        <v>290</v>
      </c>
      <c r="G481" t="s">
        <v>551</v>
      </c>
      <c r="H481">
        <v>2260</v>
      </c>
      <c r="I481">
        <v>9.1354991901935592E-2</v>
      </c>
      <c r="J481">
        <v>2466</v>
      </c>
      <c r="K481">
        <v>9398</v>
      </c>
      <c r="L481">
        <v>908</v>
      </c>
      <c r="V481" t="s">
        <v>1294</v>
      </c>
      <c r="W481">
        <v>27299</v>
      </c>
      <c r="X481">
        <v>1.1718790609370291</v>
      </c>
      <c r="Y481">
        <v>15</v>
      </c>
      <c r="Z481">
        <v>1697</v>
      </c>
      <c r="AA481">
        <v>2.6069342747396088E-2</v>
      </c>
      <c r="AB481">
        <v>0.97200448262628047</v>
      </c>
      <c r="AC481">
        <v>20.484457768679629</v>
      </c>
      <c r="AD481">
        <v>60</v>
      </c>
      <c r="AE481">
        <v>1194.06</v>
      </c>
      <c r="AF481">
        <v>1214.55</v>
      </c>
      <c r="AG481">
        <v>1247.05</v>
      </c>
      <c r="AH481">
        <v>1141.48</v>
      </c>
      <c r="AL481">
        <v>1247.05</v>
      </c>
      <c r="AM481">
        <v>0.19187277227352689</v>
      </c>
      <c r="AN481">
        <v>1543.14</v>
      </c>
      <c r="AO481">
        <v>296.08999999999997</v>
      </c>
      <c r="AP481">
        <v>0.19189999999999999</v>
      </c>
      <c r="AQ481">
        <v>0.80810000000000004</v>
      </c>
      <c r="AR481">
        <v>53650</v>
      </c>
      <c r="AS481">
        <v>4471</v>
      </c>
      <c r="AT481">
        <v>0.1022</v>
      </c>
      <c r="AU481">
        <v>45160</v>
      </c>
      <c r="AV481">
        <v>45160</v>
      </c>
      <c r="AW481">
        <v>46369</v>
      </c>
      <c r="AX481">
        <v>46369</v>
      </c>
      <c r="AY481">
        <v>0</v>
      </c>
      <c r="BA481">
        <v>0</v>
      </c>
      <c r="BB481">
        <v>0</v>
      </c>
      <c r="BC481">
        <v>0</v>
      </c>
      <c r="BD481">
        <v>0</v>
      </c>
      <c r="BE481">
        <v>0</v>
      </c>
    </row>
    <row r="482" spans="1:57" x14ac:dyDescent="0.35">
      <c r="A482" t="s">
        <v>1574</v>
      </c>
      <c r="B482" t="s">
        <v>1575</v>
      </c>
      <c r="C482" t="s">
        <v>606</v>
      </c>
      <c r="D482" t="s">
        <v>549</v>
      </c>
      <c r="E482" t="s">
        <v>551</v>
      </c>
      <c r="F482" t="s">
        <v>290</v>
      </c>
      <c r="G482" t="s">
        <v>566</v>
      </c>
      <c r="H482">
        <v>124</v>
      </c>
      <c r="I482">
        <v>0.11542967066098921</v>
      </c>
      <c r="J482">
        <v>138</v>
      </c>
      <c r="K482">
        <v>2183</v>
      </c>
      <c r="L482">
        <v>377</v>
      </c>
      <c r="V482" t="s">
        <v>1201</v>
      </c>
      <c r="W482">
        <v>11776</v>
      </c>
      <c r="X482">
        <v>1.127205906368997</v>
      </c>
      <c r="Y482">
        <v>11</v>
      </c>
      <c r="Z482">
        <v>1382</v>
      </c>
      <c r="AA482">
        <v>2.264180960185247E-3</v>
      </c>
      <c r="AB482">
        <v>0.92150462236085917</v>
      </c>
      <c r="AC482">
        <v>11.600453072421921</v>
      </c>
      <c r="AD482">
        <v>90</v>
      </c>
      <c r="AE482">
        <v>1010.85</v>
      </c>
      <c r="AF482">
        <v>1022.45</v>
      </c>
      <c r="AG482">
        <v>1024.77</v>
      </c>
      <c r="AH482">
        <v>610.84</v>
      </c>
      <c r="AL482">
        <v>1024.77</v>
      </c>
      <c r="AM482">
        <v>0.1868188908880227</v>
      </c>
      <c r="AN482">
        <v>1260.2</v>
      </c>
      <c r="AO482">
        <v>235.43</v>
      </c>
      <c r="AP482">
        <v>0.18679999999999999</v>
      </c>
      <c r="AQ482">
        <v>0.81320000000000003</v>
      </c>
      <c r="AR482">
        <v>37366</v>
      </c>
      <c r="AS482">
        <v>3114</v>
      </c>
      <c r="AT482">
        <v>0.11459999999999999</v>
      </c>
      <c r="AU482">
        <v>35560</v>
      </c>
      <c r="AV482">
        <v>35560</v>
      </c>
      <c r="AW482">
        <v>35641</v>
      </c>
      <c r="AX482">
        <v>35641</v>
      </c>
      <c r="AY482">
        <v>0</v>
      </c>
      <c r="BA482">
        <v>0</v>
      </c>
      <c r="BB482">
        <v>0</v>
      </c>
      <c r="BC482">
        <v>0</v>
      </c>
      <c r="BD482">
        <v>0</v>
      </c>
      <c r="BE482">
        <v>0</v>
      </c>
    </row>
    <row r="483" spans="1:57" x14ac:dyDescent="0.35">
      <c r="A483" t="s">
        <v>1576</v>
      </c>
      <c r="B483" t="s">
        <v>1577</v>
      </c>
      <c r="C483" t="s">
        <v>548</v>
      </c>
      <c r="D483" t="s">
        <v>556</v>
      </c>
      <c r="E483" t="s">
        <v>557</v>
      </c>
      <c r="F483" t="s">
        <v>290</v>
      </c>
      <c r="G483" t="s">
        <v>558</v>
      </c>
      <c r="H483">
        <v>308</v>
      </c>
      <c r="I483">
        <v>7.8688034413245261E-3</v>
      </c>
      <c r="J483">
        <v>310</v>
      </c>
      <c r="K483">
        <v>16135</v>
      </c>
      <c r="L483">
        <v>1996</v>
      </c>
      <c r="V483" t="s">
        <v>1212</v>
      </c>
      <c r="W483">
        <v>10895</v>
      </c>
      <c r="X483">
        <v>1.052455450398905</v>
      </c>
      <c r="Y483">
        <v>4</v>
      </c>
      <c r="Z483">
        <v>4993</v>
      </c>
      <c r="AA483">
        <v>2.6513927757161469E-2</v>
      </c>
      <c r="AB483">
        <v>0.94364936835283397</v>
      </c>
      <c r="AC483">
        <v>21.87585399665377</v>
      </c>
      <c r="AD483">
        <v>60</v>
      </c>
      <c r="AE483">
        <v>429.87</v>
      </c>
      <c r="AF483">
        <v>451.75</v>
      </c>
      <c r="AG483">
        <v>464.05</v>
      </c>
      <c r="AH483">
        <v>791.36</v>
      </c>
      <c r="AL483">
        <v>464.05</v>
      </c>
      <c r="AM483">
        <v>0.39326919947807459</v>
      </c>
      <c r="AN483">
        <v>764.84</v>
      </c>
      <c r="AO483">
        <v>300.79000000000002</v>
      </c>
      <c r="AP483">
        <v>0.39329999999999998</v>
      </c>
      <c r="AQ483">
        <v>0.60670000000000002</v>
      </c>
      <c r="AR483">
        <v>99518</v>
      </c>
      <c r="AS483">
        <v>8293</v>
      </c>
      <c r="AT483">
        <v>0.2107</v>
      </c>
      <c r="AU483">
        <v>85379</v>
      </c>
      <c r="AV483">
        <v>85379</v>
      </c>
      <c r="AW483">
        <v>87704</v>
      </c>
      <c r="AX483">
        <v>87704</v>
      </c>
      <c r="AY483">
        <v>0</v>
      </c>
      <c r="BA483">
        <v>0</v>
      </c>
      <c r="BB483">
        <v>0</v>
      </c>
      <c r="BC483">
        <v>0</v>
      </c>
      <c r="BD483">
        <v>0</v>
      </c>
      <c r="BE483">
        <v>0</v>
      </c>
    </row>
    <row r="484" spans="1:57" x14ac:dyDescent="0.35">
      <c r="A484" t="s">
        <v>1578</v>
      </c>
      <c r="B484" t="s">
        <v>1579</v>
      </c>
      <c r="C484" t="s">
        <v>573</v>
      </c>
      <c r="D484" t="s">
        <v>556</v>
      </c>
      <c r="E484" t="s">
        <v>557</v>
      </c>
      <c r="F484" t="s">
        <v>290</v>
      </c>
      <c r="G484" t="s">
        <v>628</v>
      </c>
      <c r="H484">
        <v>1029</v>
      </c>
      <c r="I484">
        <v>0.1644887727287643</v>
      </c>
      <c r="J484">
        <v>1198</v>
      </c>
      <c r="K484">
        <v>13372</v>
      </c>
      <c r="L484">
        <v>1006</v>
      </c>
      <c r="V484" t="s">
        <v>1217</v>
      </c>
      <c r="W484">
        <v>23141</v>
      </c>
      <c r="X484">
        <v>0.85573258176235034</v>
      </c>
      <c r="Y484">
        <v>9</v>
      </c>
      <c r="Z484">
        <v>1778</v>
      </c>
      <c r="AA484">
        <v>3.0710943264635849E-2</v>
      </c>
      <c r="AB484">
        <v>0.88203174316882715</v>
      </c>
      <c r="AC484">
        <v>3.7705379260622389</v>
      </c>
      <c r="AD484">
        <v>45</v>
      </c>
      <c r="AE484">
        <v>247.87</v>
      </c>
      <c r="AF484">
        <v>251.64</v>
      </c>
      <c r="AG484">
        <v>259.62</v>
      </c>
      <c r="AH484">
        <v>777.58</v>
      </c>
      <c r="AL484">
        <v>259.62</v>
      </c>
      <c r="AM484">
        <v>0.3398231267296184</v>
      </c>
      <c r="AN484">
        <v>393.26</v>
      </c>
      <c r="AO484">
        <v>133.63999999999999</v>
      </c>
      <c r="AP484">
        <v>0.33979999999999999</v>
      </c>
      <c r="AQ484">
        <v>0.66020000000000001</v>
      </c>
      <c r="AR484">
        <v>75283</v>
      </c>
      <c r="AS484">
        <v>6274</v>
      </c>
      <c r="AT484">
        <v>0.15229999999999999</v>
      </c>
      <c r="AU484">
        <v>62917</v>
      </c>
      <c r="AV484">
        <v>62917</v>
      </c>
      <c r="AW484">
        <v>64910</v>
      </c>
      <c r="AX484">
        <v>64910</v>
      </c>
      <c r="AY484">
        <v>0</v>
      </c>
      <c r="BA484">
        <v>0</v>
      </c>
      <c r="BB484">
        <v>0</v>
      </c>
      <c r="BC484">
        <v>0</v>
      </c>
      <c r="BD484">
        <v>0</v>
      </c>
      <c r="BE484">
        <v>0</v>
      </c>
    </row>
    <row r="485" spans="1:57" x14ac:dyDescent="0.35">
      <c r="A485" t="s">
        <v>1580</v>
      </c>
      <c r="B485" t="s">
        <v>1581</v>
      </c>
      <c r="C485" t="s">
        <v>573</v>
      </c>
      <c r="D485" t="s">
        <v>549</v>
      </c>
      <c r="E485" t="s">
        <v>557</v>
      </c>
      <c r="F485" t="s">
        <v>290</v>
      </c>
      <c r="G485" t="s">
        <v>566</v>
      </c>
      <c r="H485">
        <v>1199</v>
      </c>
      <c r="I485">
        <v>4.942110360826367E-2</v>
      </c>
      <c r="J485">
        <v>1258</v>
      </c>
      <c r="K485">
        <v>3922</v>
      </c>
      <c r="L485">
        <v>1007</v>
      </c>
      <c r="V485" t="s">
        <v>1212</v>
      </c>
      <c r="W485">
        <v>10895</v>
      </c>
      <c r="X485">
        <v>1.052455450398905</v>
      </c>
      <c r="Y485">
        <v>4</v>
      </c>
      <c r="Z485">
        <v>4993</v>
      </c>
      <c r="AA485">
        <v>2.6513927757161469E-2</v>
      </c>
      <c r="AB485">
        <v>0.94364936835283397</v>
      </c>
      <c r="AC485">
        <v>21.87585399665377</v>
      </c>
      <c r="AD485">
        <v>60</v>
      </c>
      <c r="AE485">
        <v>154.58000000000001</v>
      </c>
      <c r="AF485">
        <v>176.46</v>
      </c>
      <c r="AG485">
        <v>181.27</v>
      </c>
      <c r="AH485">
        <v>1113.6300000000001</v>
      </c>
      <c r="AL485">
        <v>181.27</v>
      </c>
      <c r="AM485">
        <v>0.39194036631739049</v>
      </c>
      <c r="AN485">
        <v>298.11</v>
      </c>
      <c r="AO485">
        <v>116.84</v>
      </c>
      <c r="AP485">
        <v>0.39190000000000003</v>
      </c>
      <c r="AQ485">
        <v>0.60809999999999997</v>
      </c>
      <c r="AR485">
        <v>42205</v>
      </c>
      <c r="AS485">
        <v>3517</v>
      </c>
      <c r="AT485">
        <v>0.17610000000000001</v>
      </c>
      <c r="AU485">
        <v>39290</v>
      </c>
      <c r="AV485">
        <v>39290</v>
      </c>
      <c r="AW485">
        <v>40360</v>
      </c>
      <c r="AX485">
        <v>40360</v>
      </c>
      <c r="AY485">
        <v>0</v>
      </c>
      <c r="BA485">
        <v>0</v>
      </c>
      <c r="BB485">
        <v>0</v>
      </c>
      <c r="BC485">
        <v>0</v>
      </c>
      <c r="BD485">
        <v>0</v>
      </c>
      <c r="BE485">
        <v>0</v>
      </c>
    </row>
    <row r="486" spans="1:57" x14ac:dyDescent="0.35">
      <c r="A486" t="s">
        <v>1582</v>
      </c>
      <c r="B486" t="s">
        <v>1583</v>
      </c>
      <c r="C486" t="s">
        <v>562</v>
      </c>
      <c r="D486" t="s">
        <v>556</v>
      </c>
      <c r="E486" t="s">
        <v>551</v>
      </c>
      <c r="F486" t="s">
        <v>290</v>
      </c>
      <c r="G486" t="s">
        <v>566</v>
      </c>
      <c r="H486">
        <v>466</v>
      </c>
      <c r="I486">
        <v>7.8295770939194695E-2</v>
      </c>
      <c r="J486">
        <v>502</v>
      </c>
      <c r="K486">
        <v>8206</v>
      </c>
      <c r="L486">
        <v>413</v>
      </c>
      <c r="V486" t="s">
        <v>1254</v>
      </c>
      <c r="W486">
        <v>5854</v>
      </c>
      <c r="X486">
        <v>0.91145858569464455</v>
      </c>
      <c r="Y486">
        <v>3</v>
      </c>
      <c r="Z486">
        <v>3574</v>
      </c>
      <c r="AA486">
        <v>2.7866807159081141E-2</v>
      </c>
      <c r="AB486">
        <v>0.92433084166439905</v>
      </c>
      <c r="AC486">
        <v>12.299012785181111</v>
      </c>
      <c r="AD486">
        <v>60</v>
      </c>
      <c r="AE486">
        <v>955.65</v>
      </c>
      <c r="AF486">
        <v>967.95</v>
      </c>
      <c r="AG486">
        <v>995.7</v>
      </c>
      <c r="AH486">
        <v>1020.36</v>
      </c>
      <c r="AL486">
        <v>995.7</v>
      </c>
      <c r="AM486">
        <v>0.25993512162697707</v>
      </c>
      <c r="AN486">
        <v>1345.42</v>
      </c>
      <c r="AO486">
        <v>349.72</v>
      </c>
      <c r="AP486">
        <v>0.25990000000000002</v>
      </c>
      <c r="AQ486">
        <v>0.74009999999999998</v>
      </c>
      <c r="AR486">
        <v>56183</v>
      </c>
      <c r="AS486">
        <v>4682</v>
      </c>
      <c r="AT486">
        <v>8.3599999999999994E-2</v>
      </c>
      <c r="AU486">
        <v>48390</v>
      </c>
      <c r="AV486">
        <v>48390</v>
      </c>
      <c r="AW486">
        <v>49777</v>
      </c>
      <c r="AX486">
        <v>49777</v>
      </c>
      <c r="AY486">
        <v>0</v>
      </c>
      <c r="BA486">
        <v>0</v>
      </c>
      <c r="BB486">
        <v>0</v>
      </c>
      <c r="BC486">
        <v>0</v>
      </c>
      <c r="BD486">
        <v>0</v>
      </c>
      <c r="BE486">
        <v>0</v>
      </c>
    </row>
    <row r="487" spans="1:57" x14ac:dyDescent="0.35">
      <c r="A487" t="s">
        <v>1584</v>
      </c>
      <c r="B487" t="s">
        <v>1585</v>
      </c>
      <c r="C487" t="s">
        <v>548</v>
      </c>
      <c r="D487" t="s">
        <v>556</v>
      </c>
      <c r="E487" t="s">
        <v>557</v>
      </c>
      <c r="F487" t="s">
        <v>290</v>
      </c>
      <c r="G487" t="s">
        <v>566</v>
      </c>
      <c r="H487">
        <v>1303</v>
      </c>
      <c r="I487">
        <v>0.1543263280533092</v>
      </c>
      <c r="J487">
        <v>1504</v>
      </c>
      <c r="K487">
        <v>4963</v>
      </c>
      <c r="L487">
        <v>672</v>
      </c>
      <c r="V487" t="s">
        <v>1233</v>
      </c>
      <c r="W487">
        <v>13838</v>
      </c>
      <c r="X487">
        <v>0.86820964947491663</v>
      </c>
      <c r="Y487">
        <v>9</v>
      </c>
      <c r="Z487">
        <v>2535</v>
      </c>
      <c r="AA487">
        <v>3.7803666716024413E-2</v>
      </c>
      <c r="AB487">
        <v>0.92886035049837545</v>
      </c>
      <c r="AC487">
        <v>10.86457955841807</v>
      </c>
      <c r="AD487">
        <v>30</v>
      </c>
      <c r="AE487">
        <v>644.94000000000005</v>
      </c>
      <c r="AF487">
        <v>655.8</v>
      </c>
      <c r="AG487">
        <v>681.57</v>
      </c>
      <c r="AH487">
        <v>141.63999999999999</v>
      </c>
      <c r="AL487">
        <v>681.57</v>
      </c>
      <c r="AM487">
        <v>0.21959212041566409</v>
      </c>
      <c r="AN487">
        <v>873.35</v>
      </c>
      <c r="AO487">
        <v>191.78</v>
      </c>
      <c r="AP487">
        <v>0.21959999999999999</v>
      </c>
      <c r="AQ487">
        <v>0.78039999999999998</v>
      </c>
      <c r="AR487">
        <v>51097</v>
      </c>
      <c r="AS487">
        <v>4258</v>
      </c>
      <c r="AT487">
        <v>8.5900000000000004E-2</v>
      </c>
      <c r="AU487">
        <v>46806</v>
      </c>
      <c r="AV487">
        <v>46806</v>
      </c>
      <c r="AW487">
        <v>48645</v>
      </c>
      <c r="AX487">
        <v>48645</v>
      </c>
      <c r="AY487">
        <v>0</v>
      </c>
      <c r="BA487">
        <v>0</v>
      </c>
      <c r="BB487">
        <v>0</v>
      </c>
      <c r="BC487">
        <v>0</v>
      </c>
      <c r="BD487">
        <v>0</v>
      </c>
      <c r="BE487">
        <v>0</v>
      </c>
    </row>
    <row r="488" spans="1:57" x14ac:dyDescent="0.35">
      <c r="A488" t="s">
        <v>1586</v>
      </c>
      <c r="B488" t="s">
        <v>1587</v>
      </c>
      <c r="C488" t="s">
        <v>548</v>
      </c>
      <c r="D488" t="s">
        <v>556</v>
      </c>
      <c r="E488" t="s">
        <v>557</v>
      </c>
      <c r="F488" t="s">
        <v>290</v>
      </c>
      <c r="G488" t="s">
        <v>558</v>
      </c>
      <c r="H488">
        <v>1399</v>
      </c>
      <c r="I488">
        <v>3.2999573559441289E-2</v>
      </c>
      <c r="J488">
        <v>1445</v>
      </c>
      <c r="K488">
        <v>6410</v>
      </c>
      <c r="L488">
        <v>650</v>
      </c>
      <c r="V488" t="s">
        <v>1206</v>
      </c>
      <c r="W488">
        <v>15965</v>
      </c>
      <c r="X488">
        <v>1.1548850970305311</v>
      </c>
      <c r="Y488">
        <v>3</v>
      </c>
      <c r="Z488">
        <v>2790</v>
      </c>
      <c r="AA488">
        <v>3.0909831847442101E-2</v>
      </c>
      <c r="AB488">
        <v>0.92857880765972944</v>
      </c>
      <c r="AC488">
        <v>19.732245138954902</v>
      </c>
      <c r="AD488">
        <v>45</v>
      </c>
      <c r="AE488">
        <v>1039.1199999999999</v>
      </c>
      <c r="AF488">
        <v>1058.8499999999999</v>
      </c>
      <c r="AG488">
        <v>1092.6300000000001</v>
      </c>
      <c r="AH488">
        <v>582.05999999999995</v>
      </c>
      <c r="AL488">
        <v>1092.6300000000001</v>
      </c>
      <c r="AM488">
        <v>0.34957329930229658</v>
      </c>
      <c r="AN488">
        <v>1679.87</v>
      </c>
      <c r="AO488">
        <v>587.24</v>
      </c>
      <c r="AP488">
        <v>0.34960000000000002</v>
      </c>
      <c r="AQ488">
        <v>0.65039999999999998</v>
      </c>
      <c r="AR488">
        <v>33092</v>
      </c>
      <c r="AS488">
        <v>2758</v>
      </c>
      <c r="AT488">
        <v>0.15579999999999999</v>
      </c>
      <c r="AU488">
        <v>27332</v>
      </c>
      <c r="AV488">
        <v>27332</v>
      </c>
      <c r="AW488">
        <v>28204</v>
      </c>
      <c r="AX488">
        <v>28204</v>
      </c>
      <c r="AY488">
        <v>0</v>
      </c>
      <c r="BA488">
        <v>0</v>
      </c>
      <c r="BB488">
        <v>0</v>
      </c>
      <c r="BC488">
        <v>0</v>
      </c>
      <c r="BD488">
        <v>0</v>
      </c>
      <c r="BE488">
        <v>0</v>
      </c>
    </row>
    <row r="489" spans="1:57" x14ac:dyDescent="0.35">
      <c r="A489" t="s">
        <v>1588</v>
      </c>
      <c r="B489" t="s">
        <v>1589</v>
      </c>
      <c r="C489" t="s">
        <v>573</v>
      </c>
      <c r="D489" t="s">
        <v>549</v>
      </c>
      <c r="E489" t="s">
        <v>551</v>
      </c>
      <c r="F489" t="s">
        <v>290</v>
      </c>
      <c r="G489" t="s">
        <v>551</v>
      </c>
      <c r="H489">
        <v>935</v>
      </c>
      <c r="I489">
        <v>-9.6581604029042228E-3</v>
      </c>
      <c r="J489">
        <v>926</v>
      </c>
      <c r="K489">
        <v>1525</v>
      </c>
      <c r="L489">
        <v>772</v>
      </c>
      <c r="V489" t="s">
        <v>1189</v>
      </c>
      <c r="W489">
        <v>15173</v>
      </c>
      <c r="X489">
        <v>1.0157368967662599</v>
      </c>
      <c r="Y489">
        <v>28</v>
      </c>
      <c r="Z489">
        <v>2138</v>
      </c>
      <c r="AA489">
        <v>3.6051469397092743E-2</v>
      </c>
      <c r="AB489">
        <v>0.89452048649606097</v>
      </c>
      <c r="AC489">
        <v>4.5311942641365652</v>
      </c>
      <c r="AD489">
        <v>15</v>
      </c>
      <c r="AE489">
        <v>1822.52</v>
      </c>
      <c r="AF489">
        <v>1827.05</v>
      </c>
      <c r="AG489">
        <v>1895.38</v>
      </c>
      <c r="AH489">
        <v>1345.84</v>
      </c>
      <c r="AL489">
        <v>1895.38</v>
      </c>
      <c r="AM489">
        <v>0.23156347951028669</v>
      </c>
      <c r="AN489">
        <v>2466.54</v>
      </c>
      <c r="AO489">
        <v>571.16</v>
      </c>
      <c r="AP489">
        <v>0.2316</v>
      </c>
      <c r="AQ489">
        <v>0.76839999999999997</v>
      </c>
      <c r="AR489">
        <v>27720</v>
      </c>
      <c r="AS489">
        <v>2310</v>
      </c>
      <c r="AT489">
        <v>0.21879999999999999</v>
      </c>
      <c r="AU489">
        <v>26967</v>
      </c>
      <c r="AV489">
        <v>26967</v>
      </c>
      <c r="AW489">
        <v>27976</v>
      </c>
      <c r="AX489">
        <v>27976</v>
      </c>
      <c r="AY489">
        <v>0</v>
      </c>
      <c r="BA489">
        <v>0</v>
      </c>
      <c r="BB489">
        <v>0</v>
      </c>
      <c r="BC489">
        <v>0</v>
      </c>
      <c r="BD489">
        <v>0</v>
      </c>
      <c r="BE489">
        <v>0</v>
      </c>
    </row>
    <row r="490" spans="1:57" x14ac:dyDescent="0.35">
      <c r="A490" t="s">
        <v>1590</v>
      </c>
      <c r="B490" t="s">
        <v>1591</v>
      </c>
      <c r="C490" t="s">
        <v>606</v>
      </c>
      <c r="D490" t="s">
        <v>549</v>
      </c>
      <c r="E490" t="s">
        <v>557</v>
      </c>
      <c r="F490" t="s">
        <v>290</v>
      </c>
      <c r="G490" t="s">
        <v>566</v>
      </c>
      <c r="H490">
        <v>663</v>
      </c>
      <c r="I490">
        <v>5.1928942666306308E-2</v>
      </c>
      <c r="J490">
        <v>697</v>
      </c>
      <c r="K490">
        <v>7217</v>
      </c>
      <c r="L490">
        <v>1581</v>
      </c>
      <c r="V490" t="s">
        <v>1280</v>
      </c>
      <c r="W490">
        <v>6154</v>
      </c>
      <c r="X490">
        <v>1.1425297167512369</v>
      </c>
      <c r="Y490">
        <v>24</v>
      </c>
      <c r="Z490">
        <v>3291</v>
      </c>
      <c r="AA490">
        <v>3.5735263752916482E-2</v>
      </c>
      <c r="AB490">
        <v>0.96912998282745177</v>
      </c>
      <c r="AC490">
        <v>23.519604867081789</v>
      </c>
      <c r="AD490">
        <v>60</v>
      </c>
      <c r="AE490">
        <v>894.8</v>
      </c>
      <c r="AF490">
        <v>918.32</v>
      </c>
      <c r="AG490">
        <v>952.35</v>
      </c>
      <c r="AH490">
        <v>477.15</v>
      </c>
      <c r="AL490">
        <v>952.35</v>
      </c>
      <c r="AM490">
        <v>0.22484584342633709</v>
      </c>
      <c r="AN490">
        <v>1228.5899999999999</v>
      </c>
      <c r="AO490">
        <v>276.24</v>
      </c>
      <c r="AP490">
        <v>0.2248</v>
      </c>
      <c r="AQ490">
        <v>0.7752</v>
      </c>
      <c r="AR490">
        <v>52692</v>
      </c>
      <c r="AS490">
        <v>4391</v>
      </c>
      <c r="AT490">
        <v>0.23050000000000001</v>
      </c>
      <c r="AU490">
        <v>47056</v>
      </c>
      <c r="AV490">
        <v>47056</v>
      </c>
      <c r="AW490">
        <v>48800</v>
      </c>
      <c r="AX490">
        <v>48800</v>
      </c>
      <c r="AY490">
        <v>0</v>
      </c>
      <c r="BA490">
        <v>0</v>
      </c>
      <c r="BB490">
        <v>0</v>
      </c>
      <c r="BC490">
        <v>0</v>
      </c>
      <c r="BD490">
        <v>0</v>
      </c>
      <c r="BE490">
        <v>0</v>
      </c>
    </row>
    <row r="491" spans="1:57" x14ac:dyDescent="0.35">
      <c r="A491" t="s">
        <v>1592</v>
      </c>
      <c r="B491" t="s">
        <v>1593</v>
      </c>
      <c r="C491" t="s">
        <v>548</v>
      </c>
      <c r="D491" t="s">
        <v>549</v>
      </c>
      <c r="E491" t="s">
        <v>551</v>
      </c>
      <c r="F491" t="s">
        <v>290</v>
      </c>
      <c r="G491" t="s">
        <v>566</v>
      </c>
      <c r="H491">
        <v>417</v>
      </c>
      <c r="I491">
        <v>0.19400817465005091</v>
      </c>
      <c r="J491">
        <v>498</v>
      </c>
      <c r="K491">
        <v>3921</v>
      </c>
      <c r="L491">
        <v>483</v>
      </c>
      <c r="V491" t="s">
        <v>1280</v>
      </c>
      <c r="W491">
        <v>6154</v>
      </c>
      <c r="X491">
        <v>1.1425297167512369</v>
      </c>
      <c r="Y491">
        <v>24</v>
      </c>
      <c r="Z491">
        <v>3291</v>
      </c>
      <c r="AA491">
        <v>3.5735263752916482E-2</v>
      </c>
      <c r="AB491">
        <v>0.96912998282745177</v>
      </c>
      <c r="AC491">
        <v>23.519604867081789</v>
      </c>
      <c r="AD491">
        <v>60</v>
      </c>
      <c r="AE491">
        <v>1607.86</v>
      </c>
      <c r="AF491">
        <v>1631.38</v>
      </c>
      <c r="AG491">
        <v>1691.84</v>
      </c>
      <c r="AH491">
        <v>861.68</v>
      </c>
      <c r="AL491">
        <v>1691.84</v>
      </c>
      <c r="AM491">
        <v>0.20812649805195779</v>
      </c>
      <c r="AN491">
        <v>2136.5</v>
      </c>
      <c r="AO491">
        <v>444.66</v>
      </c>
      <c r="AP491">
        <v>0.20810000000000001</v>
      </c>
      <c r="AQ491">
        <v>0.79190000000000005</v>
      </c>
      <c r="AR491">
        <v>52292</v>
      </c>
      <c r="AS491">
        <v>4358</v>
      </c>
      <c r="AT491">
        <v>9.4700000000000006E-2</v>
      </c>
      <c r="AU491">
        <v>48854</v>
      </c>
      <c r="AV491">
        <v>48854</v>
      </c>
      <c r="AW491">
        <v>50665</v>
      </c>
      <c r="AX491">
        <v>50665</v>
      </c>
      <c r="AY491">
        <v>0</v>
      </c>
      <c r="BA491">
        <v>0</v>
      </c>
      <c r="BB491">
        <v>0</v>
      </c>
      <c r="BC491">
        <v>0</v>
      </c>
      <c r="BD491">
        <v>0</v>
      </c>
      <c r="BE491">
        <v>0</v>
      </c>
    </row>
    <row r="492" spans="1:57" x14ac:dyDescent="0.35">
      <c r="A492" t="s">
        <v>1594</v>
      </c>
      <c r="B492" t="s">
        <v>1595</v>
      </c>
      <c r="C492" t="s">
        <v>555</v>
      </c>
      <c r="D492" t="s">
        <v>556</v>
      </c>
      <c r="E492" t="s">
        <v>557</v>
      </c>
      <c r="F492" t="s">
        <v>290</v>
      </c>
      <c r="G492" t="s">
        <v>566</v>
      </c>
      <c r="H492">
        <v>615</v>
      </c>
      <c r="I492">
        <v>0.11809596082292589</v>
      </c>
      <c r="J492">
        <v>688</v>
      </c>
      <c r="K492">
        <v>5478</v>
      </c>
      <c r="L492">
        <v>598</v>
      </c>
      <c r="V492" t="s">
        <v>1189</v>
      </c>
      <c r="W492">
        <v>15173</v>
      </c>
      <c r="X492">
        <v>1.0157368967662599</v>
      </c>
      <c r="Y492">
        <v>28</v>
      </c>
      <c r="Z492">
        <v>2138</v>
      </c>
      <c r="AA492">
        <v>3.6051469397092743E-2</v>
      </c>
      <c r="AB492">
        <v>0.89452048649606097</v>
      </c>
      <c r="AC492">
        <v>4.5311942641365652</v>
      </c>
      <c r="AD492">
        <v>15</v>
      </c>
      <c r="AE492">
        <v>867.04</v>
      </c>
      <c r="AF492">
        <v>871.57</v>
      </c>
      <c r="AG492">
        <v>904.16</v>
      </c>
      <c r="AH492">
        <v>660.83</v>
      </c>
      <c r="AL492">
        <v>904.16</v>
      </c>
      <c r="AM492">
        <v>0.1824197445560588</v>
      </c>
      <c r="AN492">
        <v>1105.9000000000001</v>
      </c>
      <c r="AO492">
        <v>201.74</v>
      </c>
      <c r="AP492">
        <v>0.18240000000000001</v>
      </c>
      <c r="AQ492">
        <v>0.81759999999999999</v>
      </c>
      <c r="AR492">
        <v>34926</v>
      </c>
      <c r="AS492">
        <v>2910</v>
      </c>
      <c r="AT492">
        <v>0.17150000000000001</v>
      </c>
      <c r="AU492">
        <v>30046</v>
      </c>
      <c r="AV492">
        <v>30046</v>
      </c>
      <c r="AW492">
        <v>31170</v>
      </c>
      <c r="AX492">
        <v>31170</v>
      </c>
      <c r="AY492">
        <v>0</v>
      </c>
      <c r="BA492">
        <v>0</v>
      </c>
      <c r="BB492">
        <v>0</v>
      </c>
      <c r="BC492">
        <v>0</v>
      </c>
      <c r="BD492">
        <v>0</v>
      </c>
      <c r="BE492">
        <v>0</v>
      </c>
    </row>
    <row r="493" spans="1:57" x14ac:dyDescent="0.35">
      <c r="A493" t="s">
        <v>1596</v>
      </c>
      <c r="B493" t="s">
        <v>1597</v>
      </c>
      <c r="C493" t="s">
        <v>606</v>
      </c>
      <c r="D493" t="s">
        <v>549</v>
      </c>
      <c r="E493" t="s">
        <v>551</v>
      </c>
      <c r="F493" t="s">
        <v>290</v>
      </c>
      <c r="G493" t="s">
        <v>566</v>
      </c>
      <c r="H493">
        <v>264</v>
      </c>
      <c r="I493">
        <v>-2.9494078697132289E-2</v>
      </c>
      <c r="J493">
        <v>256</v>
      </c>
      <c r="K493">
        <v>4231</v>
      </c>
      <c r="L493">
        <v>1432</v>
      </c>
      <c r="V493" t="s">
        <v>1220</v>
      </c>
      <c r="W493">
        <v>16447</v>
      </c>
      <c r="X493">
        <v>0.89505501759695993</v>
      </c>
      <c r="Y493">
        <v>8</v>
      </c>
      <c r="Z493">
        <v>2427</v>
      </c>
      <c r="AA493">
        <v>1.9871424108949459E-2</v>
      </c>
      <c r="AB493">
        <v>0.98767923972527805</v>
      </c>
      <c r="AC493">
        <v>11.17296217622472</v>
      </c>
      <c r="AD493">
        <v>15</v>
      </c>
      <c r="AE493">
        <v>1382.32</v>
      </c>
      <c r="AF493">
        <v>1393.5</v>
      </c>
      <c r="AG493">
        <v>1421.75</v>
      </c>
      <c r="AH493">
        <v>489.84</v>
      </c>
      <c r="AL493">
        <v>1421.75</v>
      </c>
      <c r="AM493">
        <v>0.21411576525419149</v>
      </c>
      <c r="AN493">
        <v>1809.11</v>
      </c>
      <c r="AO493">
        <v>387.36</v>
      </c>
      <c r="AP493">
        <v>0.21410000000000001</v>
      </c>
      <c r="AQ493">
        <v>0.78590000000000004</v>
      </c>
      <c r="AR493">
        <v>55388</v>
      </c>
      <c r="AS493">
        <v>4616</v>
      </c>
      <c r="AT493">
        <v>0.23519999999999999</v>
      </c>
      <c r="AU493">
        <v>52589</v>
      </c>
      <c r="AV493">
        <v>52589</v>
      </c>
      <c r="AW493">
        <v>53655</v>
      </c>
      <c r="AX493">
        <v>53655</v>
      </c>
      <c r="AY493">
        <v>0</v>
      </c>
      <c r="BA493">
        <v>0</v>
      </c>
      <c r="BB493">
        <v>0</v>
      </c>
      <c r="BC493">
        <v>0</v>
      </c>
      <c r="BD493">
        <v>0</v>
      </c>
      <c r="BE493">
        <v>0</v>
      </c>
    </row>
    <row r="494" spans="1:57" x14ac:dyDescent="0.35">
      <c r="A494" t="s">
        <v>1598</v>
      </c>
      <c r="B494" t="s">
        <v>1599</v>
      </c>
      <c r="C494" t="s">
        <v>573</v>
      </c>
      <c r="D494" t="s">
        <v>556</v>
      </c>
      <c r="E494" t="s">
        <v>551</v>
      </c>
      <c r="F494" t="s">
        <v>290</v>
      </c>
      <c r="G494" t="s">
        <v>551</v>
      </c>
      <c r="H494">
        <v>1489</v>
      </c>
      <c r="I494">
        <v>0.14845452597700989</v>
      </c>
      <c r="J494">
        <v>1710</v>
      </c>
      <c r="K494">
        <v>2914</v>
      </c>
      <c r="L494">
        <v>662</v>
      </c>
      <c r="V494" t="s">
        <v>1328</v>
      </c>
      <c r="W494">
        <v>24457</v>
      </c>
      <c r="X494">
        <v>0.97006234979649786</v>
      </c>
      <c r="Y494">
        <v>24</v>
      </c>
      <c r="Z494">
        <v>3943</v>
      </c>
      <c r="AA494">
        <v>9.0244693099700273E-3</v>
      </c>
      <c r="AB494">
        <v>0.98574184788703823</v>
      </c>
      <c r="AC494">
        <v>19.82805493730563</v>
      </c>
      <c r="AD494">
        <v>30</v>
      </c>
      <c r="AE494">
        <v>346.34</v>
      </c>
      <c r="AF494">
        <v>366.17</v>
      </c>
      <c r="AG494">
        <v>369.5</v>
      </c>
      <c r="AH494">
        <v>911.01</v>
      </c>
      <c r="AL494">
        <v>369.5</v>
      </c>
      <c r="AM494">
        <v>0.23882993711847189</v>
      </c>
      <c r="AN494">
        <v>485.44</v>
      </c>
      <c r="AO494">
        <v>115.94</v>
      </c>
      <c r="AP494">
        <v>0.23880000000000001</v>
      </c>
      <c r="AQ494">
        <v>0.76119999999999999</v>
      </c>
      <c r="AR494">
        <v>34158</v>
      </c>
      <c r="AS494">
        <v>2846</v>
      </c>
      <c r="AT494">
        <v>0.14599999999999999</v>
      </c>
      <c r="AU494">
        <v>31906</v>
      </c>
      <c r="AV494">
        <v>31906</v>
      </c>
      <c r="AW494">
        <v>32197</v>
      </c>
      <c r="AX494">
        <v>32197</v>
      </c>
      <c r="AY494">
        <v>0</v>
      </c>
      <c r="BA494">
        <v>0</v>
      </c>
      <c r="BB494">
        <v>0</v>
      </c>
      <c r="BC494">
        <v>0</v>
      </c>
      <c r="BD494">
        <v>0</v>
      </c>
      <c r="BE494">
        <v>0</v>
      </c>
    </row>
    <row r="495" spans="1:57" x14ac:dyDescent="0.35">
      <c r="A495" t="s">
        <v>1600</v>
      </c>
      <c r="B495" t="s">
        <v>1601</v>
      </c>
      <c r="C495" t="s">
        <v>562</v>
      </c>
      <c r="D495" t="s">
        <v>549</v>
      </c>
      <c r="E495" t="s">
        <v>557</v>
      </c>
      <c r="F495" t="s">
        <v>290</v>
      </c>
      <c r="G495" t="s">
        <v>551</v>
      </c>
      <c r="H495">
        <v>1383</v>
      </c>
      <c r="I495">
        <v>6.1610480449137181E-2</v>
      </c>
      <c r="J495">
        <v>1468</v>
      </c>
      <c r="K495">
        <v>12398</v>
      </c>
      <c r="L495">
        <v>2225</v>
      </c>
      <c r="V495" t="s">
        <v>1195</v>
      </c>
      <c r="W495">
        <v>7747</v>
      </c>
      <c r="X495">
        <v>0.94654473731747668</v>
      </c>
      <c r="Y495">
        <v>17</v>
      </c>
      <c r="Z495">
        <v>3105</v>
      </c>
      <c r="AA495">
        <v>9.5876037220176697E-3</v>
      </c>
      <c r="AB495">
        <v>0.92199282137790561</v>
      </c>
      <c r="AC495">
        <v>15.62553508382698</v>
      </c>
      <c r="AD495">
        <v>45</v>
      </c>
      <c r="AE495">
        <v>614.73</v>
      </c>
      <c r="AF495">
        <v>630.35</v>
      </c>
      <c r="AG495">
        <v>636.46</v>
      </c>
      <c r="AH495">
        <v>367.73</v>
      </c>
      <c r="AL495">
        <v>636.46</v>
      </c>
      <c r="AM495">
        <v>0.31849855203643263</v>
      </c>
      <c r="AN495">
        <v>933.91</v>
      </c>
      <c r="AO495">
        <v>297.45</v>
      </c>
      <c r="AP495">
        <v>0.31850000000000001</v>
      </c>
      <c r="AQ495">
        <v>0.68149999999999999</v>
      </c>
      <c r="AR495">
        <v>99855</v>
      </c>
      <c r="AS495">
        <v>8321</v>
      </c>
      <c r="AT495">
        <v>0.221</v>
      </c>
      <c r="AU495">
        <v>89682</v>
      </c>
      <c r="AV495">
        <v>89682</v>
      </c>
      <c r="AW495">
        <v>90550</v>
      </c>
      <c r="AX495">
        <v>90550</v>
      </c>
      <c r="AY495">
        <v>0</v>
      </c>
      <c r="BA495">
        <v>0</v>
      </c>
      <c r="BB495">
        <v>0</v>
      </c>
      <c r="BC495">
        <v>0</v>
      </c>
      <c r="BD495">
        <v>0</v>
      </c>
      <c r="BE495">
        <v>0</v>
      </c>
    </row>
    <row r="496" spans="1:57" x14ac:dyDescent="0.35">
      <c r="A496" t="s">
        <v>1602</v>
      </c>
      <c r="B496" t="s">
        <v>1603</v>
      </c>
      <c r="C496" t="s">
        <v>606</v>
      </c>
      <c r="D496" t="s">
        <v>556</v>
      </c>
      <c r="E496" t="s">
        <v>551</v>
      </c>
      <c r="F496" t="s">
        <v>290</v>
      </c>
      <c r="G496" t="s">
        <v>628</v>
      </c>
      <c r="H496">
        <v>587</v>
      </c>
      <c r="I496">
        <v>0.15581830317000761</v>
      </c>
      <c r="J496">
        <v>678</v>
      </c>
      <c r="K496">
        <v>6938</v>
      </c>
      <c r="L496">
        <v>354</v>
      </c>
      <c r="V496" t="s">
        <v>1251</v>
      </c>
      <c r="W496">
        <v>5860</v>
      </c>
      <c r="X496">
        <v>0.87337391594646552</v>
      </c>
      <c r="Y496">
        <v>10</v>
      </c>
      <c r="Z496">
        <v>3872</v>
      </c>
      <c r="AA496">
        <v>2.4680306001966499E-2</v>
      </c>
      <c r="AB496">
        <v>0.91241658539950277</v>
      </c>
      <c r="AC496">
        <v>4.299423063814066</v>
      </c>
      <c r="AD496">
        <v>45</v>
      </c>
      <c r="AE496">
        <v>196.21</v>
      </c>
      <c r="AF496">
        <v>200.51</v>
      </c>
      <c r="AG496">
        <v>205.58</v>
      </c>
      <c r="AH496">
        <v>481.05</v>
      </c>
      <c r="AL496">
        <v>205.58</v>
      </c>
      <c r="AM496">
        <v>0.16564121055486289</v>
      </c>
      <c r="AN496">
        <v>246.39</v>
      </c>
      <c r="AO496">
        <v>40.81</v>
      </c>
      <c r="AP496">
        <v>0.1656</v>
      </c>
      <c r="AQ496">
        <v>0.83440000000000003</v>
      </c>
      <c r="AR496">
        <v>37057</v>
      </c>
      <c r="AS496">
        <v>3088</v>
      </c>
      <c r="AT496">
        <v>0.1027</v>
      </c>
      <c r="AU496">
        <v>30473</v>
      </c>
      <c r="AV496">
        <v>30473</v>
      </c>
      <c r="AW496">
        <v>31244</v>
      </c>
      <c r="AX496">
        <v>31244</v>
      </c>
      <c r="AY496">
        <v>0</v>
      </c>
      <c r="BA496">
        <v>0</v>
      </c>
      <c r="BB496">
        <v>0</v>
      </c>
      <c r="BC496">
        <v>0</v>
      </c>
      <c r="BD496">
        <v>0</v>
      </c>
      <c r="BE496">
        <v>0</v>
      </c>
    </row>
    <row r="497" spans="1:57" x14ac:dyDescent="0.35">
      <c r="A497" t="s">
        <v>1604</v>
      </c>
      <c r="B497" t="s">
        <v>1605</v>
      </c>
      <c r="C497" t="s">
        <v>606</v>
      </c>
      <c r="D497" t="s">
        <v>556</v>
      </c>
      <c r="E497" t="s">
        <v>550</v>
      </c>
      <c r="F497" t="s">
        <v>290</v>
      </c>
      <c r="G497" t="s">
        <v>628</v>
      </c>
      <c r="H497">
        <v>447</v>
      </c>
      <c r="I497">
        <v>-1.247754890346051E-3</v>
      </c>
      <c r="J497">
        <v>446</v>
      </c>
      <c r="K497">
        <v>1107</v>
      </c>
      <c r="L497">
        <v>532</v>
      </c>
      <c r="V497" t="s">
        <v>1212</v>
      </c>
      <c r="W497">
        <v>10895</v>
      </c>
      <c r="X497">
        <v>1.052455450398905</v>
      </c>
      <c r="Y497">
        <v>4</v>
      </c>
      <c r="Z497">
        <v>4993</v>
      </c>
      <c r="AA497">
        <v>2.6513927757161469E-2</v>
      </c>
      <c r="AB497">
        <v>0.94364936835283397</v>
      </c>
      <c r="AC497">
        <v>21.87585399665377</v>
      </c>
      <c r="AD497">
        <v>60</v>
      </c>
      <c r="AE497">
        <v>1631.86</v>
      </c>
      <c r="AF497">
        <v>1653.73</v>
      </c>
      <c r="AG497">
        <v>1698.78</v>
      </c>
      <c r="AH497">
        <v>967.23</v>
      </c>
      <c r="AL497">
        <v>1698.78</v>
      </c>
      <c r="AM497">
        <v>0.2026267349163357</v>
      </c>
      <c r="AN497">
        <v>2130.4699999999998</v>
      </c>
      <c r="AO497">
        <v>431.69</v>
      </c>
      <c r="AP497">
        <v>0.2026</v>
      </c>
      <c r="AQ497">
        <v>0.7974</v>
      </c>
      <c r="AR497">
        <v>13543</v>
      </c>
      <c r="AS497">
        <v>1129</v>
      </c>
      <c r="AT497">
        <v>0.23899999999999999</v>
      </c>
      <c r="AU497">
        <v>12968</v>
      </c>
      <c r="AV497">
        <v>12968</v>
      </c>
      <c r="AW497">
        <v>13321</v>
      </c>
      <c r="AX497">
        <v>13321</v>
      </c>
      <c r="AY497">
        <v>0</v>
      </c>
      <c r="BA497">
        <v>0</v>
      </c>
      <c r="BB497">
        <v>0</v>
      </c>
      <c r="BC497">
        <v>0</v>
      </c>
      <c r="BD497">
        <v>0</v>
      </c>
      <c r="BE497">
        <v>0</v>
      </c>
    </row>
    <row r="498" spans="1:57" x14ac:dyDescent="0.35">
      <c r="A498" t="s">
        <v>1606</v>
      </c>
      <c r="B498" t="s">
        <v>1607</v>
      </c>
      <c r="C498" t="s">
        <v>606</v>
      </c>
      <c r="D498" t="s">
        <v>549</v>
      </c>
      <c r="E498" t="s">
        <v>551</v>
      </c>
      <c r="F498" t="s">
        <v>290</v>
      </c>
      <c r="G498" t="s">
        <v>551</v>
      </c>
      <c r="H498">
        <v>2994</v>
      </c>
      <c r="I498">
        <v>0.19478788877515391</v>
      </c>
      <c r="J498">
        <v>3577</v>
      </c>
      <c r="K498">
        <v>4043</v>
      </c>
      <c r="L498">
        <v>998</v>
      </c>
      <c r="V498" t="s">
        <v>1212</v>
      </c>
      <c r="W498">
        <v>10895</v>
      </c>
      <c r="X498">
        <v>1.052455450398905</v>
      </c>
      <c r="Y498">
        <v>4</v>
      </c>
      <c r="Z498">
        <v>4993</v>
      </c>
      <c r="AA498">
        <v>2.6513927757161469E-2</v>
      </c>
      <c r="AB498">
        <v>0.94364936835283397</v>
      </c>
      <c r="AC498">
        <v>21.87585399665377</v>
      </c>
      <c r="AD498">
        <v>60</v>
      </c>
      <c r="AE498">
        <v>1189.8</v>
      </c>
      <c r="AF498">
        <v>1211.67</v>
      </c>
      <c r="AG498">
        <v>1244.67</v>
      </c>
      <c r="AH498">
        <v>371</v>
      </c>
      <c r="AL498">
        <v>1244.67</v>
      </c>
      <c r="AM498">
        <v>0.35225591007291912</v>
      </c>
      <c r="AN498">
        <v>1921.55</v>
      </c>
      <c r="AO498">
        <v>676.88</v>
      </c>
      <c r="AP498">
        <v>0.3523</v>
      </c>
      <c r="AQ498">
        <v>0.64770000000000005</v>
      </c>
      <c r="AR498">
        <v>56439</v>
      </c>
      <c r="AS498">
        <v>4703</v>
      </c>
      <c r="AT498">
        <v>0.2077</v>
      </c>
      <c r="AU498">
        <v>53394</v>
      </c>
      <c r="AV498">
        <v>53394</v>
      </c>
      <c r="AW498">
        <v>54848</v>
      </c>
      <c r="AX498">
        <v>54848</v>
      </c>
      <c r="AY498">
        <v>0</v>
      </c>
      <c r="BA498">
        <v>0</v>
      </c>
      <c r="BB498">
        <v>0</v>
      </c>
      <c r="BC498">
        <v>0</v>
      </c>
      <c r="BD498">
        <v>0</v>
      </c>
      <c r="BE498">
        <v>0</v>
      </c>
    </row>
    <row r="499" spans="1:57" x14ac:dyDescent="0.35">
      <c r="A499" t="s">
        <v>1608</v>
      </c>
      <c r="B499" t="s">
        <v>1609</v>
      </c>
      <c r="C499" t="s">
        <v>573</v>
      </c>
      <c r="D499" t="s">
        <v>556</v>
      </c>
      <c r="E499" t="s">
        <v>551</v>
      </c>
      <c r="F499" t="s">
        <v>290</v>
      </c>
      <c r="G499" t="s">
        <v>551</v>
      </c>
      <c r="H499">
        <v>1155</v>
      </c>
      <c r="I499">
        <v>-4.8648769081832542E-2</v>
      </c>
      <c r="J499">
        <v>1099</v>
      </c>
      <c r="K499">
        <v>4376</v>
      </c>
      <c r="L499">
        <v>963</v>
      </c>
      <c r="V499" t="s">
        <v>1233</v>
      </c>
      <c r="W499">
        <v>13838</v>
      </c>
      <c r="X499">
        <v>0.86820964947491663</v>
      </c>
      <c r="Y499">
        <v>9</v>
      </c>
      <c r="Z499">
        <v>2535</v>
      </c>
      <c r="AA499">
        <v>3.7803666716024413E-2</v>
      </c>
      <c r="AB499">
        <v>0.92886035049837545</v>
      </c>
      <c r="AC499">
        <v>10.86457955841807</v>
      </c>
      <c r="AD499">
        <v>30</v>
      </c>
      <c r="AE499">
        <v>291.79000000000002</v>
      </c>
      <c r="AF499">
        <v>302.64999999999998</v>
      </c>
      <c r="AG499">
        <v>314.54000000000002</v>
      </c>
      <c r="AH499">
        <v>484.69</v>
      </c>
      <c r="AL499">
        <v>314.54000000000002</v>
      </c>
      <c r="AM499">
        <v>0.18673048089594271</v>
      </c>
      <c r="AN499">
        <v>386.76</v>
      </c>
      <c r="AO499">
        <v>72.22</v>
      </c>
      <c r="AP499">
        <v>0.1867</v>
      </c>
      <c r="AQ499">
        <v>0.81330000000000002</v>
      </c>
      <c r="AR499">
        <v>26706</v>
      </c>
      <c r="AS499">
        <v>2226</v>
      </c>
      <c r="AT499">
        <v>0.24</v>
      </c>
      <c r="AU499">
        <v>23293</v>
      </c>
      <c r="AV499">
        <v>23293</v>
      </c>
      <c r="AW499">
        <v>24208</v>
      </c>
      <c r="AX499">
        <v>24208</v>
      </c>
      <c r="AY499">
        <v>0</v>
      </c>
      <c r="BA499">
        <v>0</v>
      </c>
      <c r="BB499">
        <v>0</v>
      </c>
      <c r="BC499">
        <v>0</v>
      </c>
      <c r="BD499">
        <v>0</v>
      </c>
      <c r="BE499">
        <v>0</v>
      </c>
    </row>
    <row r="500" spans="1:57" x14ac:dyDescent="0.35">
      <c r="A500" t="s">
        <v>1610</v>
      </c>
      <c r="B500" t="s">
        <v>1611</v>
      </c>
      <c r="C500" t="s">
        <v>555</v>
      </c>
      <c r="D500" t="s">
        <v>556</v>
      </c>
      <c r="E500" t="s">
        <v>557</v>
      </c>
      <c r="F500" t="s">
        <v>290</v>
      </c>
      <c r="G500" t="s">
        <v>551</v>
      </c>
      <c r="H500">
        <v>324</v>
      </c>
      <c r="I500">
        <v>0.1063325424886135</v>
      </c>
      <c r="J500">
        <v>358</v>
      </c>
      <c r="K500">
        <v>8078</v>
      </c>
      <c r="L500">
        <v>1877</v>
      </c>
      <c r="V500" t="s">
        <v>1261</v>
      </c>
      <c r="W500">
        <v>6734</v>
      </c>
      <c r="X500">
        <v>0.86974657160199664</v>
      </c>
      <c r="Y500">
        <v>3</v>
      </c>
      <c r="Z500">
        <v>2059</v>
      </c>
      <c r="AA500">
        <v>1.6695943159420419E-2</v>
      </c>
      <c r="AB500">
        <v>0.98114219842314276</v>
      </c>
      <c r="AC500">
        <v>5.1629817153578443</v>
      </c>
      <c r="AD500">
        <v>60</v>
      </c>
      <c r="AE500">
        <v>542.91999999999996</v>
      </c>
      <c r="AF500">
        <v>548.08000000000004</v>
      </c>
      <c r="AG500">
        <v>557.39</v>
      </c>
      <c r="AH500">
        <v>605.39</v>
      </c>
      <c r="AL500">
        <v>557.39</v>
      </c>
      <c r="AM500">
        <v>0.23566128663063041</v>
      </c>
      <c r="AN500">
        <v>729.24</v>
      </c>
      <c r="AO500">
        <v>171.85</v>
      </c>
      <c r="AP500">
        <v>0.23569999999999999</v>
      </c>
      <c r="AQ500">
        <v>0.76429999999999998</v>
      </c>
      <c r="AR500">
        <v>64578</v>
      </c>
      <c r="AS500">
        <v>5382</v>
      </c>
      <c r="AT500">
        <v>0.19500000000000001</v>
      </c>
      <c r="AU500">
        <v>58377</v>
      </c>
      <c r="AV500">
        <v>58377</v>
      </c>
      <c r="AW500">
        <v>59368</v>
      </c>
      <c r="AX500">
        <v>59368</v>
      </c>
      <c r="AY500">
        <v>0</v>
      </c>
      <c r="BA500">
        <v>0</v>
      </c>
      <c r="BB500">
        <v>0</v>
      </c>
      <c r="BC500">
        <v>0</v>
      </c>
      <c r="BD500">
        <v>0</v>
      </c>
      <c r="BE500">
        <v>0</v>
      </c>
    </row>
    <row r="501" spans="1:57" x14ac:dyDescent="0.35">
      <c r="A501" t="s">
        <v>1612</v>
      </c>
      <c r="B501" t="s">
        <v>1613</v>
      </c>
      <c r="C501" t="s">
        <v>548</v>
      </c>
      <c r="D501" t="s">
        <v>556</v>
      </c>
      <c r="E501" t="s">
        <v>557</v>
      </c>
      <c r="F501" t="s">
        <v>290</v>
      </c>
      <c r="G501" t="s">
        <v>551</v>
      </c>
      <c r="H501">
        <v>462</v>
      </c>
      <c r="I501">
        <v>-2.1639795724020819E-2</v>
      </c>
      <c r="J501">
        <v>452</v>
      </c>
      <c r="K501">
        <v>17582</v>
      </c>
      <c r="L501">
        <v>1443</v>
      </c>
      <c r="V501" t="s">
        <v>1280</v>
      </c>
      <c r="W501">
        <v>6154</v>
      </c>
      <c r="X501">
        <v>1.1425297167512369</v>
      </c>
      <c r="Y501">
        <v>24</v>
      </c>
      <c r="Z501">
        <v>3291</v>
      </c>
      <c r="AA501">
        <v>3.5735263752916482E-2</v>
      </c>
      <c r="AB501">
        <v>0.96912998282745177</v>
      </c>
      <c r="AC501">
        <v>23.519604867081789</v>
      </c>
      <c r="AD501">
        <v>60</v>
      </c>
      <c r="AE501">
        <v>661.78</v>
      </c>
      <c r="AF501">
        <v>685.3</v>
      </c>
      <c r="AG501">
        <v>710.7</v>
      </c>
      <c r="AH501">
        <v>810.21</v>
      </c>
      <c r="AL501">
        <v>710.7</v>
      </c>
      <c r="AM501">
        <v>0.36616473046453502</v>
      </c>
      <c r="AN501">
        <v>1121.27</v>
      </c>
      <c r="AO501">
        <v>410.57</v>
      </c>
      <c r="AP501">
        <v>0.36620000000000003</v>
      </c>
      <c r="AQ501">
        <v>0.63380000000000003</v>
      </c>
      <c r="AR501">
        <v>94140</v>
      </c>
      <c r="AS501">
        <v>7845</v>
      </c>
      <c r="AT501">
        <v>0.14180000000000001</v>
      </c>
      <c r="AU501">
        <v>78001</v>
      </c>
      <c r="AV501">
        <v>78001</v>
      </c>
      <c r="AW501">
        <v>80892</v>
      </c>
      <c r="AX501">
        <v>80892</v>
      </c>
      <c r="AY501">
        <v>0</v>
      </c>
      <c r="BA501">
        <v>0</v>
      </c>
      <c r="BB501">
        <v>0</v>
      </c>
      <c r="BC501">
        <v>0</v>
      </c>
      <c r="BD501">
        <v>0</v>
      </c>
      <c r="BE50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0A968-093C-446E-B7ED-52D0B4D0A0DA}">
  <dimension ref="A1:P26"/>
  <sheetViews>
    <sheetView workbookViewId="0">
      <selection activeCell="B9" sqref="B9"/>
    </sheetView>
  </sheetViews>
  <sheetFormatPr defaultRowHeight="14.5" x14ac:dyDescent="0.35"/>
  <cols>
    <col min="1" max="1" width="12.81640625" customWidth="1"/>
    <col min="2" max="2" width="18.81640625" customWidth="1"/>
    <col min="3" max="3" width="24.1796875" customWidth="1"/>
    <col min="4" max="4" width="26.54296875" customWidth="1"/>
    <col min="5" max="5" width="17.36328125" customWidth="1"/>
    <col min="6" max="6" width="25.36328125" customWidth="1"/>
    <col min="7" max="7" width="27.7265625" customWidth="1"/>
    <col min="8" max="8" width="26.6328125" customWidth="1"/>
    <col min="9" max="9" width="24.54296875" customWidth="1"/>
    <col min="10" max="10" width="19.54296875" customWidth="1"/>
    <col min="11" max="11" width="31.54296875" customWidth="1"/>
    <col min="12" max="12" width="19.6328125" customWidth="1"/>
    <col min="13" max="13" width="21.36328125" customWidth="1"/>
    <col min="14" max="14" width="16.54296875" customWidth="1"/>
    <col min="15" max="15" width="13.90625" customWidth="1"/>
    <col min="16" max="16" width="16.1796875" customWidth="1"/>
  </cols>
  <sheetData>
    <row r="1" spans="1:16" x14ac:dyDescent="0.35">
      <c r="A1" t="s">
        <v>1614</v>
      </c>
      <c r="B1" t="s">
        <v>541</v>
      </c>
      <c r="C1" t="s">
        <v>1615</v>
      </c>
      <c r="D1" t="s">
        <v>1616</v>
      </c>
      <c r="E1" t="s">
        <v>1617</v>
      </c>
      <c r="F1" t="s">
        <v>1618</v>
      </c>
      <c r="G1" t="s">
        <v>1619</v>
      </c>
      <c r="H1" t="s">
        <v>1620</v>
      </c>
      <c r="I1" t="s">
        <v>540</v>
      </c>
      <c r="J1" t="s">
        <v>1621</v>
      </c>
      <c r="K1" t="s">
        <v>1622</v>
      </c>
      <c r="L1" t="s">
        <v>1623</v>
      </c>
      <c r="M1" t="s">
        <v>1624</v>
      </c>
      <c r="N1" t="s">
        <v>1625</v>
      </c>
      <c r="O1" t="s">
        <v>1626</v>
      </c>
      <c r="P1" t="s">
        <v>1627</v>
      </c>
    </row>
    <row r="2" spans="1:16" x14ac:dyDescent="0.35">
      <c r="A2" t="s">
        <v>552</v>
      </c>
      <c r="B2">
        <v>0.84030000000000005</v>
      </c>
      <c r="C2">
        <v>6.7500000000000004E-2</v>
      </c>
      <c r="D2">
        <v>7.3300000000000004E-2</v>
      </c>
      <c r="E2">
        <v>4800</v>
      </c>
      <c r="F2">
        <v>324</v>
      </c>
      <c r="G2">
        <v>351.84</v>
      </c>
      <c r="H2">
        <v>4124.16</v>
      </c>
      <c r="I2">
        <v>4175.4799999999996</v>
      </c>
      <c r="J2">
        <v>1.0124</v>
      </c>
      <c r="K2">
        <v>-51.32</v>
      </c>
      <c r="L2">
        <v>0.85919999999999985</v>
      </c>
      <c r="M2">
        <v>0.8875433512402825</v>
      </c>
      <c r="N2">
        <v>0.98893000000000009</v>
      </c>
      <c r="O2">
        <v>0.75417000000000001</v>
      </c>
      <c r="P2" t="s">
        <v>1628</v>
      </c>
    </row>
    <row r="3" spans="1:16" x14ac:dyDescent="0.35">
      <c r="A3" t="s">
        <v>559</v>
      </c>
      <c r="B3">
        <v>0.84179999999999999</v>
      </c>
      <c r="C3">
        <v>8.8599999999999998E-2</v>
      </c>
      <c r="D3">
        <v>7.4700000000000003E-2</v>
      </c>
      <c r="E3">
        <v>4800</v>
      </c>
      <c r="F3">
        <v>425.28</v>
      </c>
      <c r="G3">
        <v>358.56</v>
      </c>
      <c r="H3">
        <v>4016.16</v>
      </c>
      <c r="I3">
        <v>4174.6099999999997</v>
      </c>
      <c r="J3">
        <v>1.0395000000000001</v>
      </c>
      <c r="K3">
        <v>-158.44999999999999</v>
      </c>
      <c r="L3">
        <v>0.8367</v>
      </c>
      <c r="M3">
        <v>0.89980774396695107</v>
      </c>
      <c r="N3">
        <v>0.98745625000000004</v>
      </c>
      <c r="O3">
        <v>0.74339374999999996</v>
      </c>
      <c r="P3" t="s">
        <v>1628</v>
      </c>
    </row>
    <row r="4" spans="1:16" x14ac:dyDescent="0.35">
      <c r="A4" t="s">
        <v>563</v>
      </c>
      <c r="B4">
        <v>0.92459999999999998</v>
      </c>
      <c r="C4">
        <v>9.0200000000000002E-2</v>
      </c>
      <c r="D4">
        <v>7.5999999999999998E-2</v>
      </c>
      <c r="E4">
        <v>4800</v>
      </c>
      <c r="F4">
        <v>432.96</v>
      </c>
      <c r="G4">
        <v>364.8</v>
      </c>
      <c r="H4">
        <v>4002.24</v>
      </c>
      <c r="I4">
        <v>4175.1899999999996</v>
      </c>
      <c r="J4">
        <v>1.0431999999999999</v>
      </c>
      <c r="K4">
        <v>-172.95</v>
      </c>
      <c r="L4">
        <v>0.83379999999999999</v>
      </c>
      <c r="M4">
        <v>0.91335562903257284</v>
      </c>
      <c r="N4">
        <v>0.98713076923076915</v>
      </c>
      <c r="O4">
        <v>0.75172307692307683</v>
      </c>
      <c r="P4" t="s">
        <v>1628</v>
      </c>
    </row>
    <row r="5" spans="1:16" x14ac:dyDescent="0.35">
      <c r="A5" t="s">
        <v>567</v>
      </c>
      <c r="B5">
        <v>0.91639999999999999</v>
      </c>
      <c r="C5">
        <v>5.7700000000000001E-2</v>
      </c>
      <c r="D5">
        <v>3.4700000000000002E-2</v>
      </c>
      <c r="E5">
        <v>4800</v>
      </c>
      <c r="F5">
        <v>276.95999999999998</v>
      </c>
      <c r="G5">
        <v>166.56</v>
      </c>
      <c r="H5">
        <v>4356.4799999999996</v>
      </c>
      <c r="I5">
        <v>4175.79</v>
      </c>
      <c r="J5">
        <v>0.95850000000000002</v>
      </c>
      <c r="K5">
        <v>180.69</v>
      </c>
      <c r="L5">
        <v>0.90760000000000007</v>
      </c>
      <c r="M5">
        <v>0.9166898758615778</v>
      </c>
      <c r="N5">
        <v>0.98773</v>
      </c>
      <c r="O5">
        <v>0.82190999999999992</v>
      </c>
      <c r="P5" t="s">
        <v>1628</v>
      </c>
    </row>
    <row r="6" spans="1:16" x14ac:dyDescent="0.35">
      <c r="A6" t="s">
        <v>570</v>
      </c>
      <c r="B6">
        <v>0.93740000000000001</v>
      </c>
      <c r="C6">
        <v>6.83E-2</v>
      </c>
      <c r="D6">
        <v>5.7200000000000001E-2</v>
      </c>
      <c r="E6">
        <v>4800</v>
      </c>
      <c r="F6">
        <v>327.84</v>
      </c>
      <c r="G6">
        <v>274.56</v>
      </c>
      <c r="H6">
        <v>4197.6000000000004</v>
      </c>
      <c r="I6">
        <v>4175.8899999999994</v>
      </c>
      <c r="J6">
        <v>0.99480000000000002</v>
      </c>
      <c r="K6">
        <v>21.71</v>
      </c>
      <c r="L6">
        <v>0.87450000000000006</v>
      </c>
      <c r="M6">
        <v>0.89300765311969543</v>
      </c>
      <c r="N6">
        <v>0.97657142857142865</v>
      </c>
      <c r="O6">
        <v>0.76257142857142857</v>
      </c>
      <c r="P6" t="s">
        <v>1628</v>
      </c>
    </row>
    <row r="7" spans="1:16" x14ac:dyDescent="0.35">
      <c r="A7" t="s">
        <v>578</v>
      </c>
      <c r="B7">
        <v>0.96060000000000001</v>
      </c>
      <c r="C7">
        <v>6.8699999999999997E-2</v>
      </c>
      <c r="D7">
        <v>6.7000000000000004E-2</v>
      </c>
      <c r="E7">
        <v>4800</v>
      </c>
      <c r="F7">
        <v>329.76</v>
      </c>
      <c r="G7">
        <v>321.60000000000002</v>
      </c>
      <c r="H7">
        <v>4148.6400000000003</v>
      </c>
      <c r="I7">
        <v>4175.7700000000004</v>
      </c>
      <c r="J7">
        <v>1.0065</v>
      </c>
      <c r="K7">
        <v>-27.13</v>
      </c>
      <c r="L7">
        <v>0.86430000000000007</v>
      </c>
      <c r="M7">
        <v>0.91872262497044033</v>
      </c>
      <c r="N7">
        <v>0.98392500000000005</v>
      </c>
      <c r="O7">
        <v>0.78113750000000004</v>
      </c>
      <c r="P7" t="s">
        <v>1628</v>
      </c>
    </row>
    <row r="8" spans="1:16" x14ac:dyDescent="0.35">
      <c r="A8" t="s">
        <v>587</v>
      </c>
      <c r="B8">
        <v>0.92379999999999995</v>
      </c>
      <c r="C8">
        <v>5.7599999999999998E-2</v>
      </c>
      <c r="D8">
        <v>6.7799999999999999E-2</v>
      </c>
      <c r="E8">
        <v>4800</v>
      </c>
      <c r="F8">
        <v>276.48</v>
      </c>
      <c r="G8">
        <v>325.44</v>
      </c>
      <c r="H8">
        <v>4198.08</v>
      </c>
      <c r="I8">
        <v>4175.5200000000004</v>
      </c>
      <c r="J8">
        <v>0.99460000000000004</v>
      </c>
      <c r="K8">
        <v>22.56</v>
      </c>
      <c r="L8">
        <v>0.87459999999999993</v>
      </c>
      <c r="M8">
        <v>0.89128855910433435</v>
      </c>
      <c r="N8">
        <v>0.9866666666666668</v>
      </c>
      <c r="O8">
        <v>0.76913333333333334</v>
      </c>
      <c r="P8" t="s">
        <v>1628</v>
      </c>
    </row>
    <row r="9" spans="1:16" x14ac:dyDescent="0.35">
      <c r="A9" t="s">
        <v>590</v>
      </c>
      <c r="B9">
        <v>0.84340000000000004</v>
      </c>
      <c r="C9">
        <v>8.9899999999999994E-2</v>
      </c>
      <c r="D9">
        <v>6.0299999999999999E-2</v>
      </c>
      <c r="E9">
        <v>4800</v>
      </c>
      <c r="F9">
        <v>431.52</v>
      </c>
      <c r="G9">
        <v>289.44</v>
      </c>
      <c r="H9">
        <v>4079.04</v>
      </c>
      <c r="I9">
        <v>4174.75</v>
      </c>
      <c r="J9">
        <v>1.0235000000000001</v>
      </c>
      <c r="K9">
        <v>-95.71</v>
      </c>
      <c r="L9">
        <v>0.8498</v>
      </c>
      <c r="M9">
        <v>0.89109387201807644</v>
      </c>
      <c r="N9">
        <v>0.98591428571428574</v>
      </c>
      <c r="O9">
        <v>0.7465857142857143</v>
      </c>
      <c r="P9" t="s">
        <v>1628</v>
      </c>
    </row>
    <row r="10" spans="1:16" x14ac:dyDescent="0.35">
      <c r="A10" t="s">
        <v>593</v>
      </c>
      <c r="B10">
        <v>0.85650000000000004</v>
      </c>
      <c r="C10">
        <v>8.5400000000000004E-2</v>
      </c>
      <c r="D10">
        <v>3.8300000000000001E-2</v>
      </c>
      <c r="E10">
        <v>4800</v>
      </c>
      <c r="F10">
        <v>409.92</v>
      </c>
      <c r="G10">
        <v>183.84</v>
      </c>
      <c r="H10">
        <v>4206.24</v>
      </c>
      <c r="I10">
        <v>4175.72</v>
      </c>
      <c r="J10">
        <v>0.99270000000000003</v>
      </c>
      <c r="K10">
        <v>30.52</v>
      </c>
      <c r="L10">
        <v>0.87629999999999997</v>
      </c>
      <c r="M10">
        <v>0.89317047730870047</v>
      </c>
      <c r="N10">
        <v>0.98323333333333329</v>
      </c>
      <c r="O10">
        <v>0.769675</v>
      </c>
      <c r="P10" t="s">
        <v>1628</v>
      </c>
    </row>
    <row r="11" spans="1:16" x14ac:dyDescent="0.35">
      <c r="A11" t="s">
        <v>596</v>
      </c>
      <c r="B11">
        <v>0.94630000000000003</v>
      </c>
      <c r="C11">
        <v>5.9499999999999997E-2</v>
      </c>
      <c r="D11">
        <v>6.9900000000000004E-2</v>
      </c>
      <c r="E11">
        <v>4800</v>
      </c>
      <c r="F11">
        <v>285.60000000000002</v>
      </c>
      <c r="G11">
        <v>335.52</v>
      </c>
      <c r="H11">
        <v>4178.88</v>
      </c>
      <c r="I11">
        <v>4174.2299999999996</v>
      </c>
      <c r="J11">
        <v>0.99890000000000001</v>
      </c>
      <c r="K11">
        <v>4.6500000000000004</v>
      </c>
      <c r="L11">
        <v>0.87060000000000004</v>
      </c>
      <c r="M11">
        <v>0.90652802331517679</v>
      </c>
      <c r="N11">
        <v>0.98451818181818185</v>
      </c>
      <c r="O11">
        <v>0.77689999999999992</v>
      </c>
      <c r="P11" t="s">
        <v>1628</v>
      </c>
    </row>
    <row r="12" spans="1:16" x14ac:dyDescent="0.35">
      <c r="A12" t="s">
        <v>601</v>
      </c>
      <c r="B12">
        <v>0.85140000000000005</v>
      </c>
      <c r="C12">
        <v>6.83E-2</v>
      </c>
      <c r="D12">
        <v>6.6000000000000003E-2</v>
      </c>
      <c r="E12">
        <v>4800</v>
      </c>
      <c r="F12">
        <v>327.84</v>
      </c>
      <c r="G12">
        <v>316.8</v>
      </c>
      <c r="H12">
        <v>4155.3599999999997</v>
      </c>
      <c r="I12">
        <v>4174.7700000000004</v>
      </c>
      <c r="J12">
        <v>1.0046999999999999</v>
      </c>
      <c r="K12">
        <v>-19.41</v>
      </c>
      <c r="L12">
        <v>0.86570000000000003</v>
      </c>
      <c r="M12">
        <v>0.89089217137775656</v>
      </c>
      <c r="N12">
        <v>0.98706315789473686</v>
      </c>
      <c r="O12">
        <v>0.76129473684210536</v>
      </c>
      <c r="P12" t="s">
        <v>1628</v>
      </c>
    </row>
    <row r="13" spans="1:16" x14ac:dyDescent="0.35">
      <c r="A13" t="s">
        <v>609</v>
      </c>
      <c r="B13">
        <v>0.83089999999999997</v>
      </c>
      <c r="C13">
        <v>5.5300000000000002E-2</v>
      </c>
      <c r="D13">
        <v>3.4299999999999997E-2</v>
      </c>
      <c r="E13">
        <v>4800</v>
      </c>
      <c r="F13">
        <v>265.44</v>
      </c>
      <c r="G13">
        <v>164.64</v>
      </c>
      <c r="H13">
        <v>4369.92</v>
      </c>
      <c r="I13">
        <v>4175.37</v>
      </c>
      <c r="J13">
        <v>0.95550000000000002</v>
      </c>
      <c r="K13">
        <v>194.55</v>
      </c>
      <c r="L13">
        <v>0.91039999999999999</v>
      </c>
      <c r="M13">
        <v>0.9075473060897401</v>
      </c>
      <c r="N13">
        <v>0.98617999999999995</v>
      </c>
      <c r="O13">
        <v>0.81477333333333335</v>
      </c>
      <c r="P13" t="s">
        <v>1628</v>
      </c>
    </row>
    <row r="14" spans="1:16" x14ac:dyDescent="0.35">
      <c r="A14" t="s">
        <v>614</v>
      </c>
      <c r="B14">
        <v>0.92549999999999999</v>
      </c>
      <c r="C14">
        <v>8.14E-2</v>
      </c>
      <c r="D14">
        <v>5.3199999999999997E-2</v>
      </c>
      <c r="E14">
        <v>4800</v>
      </c>
      <c r="F14">
        <v>390.72</v>
      </c>
      <c r="G14">
        <v>255.36</v>
      </c>
      <c r="H14">
        <v>4153.92</v>
      </c>
      <c r="I14">
        <v>4175</v>
      </c>
      <c r="J14">
        <v>1.0051000000000001</v>
      </c>
      <c r="K14">
        <v>-21.08</v>
      </c>
      <c r="L14">
        <v>0.86540000000000006</v>
      </c>
      <c r="M14">
        <v>0.89278291185441983</v>
      </c>
      <c r="N14">
        <v>0.98783750000000003</v>
      </c>
      <c r="O14">
        <v>0.76323750000000001</v>
      </c>
      <c r="P14" t="s">
        <v>1628</v>
      </c>
    </row>
    <row r="15" spans="1:16" x14ac:dyDescent="0.35">
      <c r="A15" t="s">
        <v>617</v>
      </c>
      <c r="B15">
        <v>0.88039999999999996</v>
      </c>
      <c r="C15">
        <v>5.6099999999999997E-2</v>
      </c>
      <c r="D15">
        <v>3.8699999999999998E-2</v>
      </c>
      <c r="E15">
        <v>4800</v>
      </c>
      <c r="F15">
        <v>269.27999999999997</v>
      </c>
      <c r="G15">
        <v>185.76</v>
      </c>
      <c r="H15">
        <v>4344.96</v>
      </c>
      <c r="I15">
        <v>4175.62</v>
      </c>
      <c r="J15">
        <v>0.96099999999999997</v>
      </c>
      <c r="K15">
        <v>169.34</v>
      </c>
      <c r="L15">
        <v>0.9052</v>
      </c>
      <c r="M15">
        <v>0.90983513132067551</v>
      </c>
      <c r="N15">
        <v>0.98988750000000003</v>
      </c>
      <c r="O15">
        <v>0.81530000000000002</v>
      </c>
      <c r="P15" t="s">
        <v>1628</v>
      </c>
    </row>
    <row r="16" spans="1:16" x14ac:dyDescent="0.35">
      <c r="A16" t="s">
        <v>622</v>
      </c>
      <c r="B16">
        <v>0.95799999999999996</v>
      </c>
      <c r="C16">
        <v>9.9299999999999999E-2</v>
      </c>
      <c r="D16">
        <v>4.6899999999999997E-2</v>
      </c>
      <c r="E16">
        <v>4800</v>
      </c>
      <c r="F16">
        <v>476.64</v>
      </c>
      <c r="G16">
        <v>225.12</v>
      </c>
      <c r="H16">
        <v>4098.24</v>
      </c>
      <c r="I16">
        <v>4174.9400000000014</v>
      </c>
      <c r="J16">
        <v>1.0186999999999999</v>
      </c>
      <c r="K16">
        <v>-76.7</v>
      </c>
      <c r="L16">
        <v>0.8538</v>
      </c>
      <c r="M16">
        <v>0.88083076374703684</v>
      </c>
      <c r="N16">
        <v>0.98434374999999996</v>
      </c>
      <c r="O16">
        <v>0.74024999999999996</v>
      </c>
      <c r="P16" t="s">
        <v>1628</v>
      </c>
    </row>
    <row r="17" spans="1:16" x14ac:dyDescent="0.35">
      <c r="A17" t="s">
        <v>625</v>
      </c>
      <c r="B17">
        <v>0.91749999999999998</v>
      </c>
      <c r="C17">
        <v>8.8999999999999996E-2</v>
      </c>
      <c r="D17">
        <v>3.09E-2</v>
      </c>
      <c r="E17">
        <v>4800</v>
      </c>
      <c r="F17">
        <v>427.2</v>
      </c>
      <c r="G17">
        <v>148.32</v>
      </c>
      <c r="H17">
        <v>4224.4799999999996</v>
      </c>
      <c r="I17">
        <v>4175.75</v>
      </c>
      <c r="J17">
        <v>0.98850000000000005</v>
      </c>
      <c r="K17">
        <v>48.73</v>
      </c>
      <c r="L17">
        <v>0.88009999999999988</v>
      </c>
      <c r="M17">
        <v>0.89206090414643291</v>
      </c>
      <c r="N17">
        <v>0.98529</v>
      </c>
      <c r="O17">
        <v>0.77354000000000001</v>
      </c>
      <c r="P17" t="s">
        <v>1628</v>
      </c>
    </row>
    <row r="18" spans="1:16" x14ac:dyDescent="0.35">
      <c r="A18" t="s">
        <v>629</v>
      </c>
      <c r="B18">
        <v>0.83360000000000001</v>
      </c>
      <c r="C18">
        <v>6.9500000000000006E-2</v>
      </c>
      <c r="D18">
        <v>0.05</v>
      </c>
      <c r="E18">
        <v>4800</v>
      </c>
      <c r="F18">
        <v>333.6</v>
      </c>
      <c r="G18">
        <v>240</v>
      </c>
      <c r="H18">
        <v>4226.3999999999996</v>
      </c>
      <c r="I18">
        <v>4175.87</v>
      </c>
      <c r="J18">
        <v>0.98799999999999999</v>
      </c>
      <c r="K18">
        <v>50.53</v>
      </c>
      <c r="L18">
        <v>0.88049999999999995</v>
      </c>
      <c r="M18">
        <v>0.86753620851291013</v>
      </c>
      <c r="N18">
        <v>0.98867499999999997</v>
      </c>
      <c r="O18">
        <v>0.7552875</v>
      </c>
      <c r="P18" t="s">
        <v>1628</v>
      </c>
    </row>
    <row r="19" spans="1:16" x14ac:dyDescent="0.35">
      <c r="A19" t="s">
        <v>632</v>
      </c>
      <c r="B19">
        <v>0.96220000000000006</v>
      </c>
      <c r="C19">
        <v>7.8899999999999998E-2</v>
      </c>
      <c r="D19">
        <v>5.7500000000000002E-2</v>
      </c>
      <c r="E19">
        <v>4800</v>
      </c>
      <c r="F19">
        <v>378.72</v>
      </c>
      <c r="G19">
        <v>276</v>
      </c>
      <c r="H19">
        <v>4145.28</v>
      </c>
      <c r="I19">
        <v>4175.21</v>
      </c>
      <c r="J19">
        <v>1.0072000000000001</v>
      </c>
      <c r="K19">
        <v>-29.93</v>
      </c>
      <c r="L19">
        <v>0.86359999999999992</v>
      </c>
      <c r="M19">
        <v>0.90476883259191621</v>
      </c>
      <c r="N19">
        <v>0.97787500000000005</v>
      </c>
      <c r="O19">
        <v>0.76407500000000006</v>
      </c>
      <c r="P19" t="s">
        <v>1628</v>
      </c>
    </row>
    <row r="20" spans="1:16" x14ac:dyDescent="0.35">
      <c r="A20" t="s">
        <v>649</v>
      </c>
      <c r="B20">
        <v>0.85880000000000001</v>
      </c>
      <c r="C20">
        <v>9.5600000000000004E-2</v>
      </c>
      <c r="D20">
        <v>6.0999999999999999E-2</v>
      </c>
      <c r="E20">
        <v>4800</v>
      </c>
      <c r="F20">
        <v>458.88</v>
      </c>
      <c r="G20">
        <v>292.8</v>
      </c>
      <c r="H20">
        <v>4048.32</v>
      </c>
      <c r="I20">
        <v>4174.16</v>
      </c>
      <c r="J20">
        <v>1.0310999999999999</v>
      </c>
      <c r="K20">
        <v>-125.84</v>
      </c>
      <c r="L20">
        <v>0.84340000000000004</v>
      </c>
      <c r="M20">
        <v>0.8991497732893835</v>
      </c>
      <c r="N20">
        <v>0.98716538461538461</v>
      </c>
      <c r="O20">
        <v>0.74857307692307695</v>
      </c>
      <c r="P20" t="s">
        <v>1628</v>
      </c>
    </row>
    <row r="21" spans="1:16" x14ac:dyDescent="0.35">
      <c r="A21" t="s">
        <v>656</v>
      </c>
      <c r="B21">
        <v>0.87060000000000004</v>
      </c>
      <c r="C21">
        <v>7.7700000000000005E-2</v>
      </c>
      <c r="D21">
        <v>6.3200000000000006E-2</v>
      </c>
      <c r="E21">
        <v>4800</v>
      </c>
      <c r="F21">
        <v>372.96</v>
      </c>
      <c r="G21">
        <v>303.36</v>
      </c>
      <c r="H21">
        <v>4123.68</v>
      </c>
      <c r="I21">
        <v>4175.2</v>
      </c>
      <c r="J21">
        <v>1.0125</v>
      </c>
      <c r="K21">
        <v>-51.52</v>
      </c>
      <c r="L21">
        <v>0.85910000000000009</v>
      </c>
      <c r="M21">
        <v>0.88969479255789707</v>
      </c>
      <c r="N21">
        <v>0.98740000000000006</v>
      </c>
      <c r="O21">
        <v>0.75476428571428567</v>
      </c>
      <c r="P21" t="s">
        <v>1628</v>
      </c>
    </row>
    <row r="22" spans="1:16" x14ac:dyDescent="0.35">
      <c r="A22" t="s">
        <v>677</v>
      </c>
      <c r="B22">
        <v>0.88029999999999997</v>
      </c>
      <c r="C22">
        <v>5.8700000000000002E-2</v>
      </c>
      <c r="D22">
        <v>7.1800000000000003E-2</v>
      </c>
      <c r="E22">
        <v>4800</v>
      </c>
      <c r="F22">
        <v>281.76</v>
      </c>
      <c r="G22">
        <v>344.64</v>
      </c>
      <c r="H22">
        <v>4173.6000000000004</v>
      </c>
      <c r="I22">
        <v>4174.92</v>
      </c>
      <c r="J22">
        <v>1.0003</v>
      </c>
      <c r="K22">
        <v>-1.32</v>
      </c>
      <c r="L22">
        <v>0.86950000000000005</v>
      </c>
      <c r="M22">
        <v>0.8817486767024032</v>
      </c>
      <c r="N22">
        <v>0.98556428571428578</v>
      </c>
      <c r="O22">
        <v>0.75560714285714281</v>
      </c>
      <c r="P22" t="s">
        <v>1628</v>
      </c>
    </row>
    <row r="23" spans="1:16" x14ac:dyDescent="0.35">
      <c r="A23" t="s">
        <v>714</v>
      </c>
      <c r="B23">
        <v>0.82769999999999999</v>
      </c>
      <c r="C23">
        <v>6.8900000000000003E-2</v>
      </c>
      <c r="D23">
        <v>4.0800000000000003E-2</v>
      </c>
      <c r="E23">
        <v>4800</v>
      </c>
      <c r="F23">
        <v>330.72</v>
      </c>
      <c r="G23">
        <v>195.84</v>
      </c>
      <c r="H23">
        <v>4273.4399999999996</v>
      </c>
      <c r="I23">
        <v>4175.7700000000004</v>
      </c>
      <c r="J23">
        <v>0.97709999999999997</v>
      </c>
      <c r="K23">
        <v>97.67</v>
      </c>
      <c r="L23">
        <v>0.89029999999999987</v>
      </c>
      <c r="M23">
        <v>0.9006266334000087</v>
      </c>
      <c r="N23">
        <v>0.99015714285714285</v>
      </c>
      <c r="O23">
        <v>0.79405714285714279</v>
      </c>
      <c r="P23" t="s">
        <v>1628</v>
      </c>
    </row>
    <row r="24" spans="1:16" x14ac:dyDescent="0.35">
      <c r="A24" t="s">
        <v>735</v>
      </c>
      <c r="B24">
        <v>0.89449999999999996</v>
      </c>
      <c r="C24">
        <v>9.2200000000000004E-2</v>
      </c>
      <c r="D24">
        <v>3.5999999999999997E-2</v>
      </c>
      <c r="E24">
        <v>4800</v>
      </c>
      <c r="F24">
        <v>442.56</v>
      </c>
      <c r="G24">
        <v>172.8</v>
      </c>
      <c r="H24">
        <v>4184.6400000000003</v>
      </c>
      <c r="I24">
        <v>4175.34</v>
      </c>
      <c r="J24">
        <v>0.99780000000000002</v>
      </c>
      <c r="K24">
        <v>9.3000000000000007</v>
      </c>
      <c r="L24">
        <v>0.87180000000000002</v>
      </c>
      <c r="M24">
        <v>0.90764077584886371</v>
      </c>
      <c r="N24">
        <v>0.98881999999999992</v>
      </c>
      <c r="O24">
        <v>0.78240999999999994</v>
      </c>
      <c r="P24" t="s">
        <v>1628</v>
      </c>
    </row>
    <row r="25" spans="1:16" x14ac:dyDescent="0.35">
      <c r="A25" t="s">
        <v>784</v>
      </c>
      <c r="B25">
        <v>0.83850000000000002</v>
      </c>
      <c r="C25">
        <v>8.2199999999999995E-2</v>
      </c>
      <c r="D25">
        <v>7.2599999999999998E-2</v>
      </c>
      <c r="E25">
        <v>4800</v>
      </c>
      <c r="F25">
        <v>394.56</v>
      </c>
      <c r="G25">
        <v>348.48</v>
      </c>
      <c r="H25">
        <v>4056.96</v>
      </c>
      <c r="I25">
        <v>4175.5</v>
      </c>
      <c r="J25">
        <v>1.0291999999999999</v>
      </c>
      <c r="K25">
        <v>-118.54</v>
      </c>
      <c r="L25">
        <v>0.84520000000000006</v>
      </c>
      <c r="M25">
        <v>0.89469998530945538</v>
      </c>
      <c r="N25">
        <v>0.98474166666666674</v>
      </c>
      <c r="O25">
        <v>0.74460833333333332</v>
      </c>
      <c r="P25" t="s">
        <v>1628</v>
      </c>
    </row>
    <row r="26" spans="1:16" x14ac:dyDescent="0.35">
      <c r="A26" t="s">
        <v>791</v>
      </c>
      <c r="B26">
        <v>0.88009999999999999</v>
      </c>
      <c r="C26">
        <v>8.2500000000000004E-2</v>
      </c>
      <c r="D26">
        <v>3.78E-2</v>
      </c>
      <c r="E26">
        <v>4800</v>
      </c>
      <c r="F26">
        <v>396</v>
      </c>
      <c r="G26">
        <v>181.44</v>
      </c>
      <c r="H26">
        <v>4222.5600000000004</v>
      </c>
      <c r="I26">
        <v>4175.96</v>
      </c>
      <c r="J26">
        <v>0.98899999999999999</v>
      </c>
      <c r="K26">
        <v>46.6</v>
      </c>
      <c r="L26">
        <v>0.87970000000000004</v>
      </c>
      <c r="M26">
        <v>0.88822301586168029</v>
      </c>
      <c r="N26">
        <v>0.98475000000000001</v>
      </c>
      <c r="O26">
        <v>0.76942500000000003</v>
      </c>
      <c r="P26" t="s">
        <v>1628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61F9D-3363-48C7-9E3A-99E7224E299E}">
  <dimension ref="A1:K31"/>
  <sheetViews>
    <sheetView tabSelected="1" workbookViewId="0">
      <selection activeCell="E11" sqref="E11"/>
    </sheetView>
  </sheetViews>
  <sheetFormatPr defaultRowHeight="14.5" x14ac:dyDescent="0.35"/>
  <cols>
    <col min="1" max="1" width="12.453125" customWidth="1"/>
    <col min="2" max="2" width="15.54296875" customWidth="1"/>
    <col min="3" max="3" width="18.08984375" customWidth="1"/>
    <col min="4" max="4" width="17.7265625" customWidth="1"/>
    <col min="5" max="5" width="21.1796875" customWidth="1"/>
    <col min="6" max="6" width="16.81640625" customWidth="1"/>
    <col min="7" max="7" width="7.26953125" customWidth="1"/>
    <col min="8" max="8" width="20.90625" customWidth="1"/>
    <col min="9" max="9" width="18.6328125" customWidth="1"/>
    <col min="10" max="10" width="20.1796875" customWidth="1"/>
    <col min="11" max="11" width="21.453125" customWidth="1"/>
  </cols>
  <sheetData>
    <row r="1" spans="1:11" x14ac:dyDescent="0.35">
      <c r="A1" t="s">
        <v>1629</v>
      </c>
      <c r="B1" t="s">
        <v>1630</v>
      </c>
      <c r="C1" t="s">
        <v>1631</v>
      </c>
      <c r="D1" t="s">
        <v>513</v>
      </c>
      <c r="E1" t="s">
        <v>514</v>
      </c>
      <c r="F1" t="s">
        <v>515</v>
      </c>
      <c r="G1" t="s">
        <v>313</v>
      </c>
      <c r="H1" t="s">
        <v>516</v>
      </c>
      <c r="I1" t="s">
        <v>517</v>
      </c>
      <c r="J1" t="s">
        <v>518</v>
      </c>
      <c r="K1" t="s">
        <v>519</v>
      </c>
    </row>
    <row r="2" spans="1:11" x14ac:dyDescent="0.35">
      <c r="A2" t="s">
        <v>1251</v>
      </c>
      <c r="B2" t="s">
        <v>1632</v>
      </c>
      <c r="C2" t="s">
        <v>1633</v>
      </c>
      <c r="D2">
        <v>5860</v>
      </c>
      <c r="E2">
        <v>0.87337391594646552</v>
      </c>
      <c r="F2">
        <v>10</v>
      </c>
      <c r="G2">
        <v>3872</v>
      </c>
      <c r="H2">
        <v>2.4680306001966499E-2</v>
      </c>
      <c r="I2">
        <v>0.91241658539950277</v>
      </c>
      <c r="J2">
        <v>4.299423063814066</v>
      </c>
      <c r="K2">
        <v>45</v>
      </c>
    </row>
    <row r="3" spans="1:11" x14ac:dyDescent="0.35">
      <c r="A3" t="s">
        <v>1301</v>
      </c>
      <c r="B3" t="s">
        <v>1634</v>
      </c>
      <c r="C3" t="s">
        <v>1635</v>
      </c>
      <c r="D3">
        <v>16363</v>
      </c>
      <c r="E3">
        <v>0.85714672716877638</v>
      </c>
      <c r="F3">
        <v>5</v>
      </c>
      <c r="G3">
        <v>1785</v>
      </c>
      <c r="H3">
        <v>4.1436400030298104E-3</v>
      </c>
      <c r="I3">
        <v>0.95107982811735547</v>
      </c>
      <c r="J3">
        <v>23.586712307362259</v>
      </c>
      <c r="K3">
        <v>30</v>
      </c>
    </row>
    <row r="4" spans="1:11" x14ac:dyDescent="0.35">
      <c r="A4" t="s">
        <v>1198</v>
      </c>
      <c r="B4" t="s">
        <v>1636</v>
      </c>
      <c r="C4" t="s">
        <v>1633</v>
      </c>
      <c r="D4">
        <v>11420</v>
      </c>
      <c r="E4">
        <v>1.0469926038510871</v>
      </c>
      <c r="F4">
        <v>28</v>
      </c>
      <c r="G4">
        <v>4217</v>
      </c>
      <c r="H4">
        <v>2.2685195983492609E-3</v>
      </c>
      <c r="I4">
        <v>0.85322873950579814</v>
      </c>
      <c r="J4">
        <v>14.06981718594295</v>
      </c>
      <c r="K4">
        <v>30</v>
      </c>
    </row>
    <row r="5" spans="1:11" x14ac:dyDescent="0.35">
      <c r="A5" t="s">
        <v>1195</v>
      </c>
      <c r="B5" t="s">
        <v>1637</v>
      </c>
      <c r="C5" t="s">
        <v>1633</v>
      </c>
      <c r="D5">
        <v>7747</v>
      </c>
      <c r="E5">
        <v>0.94654473731747668</v>
      </c>
      <c r="F5">
        <v>17</v>
      </c>
      <c r="G5">
        <v>3105</v>
      </c>
      <c r="H5">
        <v>9.5876037220176697E-3</v>
      </c>
      <c r="I5">
        <v>0.92199282137790561</v>
      </c>
      <c r="J5">
        <v>15.62553508382698</v>
      </c>
      <c r="K5">
        <v>45</v>
      </c>
    </row>
    <row r="6" spans="1:11" x14ac:dyDescent="0.35">
      <c r="A6" t="s">
        <v>1233</v>
      </c>
      <c r="B6" t="s">
        <v>1638</v>
      </c>
      <c r="C6" t="s">
        <v>1635</v>
      </c>
      <c r="D6">
        <v>13838</v>
      </c>
      <c r="E6">
        <v>0.86820964947491663</v>
      </c>
      <c r="F6">
        <v>9</v>
      </c>
      <c r="G6">
        <v>2535</v>
      </c>
      <c r="H6">
        <v>3.7803666716024413E-2</v>
      </c>
      <c r="I6">
        <v>0.92886035049837545</v>
      </c>
      <c r="J6">
        <v>10.86457955841807</v>
      </c>
      <c r="K6">
        <v>30</v>
      </c>
    </row>
    <row r="7" spans="1:11" x14ac:dyDescent="0.35">
      <c r="A7" t="s">
        <v>1223</v>
      </c>
      <c r="B7" t="s">
        <v>1639</v>
      </c>
      <c r="C7" t="s">
        <v>1633</v>
      </c>
      <c r="D7">
        <v>27619</v>
      </c>
      <c r="E7">
        <v>0.97606099749584052</v>
      </c>
      <c r="F7">
        <v>9</v>
      </c>
      <c r="G7">
        <v>2656</v>
      </c>
      <c r="H7">
        <v>3.3661406645974237E-2</v>
      </c>
      <c r="I7">
        <v>0.87427105149108808</v>
      </c>
      <c r="J7">
        <v>10.99439397418454</v>
      </c>
      <c r="K7">
        <v>30</v>
      </c>
    </row>
    <row r="8" spans="1:11" x14ac:dyDescent="0.35">
      <c r="A8" t="s">
        <v>1328</v>
      </c>
      <c r="B8" t="s">
        <v>1640</v>
      </c>
      <c r="C8" t="s">
        <v>1641</v>
      </c>
      <c r="D8">
        <v>24457</v>
      </c>
      <c r="E8">
        <v>0.97006234979649786</v>
      </c>
      <c r="F8">
        <v>24</v>
      </c>
      <c r="G8">
        <v>3943</v>
      </c>
      <c r="H8">
        <v>9.0244693099700273E-3</v>
      </c>
      <c r="I8">
        <v>0.98574184788703823</v>
      </c>
      <c r="J8">
        <v>19.82805493730563</v>
      </c>
      <c r="K8">
        <v>30</v>
      </c>
    </row>
    <row r="9" spans="1:11" x14ac:dyDescent="0.35">
      <c r="A9" t="s">
        <v>1285</v>
      </c>
      <c r="B9" t="s">
        <v>1642</v>
      </c>
      <c r="C9" t="s">
        <v>1633</v>
      </c>
      <c r="D9">
        <v>5995</v>
      </c>
      <c r="E9">
        <v>1.0391599915244341</v>
      </c>
      <c r="F9">
        <v>18</v>
      </c>
      <c r="G9">
        <v>3442</v>
      </c>
      <c r="H9">
        <v>5.3627150779729411E-3</v>
      </c>
      <c r="I9">
        <v>0.87743760073868027</v>
      </c>
      <c r="J9">
        <v>3.0402276449423762</v>
      </c>
      <c r="K9">
        <v>90</v>
      </c>
    </row>
    <row r="10" spans="1:11" x14ac:dyDescent="0.35">
      <c r="A10" t="s">
        <v>1230</v>
      </c>
      <c r="B10" t="s">
        <v>1643</v>
      </c>
      <c r="C10" t="s">
        <v>1633</v>
      </c>
      <c r="D10">
        <v>13529</v>
      </c>
      <c r="E10">
        <v>1.0158768529556319</v>
      </c>
      <c r="F10">
        <v>26</v>
      </c>
      <c r="G10">
        <v>4093</v>
      </c>
      <c r="H10">
        <v>3.8679701676037237E-2</v>
      </c>
      <c r="I10">
        <v>0.93498479467613582</v>
      </c>
      <c r="J10">
        <v>8.3479811865184974</v>
      </c>
      <c r="K10">
        <v>90</v>
      </c>
    </row>
    <row r="11" spans="1:11" x14ac:dyDescent="0.35">
      <c r="A11" t="s">
        <v>1274</v>
      </c>
      <c r="B11" t="s">
        <v>1644</v>
      </c>
      <c r="C11" t="s">
        <v>1635</v>
      </c>
      <c r="D11">
        <v>21448</v>
      </c>
      <c r="E11">
        <v>0.80625456269647766</v>
      </c>
      <c r="F11">
        <v>11</v>
      </c>
      <c r="G11">
        <v>2127</v>
      </c>
      <c r="H11">
        <v>1.315255063928545E-2</v>
      </c>
      <c r="I11">
        <v>0.85197117518011178</v>
      </c>
      <c r="J11">
        <v>6.5733752940425187</v>
      </c>
      <c r="K11">
        <v>45</v>
      </c>
    </row>
    <row r="12" spans="1:11" x14ac:dyDescent="0.35">
      <c r="A12" t="s">
        <v>1321</v>
      </c>
      <c r="B12" t="s">
        <v>1645</v>
      </c>
      <c r="C12" t="s">
        <v>1641</v>
      </c>
      <c r="D12">
        <v>17666</v>
      </c>
      <c r="E12">
        <v>0.82961786069363619</v>
      </c>
      <c r="F12">
        <v>9</v>
      </c>
      <c r="G12">
        <v>3199</v>
      </c>
      <c r="H12">
        <v>3.4797930183272548E-2</v>
      </c>
      <c r="I12">
        <v>0.93726173775585808</v>
      </c>
      <c r="J12">
        <v>9.6106545716109313</v>
      </c>
      <c r="K12">
        <v>90</v>
      </c>
    </row>
    <row r="13" spans="1:11" x14ac:dyDescent="0.35">
      <c r="A13" t="s">
        <v>1206</v>
      </c>
      <c r="B13" t="s">
        <v>1646</v>
      </c>
      <c r="C13" t="s">
        <v>1641</v>
      </c>
      <c r="D13">
        <v>15965</v>
      </c>
      <c r="E13">
        <v>1.1548850970305311</v>
      </c>
      <c r="F13">
        <v>3</v>
      </c>
      <c r="G13">
        <v>2790</v>
      </c>
      <c r="H13">
        <v>3.0909831847442101E-2</v>
      </c>
      <c r="I13">
        <v>0.92857880765972944</v>
      </c>
      <c r="J13">
        <v>19.732245138954902</v>
      </c>
      <c r="K13">
        <v>45</v>
      </c>
    </row>
    <row r="14" spans="1:11" x14ac:dyDescent="0.35">
      <c r="A14" t="s">
        <v>1347</v>
      </c>
      <c r="B14" t="s">
        <v>1647</v>
      </c>
      <c r="C14" t="s">
        <v>1641</v>
      </c>
      <c r="D14">
        <v>26518</v>
      </c>
      <c r="E14">
        <v>0.84435632832473262</v>
      </c>
      <c r="F14">
        <v>30</v>
      </c>
      <c r="G14">
        <v>1584</v>
      </c>
      <c r="H14">
        <v>9.6653296887450543E-3</v>
      </c>
      <c r="I14">
        <v>0.9754069033942927</v>
      </c>
      <c r="J14">
        <v>12.933515133188569</v>
      </c>
      <c r="K14">
        <v>90</v>
      </c>
    </row>
    <row r="15" spans="1:11" x14ac:dyDescent="0.35">
      <c r="A15" t="s">
        <v>1217</v>
      </c>
      <c r="B15" t="s">
        <v>1648</v>
      </c>
      <c r="C15" t="s">
        <v>1641</v>
      </c>
      <c r="D15">
        <v>23141</v>
      </c>
      <c r="E15">
        <v>0.85573258176235034</v>
      </c>
      <c r="F15">
        <v>9</v>
      </c>
      <c r="G15">
        <v>1778</v>
      </c>
      <c r="H15">
        <v>3.0710943264635849E-2</v>
      </c>
      <c r="I15">
        <v>0.88203174316882715</v>
      </c>
      <c r="J15">
        <v>3.7705379260622389</v>
      </c>
      <c r="K15">
        <v>45</v>
      </c>
    </row>
    <row r="16" spans="1:11" x14ac:dyDescent="0.35">
      <c r="A16" t="s">
        <v>1294</v>
      </c>
      <c r="B16" t="s">
        <v>1649</v>
      </c>
      <c r="C16" t="s">
        <v>1641</v>
      </c>
      <c r="D16">
        <v>27299</v>
      </c>
      <c r="E16">
        <v>1.1718790609370291</v>
      </c>
      <c r="F16">
        <v>15</v>
      </c>
      <c r="G16">
        <v>1697</v>
      </c>
      <c r="H16">
        <v>2.6069342747396088E-2</v>
      </c>
      <c r="I16">
        <v>0.97200448262628047</v>
      </c>
      <c r="J16">
        <v>20.484457768679629</v>
      </c>
      <c r="K16">
        <v>60</v>
      </c>
    </row>
    <row r="17" spans="1:11" x14ac:dyDescent="0.35">
      <c r="A17" t="s">
        <v>1189</v>
      </c>
      <c r="B17" t="s">
        <v>1650</v>
      </c>
      <c r="C17" t="s">
        <v>1633</v>
      </c>
      <c r="D17">
        <v>15173</v>
      </c>
      <c r="E17">
        <v>1.0157368967662599</v>
      </c>
      <c r="F17">
        <v>28</v>
      </c>
      <c r="G17">
        <v>2138</v>
      </c>
      <c r="H17">
        <v>3.6051469397092743E-2</v>
      </c>
      <c r="I17">
        <v>0.89452048649606097</v>
      </c>
      <c r="J17">
        <v>4.5311942641365652</v>
      </c>
      <c r="K17">
        <v>15</v>
      </c>
    </row>
    <row r="18" spans="1:11" x14ac:dyDescent="0.35">
      <c r="A18" t="s">
        <v>1201</v>
      </c>
      <c r="B18" t="s">
        <v>1651</v>
      </c>
      <c r="C18" t="s">
        <v>1641</v>
      </c>
      <c r="D18">
        <v>11776</v>
      </c>
      <c r="E18">
        <v>1.127205906368997</v>
      </c>
      <c r="F18">
        <v>11</v>
      </c>
      <c r="G18">
        <v>1382</v>
      </c>
      <c r="H18">
        <v>2.264180960185247E-3</v>
      </c>
      <c r="I18">
        <v>0.92150462236085917</v>
      </c>
      <c r="J18">
        <v>11.600453072421921</v>
      </c>
      <c r="K18">
        <v>90</v>
      </c>
    </row>
    <row r="19" spans="1:11" x14ac:dyDescent="0.35">
      <c r="A19" t="s">
        <v>1268</v>
      </c>
      <c r="B19" t="s">
        <v>1652</v>
      </c>
      <c r="C19" t="s">
        <v>1641</v>
      </c>
      <c r="D19">
        <v>18545</v>
      </c>
      <c r="E19">
        <v>0.93504606856145123</v>
      </c>
      <c r="F19">
        <v>17</v>
      </c>
      <c r="G19">
        <v>3545</v>
      </c>
      <c r="H19">
        <v>1.0313040343776669E-2</v>
      </c>
      <c r="I19">
        <v>0.92813428028242773</v>
      </c>
      <c r="J19">
        <v>11.28823193433494</v>
      </c>
      <c r="K19">
        <v>15</v>
      </c>
    </row>
    <row r="20" spans="1:11" x14ac:dyDescent="0.35">
      <c r="A20" t="s">
        <v>1192</v>
      </c>
      <c r="B20" t="s">
        <v>1653</v>
      </c>
      <c r="C20" t="s">
        <v>1633</v>
      </c>
      <c r="D20">
        <v>22675</v>
      </c>
      <c r="E20">
        <v>0.90071291833014566</v>
      </c>
      <c r="F20">
        <v>4</v>
      </c>
      <c r="G20">
        <v>1736</v>
      </c>
      <c r="H20">
        <v>1.282393878634377E-2</v>
      </c>
      <c r="I20">
        <v>0.85516417262963462</v>
      </c>
      <c r="J20">
        <v>16.019979681537631</v>
      </c>
      <c r="K20">
        <v>30</v>
      </c>
    </row>
    <row r="21" spans="1:11" x14ac:dyDescent="0.35">
      <c r="A21" t="s">
        <v>1254</v>
      </c>
      <c r="B21" t="s">
        <v>1654</v>
      </c>
      <c r="C21" t="s">
        <v>1633</v>
      </c>
      <c r="D21">
        <v>5854</v>
      </c>
      <c r="E21">
        <v>0.91145858569464455</v>
      </c>
      <c r="F21">
        <v>3</v>
      </c>
      <c r="G21">
        <v>3574</v>
      </c>
      <c r="H21">
        <v>2.7866807159081141E-2</v>
      </c>
      <c r="I21">
        <v>0.92433084166439905</v>
      </c>
      <c r="J21">
        <v>12.299012785181111</v>
      </c>
      <c r="K21">
        <v>60</v>
      </c>
    </row>
    <row r="22" spans="1:11" x14ac:dyDescent="0.35">
      <c r="A22" t="s">
        <v>1220</v>
      </c>
      <c r="B22" t="s">
        <v>1655</v>
      </c>
      <c r="C22" t="s">
        <v>1633</v>
      </c>
      <c r="D22">
        <v>16447</v>
      </c>
      <c r="E22">
        <v>0.89505501759695993</v>
      </c>
      <c r="F22">
        <v>8</v>
      </c>
      <c r="G22">
        <v>2427</v>
      </c>
      <c r="H22">
        <v>1.9871424108949459E-2</v>
      </c>
      <c r="I22">
        <v>0.98767923972527805</v>
      </c>
      <c r="J22">
        <v>11.17296217622472</v>
      </c>
      <c r="K22">
        <v>15</v>
      </c>
    </row>
    <row r="23" spans="1:11" x14ac:dyDescent="0.35">
      <c r="A23" t="s">
        <v>1277</v>
      </c>
      <c r="B23" t="s">
        <v>1656</v>
      </c>
      <c r="C23" t="s">
        <v>1633</v>
      </c>
      <c r="D23">
        <v>25666</v>
      </c>
      <c r="E23">
        <v>0.87460740415994176</v>
      </c>
      <c r="F23">
        <v>5</v>
      </c>
      <c r="G23">
        <v>759</v>
      </c>
      <c r="H23">
        <v>1.4386438397671619E-2</v>
      </c>
      <c r="I23">
        <v>0.88083374665917669</v>
      </c>
      <c r="J23">
        <v>18.356439246074409</v>
      </c>
      <c r="K23">
        <v>45</v>
      </c>
    </row>
    <row r="24" spans="1:11" x14ac:dyDescent="0.35">
      <c r="A24" t="s">
        <v>1261</v>
      </c>
      <c r="B24" t="s">
        <v>1657</v>
      </c>
      <c r="C24" t="s">
        <v>1633</v>
      </c>
      <c r="D24">
        <v>6734</v>
      </c>
      <c r="E24">
        <v>0.86974657160199664</v>
      </c>
      <c r="F24">
        <v>3</v>
      </c>
      <c r="G24">
        <v>2059</v>
      </c>
      <c r="H24">
        <v>1.6695943159420419E-2</v>
      </c>
      <c r="I24">
        <v>0.98114219842314276</v>
      </c>
      <c r="J24">
        <v>5.1629817153578443</v>
      </c>
      <c r="K24">
        <v>60</v>
      </c>
    </row>
    <row r="25" spans="1:11" x14ac:dyDescent="0.35">
      <c r="A25" t="s">
        <v>1236</v>
      </c>
      <c r="B25" t="s">
        <v>1658</v>
      </c>
      <c r="C25" t="s">
        <v>1641</v>
      </c>
      <c r="D25">
        <v>19257</v>
      </c>
      <c r="E25">
        <v>1.1698774473114251</v>
      </c>
      <c r="F25">
        <v>12</v>
      </c>
      <c r="G25">
        <v>362</v>
      </c>
      <c r="H25">
        <v>2.70793937492988E-2</v>
      </c>
      <c r="I25">
        <v>0.96441110802817021</v>
      </c>
      <c r="J25">
        <v>14.769618666787631</v>
      </c>
      <c r="K25">
        <v>60</v>
      </c>
    </row>
    <row r="26" spans="1:11" x14ac:dyDescent="0.35">
      <c r="A26" t="s">
        <v>1271</v>
      </c>
      <c r="B26" t="s">
        <v>1659</v>
      </c>
      <c r="C26" t="s">
        <v>1633</v>
      </c>
      <c r="D26">
        <v>10423</v>
      </c>
      <c r="E26">
        <v>1.186167740515518</v>
      </c>
      <c r="F26">
        <v>7</v>
      </c>
      <c r="G26">
        <v>3208</v>
      </c>
      <c r="H26">
        <v>3.5540181041194913E-2</v>
      </c>
      <c r="I26">
        <v>0.87641899516779309</v>
      </c>
      <c r="J26">
        <v>8.4140411096201824</v>
      </c>
      <c r="K26">
        <v>45</v>
      </c>
    </row>
    <row r="27" spans="1:11" x14ac:dyDescent="0.35">
      <c r="A27" t="s">
        <v>1280</v>
      </c>
      <c r="B27" t="s">
        <v>1660</v>
      </c>
      <c r="C27" t="s">
        <v>1641</v>
      </c>
      <c r="D27">
        <v>6154</v>
      </c>
      <c r="E27">
        <v>1.1425297167512369</v>
      </c>
      <c r="F27">
        <v>24</v>
      </c>
      <c r="G27">
        <v>3291</v>
      </c>
      <c r="H27">
        <v>3.5735263752916482E-2</v>
      </c>
      <c r="I27">
        <v>0.96912998282745177</v>
      </c>
      <c r="J27">
        <v>23.519604867081789</v>
      </c>
      <c r="K27">
        <v>60</v>
      </c>
    </row>
    <row r="28" spans="1:11" x14ac:dyDescent="0.35">
      <c r="A28" t="s">
        <v>1304</v>
      </c>
      <c r="B28" t="s">
        <v>1661</v>
      </c>
      <c r="C28" t="s">
        <v>1635</v>
      </c>
      <c r="D28">
        <v>29829</v>
      </c>
      <c r="E28">
        <v>0.80367882064665186</v>
      </c>
      <c r="F28">
        <v>27</v>
      </c>
      <c r="G28">
        <v>198</v>
      </c>
      <c r="H28">
        <v>3.8999225796702057E-2</v>
      </c>
      <c r="I28">
        <v>0.88974893646324515</v>
      </c>
      <c r="J28">
        <v>9.0233687879210489</v>
      </c>
      <c r="K28">
        <v>30</v>
      </c>
    </row>
    <row r="29" spans="1:11" x14ac:dyDescent="0.35">
      <c r="A29" t="s">
        <v>1209</v>
      </c>
      <c r="B29" t="s">
        <v>1662</v>
      </c>
      <c r="C29" t="s">
        <v>1641</v>
      </c>
      <c r="D29">
        <v>22340</v>
      </c>
      <c r="E29">
        <v>0.88970772378422391</v>
      </c>
      <c r="F29">
        <v>3</v>
      </c>
      <c r="G29">
        <v>4593</v>
      </c>
      <c r="H29">
        <v>1.436518853005217E-2</v>
      </c>
      <c r="I29">
        <v>0.95450879671652333</v>
      </c>
      <c r="J29">
        <v>16.941556678085941</v>
      </c>
      <c r="K29">
        <v>45</v>
      </c>
    </row>
    <row r="30" spans="1:11" x14ac:dyDescent="0.35">
      <c r="A30" t="s">
        <v>1186</v>
      </c>
      <c r="B30" t="s">
        <v>1663</v>
      </c>
      <c r="C30" t="s">
        <v>1641</v>
      </c>
      <c r="D30">
        <v>16296</v>
      </c>
      <c r="E30">
        <v>1.01701609222196</v>
      </c>
      <c r="F30">
        <v>29</v>
      </c>
      <c r="G30">
        <v>4665</v>
      </c>
      <c r="H30">
        <v>1.2077689971905571E-2</v>
      </c>
      <c r="I30">
        <v>0.88415855007307165</v>
      </c>
      <c r="J30">
        <v>24.379242759306251</v>
      </c>
      <c r="K30">
        <v>90</v>
      </c>
    </row>
    <row r="31" spans="1:11" x14ac:dyDescent="0.35">
      <c r="A31" t="s">
        <v>1212</v>
      </c>
      <c r="B31" t="s">
        <v>1664</v>
      </c>
      <c r="C31" t="s">
        <v>1641</v>
      </c>
      <c r="D31">
        <v>10895</v>
      </c>
      <c r="E31">
        <v>1.052455450398905</v>
      </c>
      <c r="F31">
        <v>4</v>
      </c>
      <c r="G31">
        <v>4993</v>
      </c>
      <c r="H31">
        <v>2.6513927757161469E-2</v>
      </c>
      <c r="I31">
        <v>0.94364936835283397</v>
      </c>
      <c r="J31">
        <v>21.87585399665377</v>
      </c>
      <c r="K31">
        <v>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195EF-2BC1-4B2B-88A0-861CE284B210}">
  <dimension ref="A1:E26"/>
  <sheetViews>
    <sheetView workbookViewId="0">
      <selection activeCell="B1" sqref="B1"/>
    </sheetView>
  </sheetViews>
  <sheetFormatPr defaultRowHeight="14.5" x14ac:dyDescent="0.35"/>
  <cols>
    <col min="1" max="1" width="12.81640625" customWidth="1"/>
    <col min="2" max="2" width="19.6328125" customWidth="1"/>
    <col min="3" max="3" width="21.36328125" customWidth="1"/>
    <col min="4" max="4" width="16.54296875" customWidth="1"/>
    <col min="5" max="5" width="13.90625" customWidth="1"/>
  </cols>
  <sheetData>
    <row r="1" spans="1:5" x14ac:dyDescent="0.35">
      <c r="A1" t="s">
        <v>1614</v>
      </c>
      <c r="B1" t="s">
        <v>1623</v>
      </c>
      <c r="C1" t="s">
        <v>1624</v>
      </c>
      <c r="D1" t="s">
        <v>1625</v>
      </c>
      <c r="E1" t="s">
        <v>1626</v>
      </c>
    </row>
    <row r="2" spans="1:5" x14ac:dyDescent="0.35">
      <c r="A2" t="s">
        <v>601</v>
      </c>
      <c r="B2">
        <v>0.86570000000000003</v>
      </c>
      <c r="C2">
        <v>0.89089217137775656</v>
      </c>
      <c r="D2">
        <v>0.98706315789473686</v>
      </c>
      <c r="E2">
        <v>0.76129473684210536</v>
      </c>
    </row>
    <row r="3" spans="1:5" x14ac:dyDescent="0.35">
      <c r="A3" t="s">
        <v>559</v>
      </c>
      <c r="B3">
        <v>0.8367</v>
      </c>
      <c r="C3">
        <v>0.89980774396695107</v>
      </c>
      <c r="D3">
        <v>0.98745625000000004</v>
      </c>
      <c r="E3">
        <v>0.74339374999999996</v>
      </c>
    </row>
    <row r="4" spans="1:5" x14ac:dyDescent="0.35">
      <c r="A4" t="s">
        <v>677</v>
      </c>
      <c r="B4">
        <v>0.86950000000000005</v>
      </c>
      <c r="C4">
        <v>0.8817486767024032</v>
      </c>
      <c r="D4">
        <v>0.98556428571428578</v>
      </c>
      <c r="E4">
        <v>0.75560714285714281</v>
      </c>
    </row>
    <row r="5" spans="1:5" x14ac:dyDescent="0.35">
      <c r="A5" t="s">
        <v>590</v>
      </c>
      <c r="B5">
        <v>0.8498</v>
      </c>
      <c r="C5">
        <v>0.89109387201807644</v>
      </c>
      <c r="D5">
        <v>0.98591428571428574</v>
      </c>
      <c r="E5">
        <v>0.7465857142857143</v>
      </c>
    </row>
    <row r="6" spans="1:5" x14ac:dyDescent="0.35">
      <c r="A6" t="s">
        <v>622</v>
      </c>
      <c r="B6">
        <v>0.8538</v>
      </c>
      <c r="C6">
        <v>0.88083076374703684</v>
      </c>
      <c r="D6">
        <v>0.98434374999999996</v>
      </c>
      <c r="E6">
        <v>0.74024999999999996</v>
      </c>
    </row>
    <row r="7" spans="1:5" x14ac:dyDescent="0.35">
      <c r="A7" t="s">
        <v>649</v>
      </c>
      <c r="B7">
        <v>0.84340000000000004</v>
      </c>
      <c r="C7">
        <v>0.8991497732893835</v>
      </c>
      <c r="D7">
        <v>0.98716538461538461</v>
      </c>
      <c r="E7">
        <v>0.74857307692307695</v>
      </c>
    </row>
    <row r="8" spans="1:5" x14ac:dyDescent="0.35">
      <c r="A8" t="s">
        <v>625</v>
      </c>
      <c r="B8">
        <v>0.88009999999999988</v>
      </c>
      <c r="C8">
        <v>0.89206090414643291</v>
      </c>
      <c r="D8">
        <v>0.98529</v>
      </c>
      <c r="E8">
        <v>0.77354000000000001</v>
      </c>
    </row>
    <row r="9" spans="1:5" x14ac:dyDescent="0.35">
      <c r="A9" t="s">
        <v>567</v>
      </c>
      <c r="B9">
        <v>0.90760000000000007</v>
      </c>
      <c r="C9">
        <v>0.9166898758615778</v>
      </c>
      <c r="D9">
        <v>0.98773</v>
      </c>
      <c r="E9">
        <v>0.82190999999999992</v>
      </c>
    </row>
    <row r="10" spans="1:5" x14ac:dyDescent="0.35">
      <c r="A10" t="s">
        <v>570</v>
      </c>
      <c r="B10">
        <v>0.87450000000000006</v>
      </c>
      <c r="C10">
        <v>0.89300765311969543</v>
      </c>
      <c r="D10">
        <v>0.97657142857142865</v>
      </c>
      <c r="E10">
        <v>0.76257142857142857</v>
      </c>
    </row>
    <row r="11" spans="1:5" x14ac:dyDescent="0.35">
      <c r="A11" t="s">
        <v>629</v>
      </c>
      <c r="B11">
        <v>0.88049999999999995</v>
      </c>
      <c r="C11">
        <v>0.86753620851291013</v>
      </c>
      <c r="D11">
        <v>0.98867499999999997</v>
      </c>
      <c r="E11">
        <v>0.7552875</v>
      </c>
    </row>
    <row r="12" spans="1:5" x14ac:dyDescent="0.35">
      <c r="A12" t="s">
        <v>593</v>
      </c>
      <c r="B12">
        <v>0.87629999999999997</v>
      </c>
      <c r="C12">
        <v>0.89317047730870047</v>
      </c>
      <c r="D12">
        <v>0.98323333333333329</v>
      </c>
      <c r="E12">
        <v>0.769675</v>
      </c>
    </row>
    <row r="13" spans="1:5" x14ac:dyDescent="0.35">
      <c r="A13" t="s">
        <v>791</v>
      </c>
      <c r="B13">
        <v>0.87970000000000004</v>
      </c>
      <c r="C13">
        <v>0.88822301586168029</v>
      </c>
      <c r="D13">
        <v>0.98475000000000001</v>
      </c>
      <c r="E13">
        <v>0.76942500000000003</v>
      </c>
    </row>
    <row r="14" spans="1:5" x14ac:dyDescent="0.35">
      <c r="A14" t="s">
        <v>578</v>
      </c>
      <c r="B14">
        <v>0.86430000000000007</v>
      </c>
      <c r="C14">
        <v>0.91872262497044033</v>
      </c>
      <c r="D14">
        <v>0.98392500000000005</v>
      </c>
      <c r="E14">
        <v>0.78113750000000004</v>
      </c>
    </row>
    <row r="15" spans="1:5" x14ac:dyDescent="0.35">
      <c r="A15" t="s">
        <v>552</v>
      </c>
      <c r="B15">
        <v>0.85919999999999985</v>
      </c>
      <c r="C15">
        <v>0.8875433512402825</v>
      </c>
      <c r="D15">
        <v>0.98893000000000009</v>
      </c>
      <c r="E15">
        <v>0.75417000000000001</v>
      </c>
    </row>
    <row r="16" spans="1:5" x14ac:dyDescent="0.35">
      <c r="A16" t="s">
        <v>735</v>
      </c>
      <c r="B16">
        <v>0.87180000000000002</v>
      </c>
      <c r="C16">
        <v>0.90764077584886371</v>
      </c>
      <c r="D16">
        <v>0.98881999999999992</v>
      </c>
      <c r="E16">
        <v>0.78240999999999994</v>
      </c>
    </row>
    <row r="17" spans="1:5" x14ac:dyDescent="0.35">
      <c r="A17" t="s">
        <v>596</v>
      </c>
      <c r="B17">
        <v>0.87060000000000004</v>
      </c>
      <c r="C17">
        <v>0.90652802331517679</v>
      </c>
      <c r="D17">
        <v>0.98451818181818185</v>
      </c>
      <c r="E17">
        <v>0.77689999999999992</v>
      </c>
    </row>
    <row r="18" spans="1:5" x14ac:dyDescent="0.35">
      <c r="A18" t="s">
        <v>614</v>
      </c>
      <c r="B18">
        <v>0.86540000000000006</v>
      </c>
      <c r="C18">
        <v>0.89278291185441983</v>
      </c>
      <c r="D18">
        <v>0.98783750000000003</v>
      </c>
      <c r="E18">
        <v>0.76323750000000001</v>
      </c>
    </row>
    <row r="19" spans="1:5" x14ac:dyDescent="0.35">
      <c r="A19" t="s">
        <v>632</v>
      </c>
      <c r="B19">
        <v>0.86359999999999992</v>
      </c>
      <c r="C19">
        <v>0.90476883259191621</v>
      </c>
      <c r="D19">
        <v>0.97787500000000005</v>
      </c>
      <c r="E19">
        <v>0.76407500000000006</v>
      </c>
    </row>
    <row r="20" spans="1:5" x14ac:dyDescent="0.35">
      <c r="A20" t="s">
        <v>784</v>
      </c>
      <c r="B20">
        <v>0.84520000000000006</v>
      </c>
      <c r="C20">
        <v>0.89469998530945538</v>
      </c>
      <c r="D20">
        <v>0.98474166666666674</v>
      </c>
      <c r="E20">
        <v>0.74460833333333332</v>
      </c>
    </row>
    <row r="21" spans="1:5" x14ac:dyDescent="0.35">
      <c r="A21" t="s">
        <v>563</v>
      </c>
      <c r="B21">
        <v>0.83379999999999999</v>
      </c>
      <c r="C21">
        <v>0.91335562903257284</v>
      </c>
      <c r="D21">
        <v>0.98713076923076915</v>
      </c>
      <c r="E21">
        <v>0.75172307692307683</v>
      </c>
    </row>
    <row r="22" spans="1:5" x14ac:dyDescent="0.35">
      <c r="A22" t="s">
        <v>656</v>
      </c>
      <c r="B22">
        <v>0.85910000000000009</v>
      </c>
      <c r="C22">
        <v>0.88969479255789707</v>
      </c>
      <c r="D22">
        <v>0.98740000000000006</v>
      </c>
      <c r="E22">
        <v>0.75476428571428567</v>
      </c>
    </row>
    <row r="23" spans="1:5" x14ac:dyDescent="0.35">
      <c r="A23" t="s">
        <v>609</v>
      </c>
      <c r="B23">
        <v>0.91039999999999999</v>
      </c>
      <c r="C23">
        <v>0.9075473060897401</v>
      </c>
      <c r="D23">
        <v>0.98617999999999995</v>
      </c>
      <c r="E23">
        <v>0.81477333333333335</v>
      </c>
    </row>
    <row r="24" spans="1:5" x14ac:dyDescent="0.35">
      <c r="A24" t="s">
        <v>617</v>
      </c>
      <c r="B24">
        <v>0.9052</v>
      </c>
      <c r="C24">
        <v>0.90983513132067551</v>
      </c>
      <c r="D24">
        <v>0.98988750000000003</v>
      </c>
      <c r="E24">
        <v>0.81530000000000002</v>
      </c>
    </row>
    <row r="25" spans="1:5" x14ac:dyDescent="0.35">
      <c r="A25" t="s">
        <v>587</v>
      </c>
      <c r="B25">
        <v>0.87459999999999993</v>
      </c>
      <c r="C25">
        <v>0.89128855910433435</v>
      </c>
      <c r="D25">
        <v>0.9866666666666668</v>
      </c>
      <c r="E25">
        <v>0.76913333333333334</v>
      </c>
    </row>
    <row r="26" spans="1:5" x14ac:dyDescent="0.35">
      <c r="A26" t="s">
        <v>714</v>
      </c>
      <c r="B26">
        <v>0.89029999999999987</v>
      </c>
      <c r="C26">
        <v>0.9006266334000087</v>
      </c>
      <c r="D26">
        <v>0.99015714285714285</v>
      </c>
      <c r="E26">
        <v>0.79405714285714279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953E2-FA3A-468D-9F3F-75037A58FADF}">
  <dimension ref="A1:B7"/>
  <sheetViews>
    <sheetView workbookViewId="0">
      <selection activeCell="B11" sqref="B11"/>
    </sheetView>
  </sheetViews>
  <sheetFormatPr defaultRowHeight="14.5" x14ac:dyDescent="0.35"/>
  <cols>
    <col min="1" max="1" width="29.54296875" bestFit="1" customWidth="1"/>
  </cols>
  <sheetData>
    <row r="1" spans="1:2" x14ac:dyDescent="0.35">
      <c r="A1" t="s">
        <v>1665</v>
      </c>
      <c r="B1" t="s">
        <v>1666</v>
      </c>
    </row>
    <row r="2" spans="1:2" x14ac:dyDescent="0.35">
      <c r="A2" t="s">
        <v>1667</v>
      </c>
      <c r="B2">
        <v>30</v>
      </c>
    </row>
    <row r="3" spans="1:2" x14ac:dyDescent="0.35">
      <c r="A3" t="s">
        <v>1668</v>
      </c>
      <c r="B3">
        <v>132480</v>
      </c>
    </row>
    <row r="4" spans="1:2" x14ac:dyDescent="0.35">
      <c r="A4" t="s">
        <v>1669</v>
      </c>
      <c r="B4">
        <v>121282.7326</v>
      </c>
    </row>
    <row r="5" spans="1:2" x14ac:dyDescent="0.35">
      <c r="A5" t="s">
        <v>1670</v>
      </c>
      <c r="B5">
        <v>91.547956370772951</v>
      </c>
    </row>
    <row r="6" spans="1:2" x14ac:dyDescent="0.35">
      <c r="A6" t="s">
        <v>1671</v>
      </c>
      <c r="B6">
        <v>11197.267400000001</v>
      </c>
    </row>
    <row r="7" spans="1:2" x14ac:dyDescent="0.35">
      <c r="A7" t="s">
        <v>1672</v>
      </c>
      <c r="B7">
        <v>4800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8E656-5561-40E9-947B-E789E11A54E6}">
  <dimension ref="A1:V520"/>
  <sheetViews>
    <sheetView topLeftCell="R1" zoomScale="90" zoomScaleNormal="90" workbookViewId="0">
      <selection activeCell="L2" sqref="L2"/>
    </sheetView>
  </sheetViews>
  <sheetFormatPr defaultRowHeight="14.5" x14ac:dyDescent="0.35"/>
  <cols>
    <col min="1" max="1" width="13.7265625" bestFit="1" customWidth="1"/>
    <col min="2" max="2" width="17" bestFit="1" customWidth="1"/>
    <col min="3" max="3" width="14" bestFit="1" customWidth="1"/>
    <col min="4" max="4" width="8.36328125" bestFit="1" customWidth="1"/>
    <col min="5" max="5" width="13.1796875" bestFit="1" customWidth="1"/>
    <col min="6" max="6" width="8.90625" bestFit="1" customWidth="1"/>
    <col min="7" max="7" width="16.26953125" bestFit="1" customWidth="1"/>
    <col min="8" max="8" width="20.36328125" bestFit="1" customWidth="1"/>
    <col min="9" max="9" width="16.1796875" bestFit="1" customWidth="1"/>
    <col min="10" max="10" width="15.1796875" bestFit="1" customWidth="1"/>
    <col min="11" max="11" width="17.7265625" bestFit="1" customWidth="1"/>
    <col min="12" max="12" width="22.453125" bestFit="1" customWidth="1"/>
    <col min="14" max="14" width="20.1796875" bestFit="1" customWidth="1"/>
    <col min="15" max="15" width="16.54296875" customWidth="1"/>
    <col min="16" max="16" width="4" customWidth="1"/>
    <col min="17" max="17" width="24.6328125" bestFit="1" customWidth="1"/>
    <col min="18" max="18" width="13.1796875" bestFit="1" customWidth="1"/>
    <col min="19" max="19" width="17.90625" bestFit="1" customWidth="1"/>
    <col min="20" max="20" width="6" customWidth="1"/>
  </cols>
  <sheetData>
    <row r="1" spans="1:22" x14ac:dyDescent="0.35">
      <c r="A1" s="7" t="s">
        <v>492</v>
      </c>
      <c r="B1" s="7" t="s">
        <v>493</v>
      </c>
      <c r="C1" s="7" t="s">
        <v>494</v>
      </c>
      <c r="D1" s="7" t="s">
        <v>495</v>
      </c>
      <c r="E1" s="7" t="s">
        <v>497</v>
      </c>
      <c r="F1" s="7" t="s">
        <v>93</v>
      </c>
      <c r="G1" s="7" t="s">
        <v>498</v>
      </c>
      <c r="H1" s="7" t="s">
        <v>499</v>
      </c>
      <c r="I1" s="7" t="s">
        <v>500</v>
      </c>
      <c r="J1" s="7" t="s">
        <v>533</v>
      </c>
      <c r="K1" s="7" t="s">
        <v>535</v>
      </c>
      <c r="L1" s="7" t="s">
        <v>1673</v>
      </c>
    </row>
    <row r="2" spans="1:22" x14ac:dyDescent="0.35">
      <c r="A2" s="8" t="str">
        <f>tblComponents[Component_ID]</f>
        <v>C001</v>
      </c>
      <c r="B2" s="8" t="str">
        <f>tblComponents[Component_Name]</f>
        <v>Component 001</v>
      </c>
      <c r="C2" t="str">
        <f>tblComponents[Product_Family]</f>
        <v>Powertrain</v>
      </c>
      <c r="D2" t="str">
        <f>tblComponents[Category]</f>
        <v>Electrical</v>
      </c>
      <c r="E2" t="str">
        <f>tblComponents[Sourcing_Type]</f>
        <v>Make</v>
      </c>
      <c r="F2" t="str">
        <f>tblComponents[Criticality]</f>
        <v>Medium</v>
      </c>
      <c r="G2">
        <f>tblComponents[Monthly_Demand]</f>
        <v>557</v>
      </c>
      <c r="H2">
        <f>tblComponents[Demand_Growth_Rate]</f>
        <v>0.1788034319066201</v>
      </c>
      <c r="I2">
        <f>tblComponents[Forecast_Demand]</f>
        <v>657</v>
      </c>
      <c r="J2">
        <f>tblComponents[Annual_Demand]</f>
        <v>5924</v>
      </c>
      <c r="K2">
        <f>tblComponents[Demand_Variability]</f>
        <v>0.17249999999999999</v>
      </c>
      <c r="L2">
        <f>I2-G2</f>
        <v>100</v>
      </c>
      <c r="N2" s="7" t="s">
        <v>1679</v>
      </c>
      <c r="O2" s="7" t="s">
        <v>1666</v>
      </c>
      <c r="Q2" s="1" t="s">
        <v>1680</v>
      </c>
      <c r="U2" t="s">
        <v>1686</v>
      </c>
      <c r="V2" s="1" t="s">
        <v>1687</v>
      </c>
    </row>
    <row r="3" spans="1:22" x14ac:dyDescent="0.35">
      <c r="A3" s="8" t="str">
        <f>tblComponents[Component_ID]</f>
        <v>C002</v>
      </c>
      <c r="B3" s="8" t="str">
        <f>tblComponents[Component_Name]</f>
        <v>Component 002</v>
      </c>
      <c r="C3" t="str">
        <f>tblComponents[Product_Family]</f>
        <v>Chassis</v>
      </c>
      <c r="D3" t="str">
        <f>tblComponents[Category]</f>
        <v>Metal</v>
      </c>
      <c r="E3" t="str">
        <f>tblComponents[Sourcing_Type]</f>
        <v>Make</v>
      </c>
      <c r="F3" t="str">
        <f>tblComponents[Criticality]</f>
        <v>Low</v>
      </c>
      <c r="G3">
        <f>tblComponents[Monthly_Demand]</f>
        <v>688</v>
      </c>
      <c r="H3">
        <f>tblComponents[Demand_Growth_Rate]</f>
        <v>0.13447422917394211</v>
      </c>
      <c r="I3">
        <f>tblComponents[Forecast_Demand]</f>
        <v>781</v>
      </c>
      <c r="J3">
        <f>tblComponents[Annual_Demand]</f>
        <v>45830</v>
      </c>
      <c r="K3">
        <f>tblComponents[Demand_Variability]</f>
        <v>0.24590000000000001</v>
      </c>
      <c r="L3">
        <f t="shared" ref="L3:L66" si="0">I3-G3</f>
        <v>93</v>
      </c>
      <c r="N3" t="s">
        <v>472</v>
      </c>
      <c r="O3">
        <f>COUNTA(tblComponents[Component_ID])</f>
        <v>500</v>
      </c>
      <c r="Q3" s="10" t="s">
        <v>90</v>
      </c>
      <c r="R3" s="11" t="s">
        <v>1677</v>
      </c>
      <c r="S3" s="11" t="s">
        <v>104</v>
      </c>
    </row>
    <row r="4" spans="1:22" x14ac:dyDescent="0.35">
      <c r="A4" s="8" t="str">
        <f>tblComponents[Component_ID]</f>
        <v>C003</v>
      </c>
      <c r="B4" s="8" t="str">
        <f>tblComponents[Component_Name]</f>
        <v>Component 003</v>
      </c>
      <c r="C4" t="str">
        <f>tblComponents[Product_Family]</f>
        <v>Electrical Systems</v>
      </c>
      <c r="D4" t="str">
        <f>tblComponents[Category]</f>
        <v>Metal</v>
      </c>
      <c r="E4" t="str">
        <f>tblComponents[Sourcing_Type]</f>
        <v>Make</v>
      </c>
      <c r="F4" t="str">
        <f>tblComponents[Criticality]</f>
        <v>Medium</v>
      </c>
      <c r="G4">
        <f>tblComponents[Monthly_Demand]</f>
        <v>284</v>
      </c>
      <c r="H4">
        <f>tblComponents[Demand_Growth_Rate]</f>
        <v>3.5469916679100391E-2</v>
      </c>
      <c r="I4">
        <f>tblComponents[Forecast_Demand]</f>
        <v>294</v>
      </c>
      <c r="J4">
        <f>tblComponents[Annual_Demand]</f>
        <v>77893</v>
      </c>
      <c r="K4">
        <f>tblComponents[Demand_Variability]</f>
        <v>0.14280000000000001</v>
      </c>
      <c r="L4">
        <f t="shared" si="0"/>
        <v>10</v>
      </c>
      <c r="N4" t="s">
        <v>1674</v>
      </c>
      <c r="O4">
        <f>SUM(tblComponents[Monthly_Demand])</f>
        <v>505526</v>
      </c>
      <c r="Q4" s="7" t="s">
        <v>123</v>
      </c>
      <c r="R4" s="11">
        <f>COUNTIF(tblComponents[Sourcing_Type],"Make")</f>
        <v>300</v>
      </c>
      <c r="S4" s="11">
        <f>SUMIF(tblComponents[Sourcing_Type],"Make",tblComponents[Forecast_Demand])</f>
        <v>312250</v>
      </c>
    </row>
    <row r="5" spans="1:22" x14ac:dyDescent="0.35">
      <c r="A5" s="8" t="str">
        <f>tblComponents[Component_ID]</f>
        <v>C004</v>
      </c>
      <c r="B5" s="8" t="str">
        <f>tblComponents[Component_Name]</f>
        <v>Component 004</v>
      </c>
      <c r="C5" t="str">
        <f>tblComponents[Product_Family]</f>
        <v>Powertrain</v>
      </c>
      <c r="D5" t="str">
        <f>tblComponents[Category]</f>
        <v>Metal</v>
      </c>
      <c r="E5" t="str">
        <f>tblComponents[Sourcing_Type]</f>
        <v>Make</v>
      </c>
      <c r="F5" t="str">
        <f>tblComponents[Criticality]</f>
        <v>High</v>
      </c>
      <c r="G5">
        <f>tblComponents[Monthly_Demand]</f>
        <v>1473</v>
      </c>
      <c r="H5">
        <f>tblComponents[Demand_Growth_Rate]</f>
        <v>7.2903968779208086E-2</v>
      </c>
      <c r="I5">
        <f>tblComponents[Forecast_Demand]</f>
        <v>1580</v>
      </c>
      <c r="J5">
        <f>tblComponents[Annual_Demand]</f>
        <v>18650</v>
      </c>
      <c r="K5">
        <f>tblComponents[Demand_Variability]</f>
        <v>0.14069999999999999</v>
      </c>
      <c r="L5">
        <f t="shared" si="0"/>
        <v>107</v>
      </c>
      <c r="N5" t="s">
        <v>1675</v>
      </c>
      <c r="O5">
        <f>SUM(tblComponents[Forecast_Demand])</f>
        <v>544289</v>
      </c>
      <c r="Q5" s="7" t="s">
        <v>290</v>
      </c>
      <c r="R5" s="11">
        <f>COUNTIF(tblComponents[Sourcing_Type],"Buy")</f>
        <v>200</v>
      </c>
      <c r="S5" s="11">
        <f>SUMIF(tblComponents[Sourcing_Type],"Buy",tblComponents[Forecast_Demand])</f>
        <v>232039</v>
      </c>
    </row>
    <row r="6" spans="1:22" x14ac:dyDescent="0.35">
      <c r="A6" s="8" t="str">
        <f>tblComponents[Component_ID]</f>
        <v>C005</v>
      </c>
      <c r="B6" s="8" t="str">
        <f>tblComponents[Component_Name]</f>
        <v>Component 005</v>
      </c>
      <c r="C6" t="str">
        <f>tblComponents[Product_Family]</f>
        <v>Powertrain</v>
      </c>
      <c r="D6" t="str">
        <f>tblComponents[Category]</f>
        <v>Metal</v>
      </c>
      <c r="E6" t="str">
        <f>tblComponents[Sourcing_Type]</f>
        <v>Make</v>
      </c>
      <c r="F6" t="str">
        <f>tblComponents[Criticality]</f>
        <v>Medium</v>
      </c>
      <c r="G6">
        <f>tblComponents[Monthly_Demand]</f>
        <v>1301</v>
      </c>
      <c r="H6">
        <f>tblComponents[Demand_Growth_Rate]</f>
        <v>1.5223405835428489E-2</v>
      </c>
      <c r="I6">
        <f>tblComponents[Forecast_Demand]</f>
        <v>1321</v>
      </c>
      <c r="J6">
        <f>tblComponents[Annual_Demand]</f>
        <v>15691</v>
      </c>
      <c r="K6">
        <f>tblComponents[Demand_Variability]</f>
        <v>0.13850000000000001</v>
      </c>
      <c r="L6">
        <f t="shared" si="0"/>
        <v>20</v>
      </c>
      <c r="N6" t="s">
        <v>1676</v>
      </c>
      <c r="O6">
        <f>SUM(tblComponents[Annual_Demand])</f>
        <v>21082951</v>
      </c>
      <c r="Q6" s="7" t="s">
        <v>1678</v>
      </c>
      <c r="R6" s="11">
        <f>COUNTA(tblComponents[Component_ID])</f>
        <v>500</v>
      </c>
      <c r="S6" s="11">
        <f>SUM(tblComponents[Forecast_Demand])</f>
        <v>544289</v>
      </c>
    </row>
    <row r="7" spans="1:22" x14ac:dyDescent="0.35">
      <c r="A7" s="8" t="str">
        <f>tblComponents[Component_ID]</f>
        <v>C006</v>
      </c>
      <c r="B7" s="8" t="str">
        <f>tblComponents[Component_Name]</f>
        <v>Component 006</v>
      </c>
      <c r="C7" t="str">
        <f>tblComponents[Product_Family]</f>
        <v>Interior</v>
      </c>
      <c r="D7" t="str">
        <f>tblComponents[Category]</f>
        <v>Metal</v>
      </c>
      <c r="E7" t="str">
        <f>tblComponents[Sourcing_Type]</f>
        <v>Make</v>
      </c>
      <c r="F7" t="str">
        <f>tblComponents[Criticality]</f>
        <v>Medium</v>
      </c>
      <c r="G7">
        <f>tblComponents[Monthly_Demand]</f>
        <v>835</v>
      </c>
      <c r="H7">
        <f>tblComponents[Demand_Growth_Rate]</f>
        <v>0.1106048195515789</v>
      </c>
      <c r="I7">
        <f>tblComponents[Forecast_Demand]</f>
        <v>927</v>
      </c>
      <c r="J7">
        <f>tblComponents[Annual_Demand]</f>
        <v>45062</v>
      </c>
      <c r="K7">
        <f>tblComponents[Demand_Variability]</f>
        <v>0.16850000000000001</v>
      </c>
      <c r="L7">
        <f t="shared" si="0"/>
        <v>92</v>
      </c>
      <c r="N7" t="s">
        <v>476</v>
      </c>
      <c r="O7">
        <f>COUNTIF(tblComponents[Sourcing_Type],"Make")</f>
        <v>300</v>
      </c>
    </row>
    <row r="8" spans="1:22" x14ac:dyDescent="0.35">
      <c r="A8" s="8" t="str">
        <f>tblComponents[Component_ID]</f>
        <v>C007</v>
      </c>
      <c r="B8" s="8" t="str">
        <f>tblComponents[Component_Name]</f>
        <v>Component 007</v>
      </c>
      <c r="C8" t="str">
        <f>tblComponents[Product_Family]</f>
        <v>Electrical Systems</v>
      </c>
      <c r="D8" t="str">
        <f>tblComponents[Category]</f>
        <v>Electrical</v>
      </c>
      <c r="E8" t="str">
        <f>tblComponents[Sourcing_Type]</f>
        <v>Make</v>
      </c>
      <c r="F8" t="str">
        <f>tblComponents[Criticality]</f>
        <v>Medium</v>
      </c>
      <c r="G8">
        <f>tblComponents[Monthly_Demand]</f>
        <v>1428</v>
      </c>
      <c r="H8">
        <f>tblComponents[Demand_Growth_Rate]</f>
        <v>0.15280104418400081</v>
      </c>
      <c r="I8">
        <f>tblComponents[Forecast_Demand]</f>
        <v>1646</v>
      </c>
      <c r="J8">
        <f>tblComponents[Annual_Demand]</f>
        <v>15931</v>
      </c>
      <c r="K8">
        <f>tblComponents[Demand_Variability]</f>
        <v>0.15490000000000001</v>
      </c>
      <c r="L8">
        <f t="shared" si="0"/>
        <v>218</v>
      </c>
      <c r="N8" t="s">
        <v>477</v>
      </c>
      <c r="O8">
        <f>COUNTIF(tblComponents[Sourcing_Type],"Buy")</f>
        <v>200</v>
      </c>
    </row>
    <row r="9" spans="1:22" x14ac:dyDescent="0.35">
      <c r="A9" s="8" t="str">
        <f>tblComponents[Component_ID]</f>
        <v>C008</v>
      </c>
      <c r="B9" s="8" t="str">
        <f>tblComponents[Component_Name]</f>
        <v>Component 008</v>
      </c>
      <c r="C9" t="str">
        <f>tblComponents[Product_Family]</f>
        <v>Electrical Systems</v>
      </c>
      <c r="D9" t="str">
        <f>tblComponents[Category]</f>
        <v>Electrical</v>
      </c>
      <c r="E9" t="str">
        <f>tblComponents[Sourcing_Type]</f>
        <v>Make</v>
      </c>
      <c r="F9" t="str">
        <f>tblComponents[Criticality]</f>
        <v>High</v>
      </c>
      <c r="G9">
        <f>tblComponents[Monthly_Demand]</f>
        <v>511</v>
      </c>
      <c r="H9">
        <f>tblComponents[Demand_Growth_Rate]</f>
        <v>-2.480549965564334E-2</v>
      </c>
      <c r="I9">
        <f>tblComponents[Forecast_Demand]</f>
        <v>498</v>
      </c>
      <c r="J9">
        <f>tblComponents[Annual_Demand]</f>
        <v>46730</v>
      </c>
      <c r="K9">
        <f>tblComponents[Demand_Variability]</f>
        <v>0.2296</v>
      </c>
      <c r="L9">
        <f t="shared" si="0"/>
        <v>-13</v>
      </c>
      <c r="Q9" s="9" t="s">
        <v>1681</v>
      </c>
    </row>
    <row r="10" spans="1:22" x14ac:dyDescent="0.35">
      <c r="A10" s="8" t="str">
        <f>tblComponents[Component_ID]</f>
        <v>C009</v>
      </c>
      <c r="B10" s="8" t="str">
        <f>tblComponents[Component_Name]</f>
        <v>Component 009</v>
      </c>
      <c r="C10" t="str">
        <f>tblComponents[Product_Family]</f>
        <v>Powertrain</v>
      </c>
      <c r="D10" t="str">
        <f>tblComponents[Category]</f>
        <v>Electrical</v>
      </c>
      <c r="E10" t="str">
        <f>tblComponents[Sourcing_Type]</f>
        <v>Make</v>
      </c>
      <c r="F10" t="str">
        <f>tblComponents[Criticality]</f>
        <v>High</v>
      </c>
      <c r="G10">
        <f>tblComponents[Monthly_Demand]</f>
        <v>189</v>
      </c>
      <c r="H10">
        <f>tblComponents[Demand_Growth_Rate]</f>
        <v>3.5156142366060003E-2</v>
      </c>
      <c r="I10">
        <f>tblComponents[Forecast_Demand]</f>
        <v>196</v>
      </c>
      <c r="J10">
        <f>tblComponents[Annual_Demand]</f>
        <v>40692</v>
      </c>
      <c r="K10">
        <f>tblComponents[Demand_Variability]</f>
        <v>0.16589999999999999</v>
      </c>
      <c r="L10">
        <f t="shared" si="0"/>
        <v>7</v>
      </c>
      <c r="Q10" s="7" t="s">
        <v>1665</v>
      </c>
      <c r="R10" t="s">
        <v>1666</v>
      </c>
    </row>
    <row r="11" spans="1:22" x14ac:dyDescent="0.35">
      <c r="A11" s="8" t="str">
        <f>tblComponents[Component_ID]</f>
        <v>C010</v>
      </c>
      <c r="B11" s="8" t="str">
        <f>tblComponents[Component_Name]</f>
        <v>Component 010</v>
      </c>
      <c r="C11" t="str">
        <f>tblComponents[Product_Family]</f>
        <v>Electrical Systems</v>
      </c>
      <c r="D11" t="str">
        <f>tblComponents[Category]</f>
        <v>Electrical</v>
      </c>
      <c r="E11" t="str">
        <f>tblComponents[Sourcing_Type]</f>
        <v>Make</v>
      </c>
      <c r="F11" t="str">
        <f>tblComponents[Criticality]</f>
        <v>Low</v>
      </c>
      <c r="G11">
        <f>tblComponents[Monthly_Demand]</f>
        <v>1728</v>
      </c>
      <c r="H11">
        <f>tblComponents[Demand_Growth_Rate]</f>
        <v>0.1508702325962121</v>
      </c>
      <c r="I11">
        <f>tblComponents[Forecast_Demand]</f>
        <v>1989</v>
      </c>
      <c r="J11">
        <f>tblComponents[Annual_Demand]</f>
        <v>77295</v>
      </c>
      <c r="K11">
        <f>tblComponents[Demand_Variability]</f>
        <v>0.1663</v>
      </c>
      <c r="L11">
        <f t="shared" si="0"/>
        <v>261</v>
      </c>
      <c r="Q11" s="5" t="s">
        <v>1682</v>
      </c>
      <c r="R11" s="5">
        <f>SUM(tblComponents[Monthly_Demand])</f>
        <v>505526</v>
      </c>
    </row>
    <row r="12" spans="1:22" x14ac:dyDescent="0.35">
      <c r="A12" s="8" t="str">
        <f>tblComponents[Component_ID]</f>
        <v>C011</v>
      </c>
      <c r="B12" s="8" t="str">
        <f>tblComponents[Component_Name]</f>
        <v>Component 011</v>
      </c>
      <c r="C12" t="str">
        <f>tblComponents[Product_Family]</f>
        <v>Powertrain</v>
      </c>
      <c r="D12" t="str">
        <f>tblComponents[Category]</f>
        <v>Electrical</v>
      </c>
      <c r="E12" t="str">
        <f>tblComponents[Sourcing_Type]</f>
        <v>Make</v>
      </c>
      <c r="F12" t="str">
        <f>tblComponents[Criticality]</f>
        <v>Low</v>
      </c>
      <c r="G12">
        <f>tblComponents[Monthly_Demand]</f>
        <v>1477</v>
      </c>
      <c r="H12">
        <f>tblComponents[Demand_Growth_Rate]</f>
        <v>1.250411230402616E-2</v>
      </c>
      <c r="I12">
        <f>tblComponents[Forecast_Demand]</f>
        <v>1495</v>
      </c>
      <c r="J12">
        <f>tblComponents[Annual_Demand]</f>
        <v>24054</v>
      </c>
      <c r="K12">
        <f>tblComponents[Demand_Variability]</f>
        <v>0.10349999999999999</v>
      </c>
      <c r="L12">
        <f t="shared" si="0"/>
        <v>18</v>
      </c>
      <c r="Q12" s="5" t="s">
        <v>1683</v>
      </c>
      <c r="R12" s="5">
        <f>SUM(tblComponents[Forecast_Demand])</f>
        <v>544289</v>
      </c>
    </row>
    <row r="13" spans="1:22" x14ac:dyDescent="0.35">
      <c r="A13" s="8" t="str">
        <f>tblComponents[Component_ID]</f>
        <v>C012</v>
      </c>
      <c r="B13" s="8" t="str">
        <f>tblComponents[Component_Name]</f>
        <v>Component 012</v>
      </c>
      <c r="C13" t="str">
        <f>tblComponents[Product_Family]</f>
        <v>Interior</v>
      </c>
      <c r="D13" t="str">
        <f>tblComponents[Category]</f>
        <v>Metal</v>
      </c>
      <c r="E13" t="str">
        <f>tblComponents[Sourcing_Type]</f>
        <v>Make</v>
      </c>
      <c r="F13" t="str">
        <f>tblComponents[Criticality]</f>
        <v>Medium</v>
      </c>
      <c r="G13">
        <f>tblComponents[Monthly_Demand]</f>
        <v>454</v>
      </c>
      <c r="H13">
        <f>tblComponents[Demand_Growth_Rate]</f>
        <v>-2.4219032791016851E-2</v>
      </c>
      <c r="I13">
        <f>tblComponents[Forecast_Demand]</f>
        <v>443</v>
      </c>
      <c r="J13">
        <f>tblComponents[Annual_Demand]</f>
        <v>64057</v>
      </c>
      <c r="K13">
        <f>tblComponents[Demand_Variability]</f>
        <v>0.24709999999999999</v>
      </c>
      <c r="L13">
        <f t="shared" si="0"/>
        <v>-11</v>
      </c>
      <c r="Q13" s="5" t="s">
        <v>1684</v>
      </c>
      <c r="R13" s="5">
        <f>R12 - R11</f>
        <v>38763</v>
      </c>
    </row>
    <row r="14" spans="1:22" x14ac:dyDescent="0.35">
      <c r="A14" s="8" t="str">
        <f>tblComponents[Component_ID]</f>
        <v>C013</v>
      </c>
      <c r="B14" s="8" t="str">
        <f>tblComponents[Component_Name]</f>
        <v>Component 013</v>
      </c>
      <c r="C14" t="str">
        <f>tblComponents[Product_Family]</f>
        <v>Electrical Systems</v>
      </c>
      <c r="D14" t="str">
        <f>tblComponents[Category]</f>
        <v>Electrical</v>
      </c>
      <c r="E14" t="str">
        <f>tblComponents[Sourcing_Type]</f>
        <v>Make</v>
      </c>
      <c r="F14" t="str">
        <f>tblComponents[Criticality]</f>
        <v>Low</v>
      </c>
      <c r="G14">
        <f>tblComponents[Monthly_Demand]</f>
        <v>895</v>
      </c>
      <c r="H14">
        <f>tblComponents[Demand_Growth_Rate]</f>
        <v>0.1896353742207996</v>
      </c>
      <c r="I14">
        <f>tblComponents[Forecast_Demand]</f>
        <v>1065</v>
      </c>
      <c r="J14">
        <f>tblComponents[Annual_Demand]</f>
        <v>96983</v>
      </c>
      <c r="K14">
        <f>tblComponents[Demand_Variability]</f>
        <v>0.1225</v>
      </c>
      <c r="L14">
        <f t="shared" si="0"/>
        <v>170</v>
      </c>
      <c r="Q14" s="5" t="s">
        <v>1685</v>
      </c>
      <c r="R14" s="5">
        <f>(R12/R11)-1</f>
        <v>7.6678548679988801E-2</v>
      </c>
    </row>
    <row r="15" spans="1:22" x14ac:dyDescent="0.35">
      <c r="A15" s="8" t="str">
        <f>tblComponents[Component_ID]</f>
        <v>C014</v>
      </c>
      <c r="B15" s="8" t="str">
        <f>tblComponents[Component_Name]</f>
        <v>Component 014</v>
      </c>
      <c r="C15" t="str">
        <f>tblComponents[Product_Family]</f>
        <v>Chassis</v>
      </c>
      <c r="D15" t="str">
        <f>tblComponents[Category]</f>
        <v>Electrical</v>
      </c>
      <c r="E15" t="str">
        <f>tblComponents[Sourcing_Type]</f>
        <v>Make</v>
      </c>
      <c r="F15" t="str">
        <f>tblComponents[Criticality]</f>
        <v>Medium</v>
      </c>
      <c r="G15">
        <f>tblComponents[Monthly_Demand]</f>
        <v>643</v>
      </c>
      <c r="H15">
        <f>tblComponents[Demand_Growth_Rate]</f>
        <v>6.211138049457994E-2</v>
      </c>
      <c r="I15">
        <f>tblComponents[Forecast_Demand]</f>
        <v>683</v>
      </c>
      <c r="J15">
        <f>tblComponents[Annual_Demand]</f>
        <v>56107</v>
      </c>
      <c r="K15">
        <f>tblComponents[Demand_Variability]</f>
        <v>9.2499999999999999E-2</v>
      </c>
      <c r="L15">
        <f t="shared" si="0"/>
        <v>40</v>
      </c>
    </row>
    <row r="16" spans="1:22" x14ac:dyDescent="0.35">
      <c r="A16" s="8" t="str">
        <f>tblComponents[Component_ID]</f>
        <v>C015</v>
      </c>
      <c r="B16" s="8" t="str">
        <f>tblComponents[Component_Name]</f>
        <v>Component 015</v>
      </c>
      <c r="C16" t="str">
        <f>tblComponents[Product_Family]</f>
        <v>Chassis</v>
      </c>
      <c r="D16" t="str">
        <f>tblComponents[Category]</f>
        <v>Electrical</v>
      </c>
      <c r="E16" t="str">
        <f>tblComponents[Sourcing_Type]</f>
        <v>Make</v>
      </c>
      <c r="F16" t="str">
        <f>tblComponents[Criticality]</f>
        <v>Medium</v>
      </c>
      <c r="G16">
        <f>tblComponents[Monthly_Demand]</f>
        <v>208</v>
      </c>
      <c r="H16">
        <f>tblComponents[Demand_Growth_Rate]</f>
        <v>0.18273227642182319</v>
      </c>
      <c r="I16">
        <f>tblComponents[Forecast_Demand]</f>
        <v>246</v>
      </c>
      <c r="J16">
        <f>tblComponents[Annual_Demand]</f>
        <v>32695</v>
      </c>
      <c r="K16">
        <f>tblComponents[Demand_Variability]</f>
        <v>0.19270000000000001</v>
      </c>
      <c r="L16">
        <f t="shared" si="0"/>
        <v>38</v>
      </c>
    </row>
    <row r="17" spans="1:12" x14ac:dyDescent="0.35">
      <c r="A17" s="8" t="str">
        <f>tblComponents[Component_ID]</f>
        <v>C016</v>
      </c>
      <c r="B17" s="8" t="str">
        <f>tblComponents[Component_Name]</f>
        <v>Component 016</v>
      </c>
      <c r="C17" t="str">
        <f>tblComponents[Product_Family]</f>
        <v>Interior</v>
      </c>
      <c r="D17" t="str">
        <f>tblComponents[Category]</f>
        <v>Metal</v>
      </c>
      <c r="E17" t="str">
        <f>tblComponents[Sourcing_Type]</f>
        <v>Make</v>
      </c>
      <c r="F17" t="str">
        <f>tblComponents[Criticality]</f>
        <v>Medium</v>
      </c>
      <c r="G17">
        <f>tblComponents[Monthly_Demand]</f>
        <v>338</v>
      </c>
      <c r="H17">
        <f>tblComponents[Demand_Growth_Rate]</f>
        <v>-1.4252079486791041E-2</v>
      </c>
      <c r="I17">
        <f>tblComponents[Forecast_Demand]</f>
        <v>333</v>
      </c>
      <c r="J17">
        <f>tblComponents[Annual_Demand]</f>
        <v>56347</v>
      </c>
      <c r="K17">
        <f>tblComponents[Demand_Variability]</f>
        <v>0.1812</v>
      </c>
      <c r="L17">
        <f t="shared" si="0"/>
        <v>-5</v>
      </c>
    </row>
    <row r="18" spans="1:12" x14ac:dyDescent="0.35">
      <c r="A18" s="8" t="str">
        <f>tblComponents[Component_ID]</f>
        <v>C017</v>
      </c>
      <c r="B18" s="8" t="str">
        <f>tblComponents[Component_Name]</f>
        <v>Component 017</v>
      </c>
      <c r="C18" t="str">
        <f>tblComponents[Product_Family]</f>
        <v>Electrical Systems</v>
      </c>
      <c r="D18" t="str">
        <f>tblComponents[Category]</f>
        <v>Metal</v>
      </c>
      <c r="E18" t="str">
        <f>tblComponents[Sourcing_Type]</f>
        <v>Make</v>
      </c>
      <c r="F18" t="str">
        <f>tblComponents[Criticality]</f>
        <v>Medium</v>
      </c>
      <c r="G18">
        <f>tblComponents[Monthly_Demand]</f>
        <v>1945</v>
      </c>
      <c r="H18">
        <f>tblComponents[Demand_Growth_Rate]</f>
        <v>0.17297422719419411</v>
      </c>
      <c r="I18">
        <f>tblComponents[Forecast_Demand]</f>
        <v>2281</v>
      </c>
      <c r="J18">
        <f>tblComponents[Annual_Demand]</f>
        <v>53906</v>
      </c>
      <c r="K18">
        <f>tblComponents[Demand_Variability]</f>
        <v>0.15060000000000001</v>
      </c>
      <c r="L18">
        <f t="shared" si="0"/>
        <v>336</v>
      </c>
    </row>
    <row r="19" spans="1:12" x14ac:dyDescent="0.35">
      <c r="A19" s="8" t="str">
        <f>tblComponents[Component_ID]</f>
        <v>C018</v>
      </c>
      <c r="B19" s="8" t="str">
        <f>tblComponents[Component_Name]</f>
        <v>Component 018</v>
      </c>
      <c r="C19" t="str">
        <f>tblComponents[Product_Family]</f>
        <v>Electrical Systems</v>
      </c>
      <c r="D19" t="str">
        <f>tblComponents[Category]</f>
        <v>Metal</v>
      </c>
      <c r="E19" t="str">
        <f>tblComponents[Sourcing_Type]</f>
        <v>Make</v>
      </c>
      <c r="F19" t="str">
        <f>tblComponents[Criticality]</f>
        <v>Low</v>
      </c>
      <c r="G19">
        <f>tblComponents[Monthly_Demand]</f>
        <v>244</v>
      </c>
      <c r="H19">
        <f>tblComponents[Demand_Growth_Rate]</f>
        <v>0.18681214434596469</v>
      </c>
      <c r="I19">
        <f>tblComponents[Forecast_Demand]</f>
        <v>290</v>
      </c>
      <c r="J19">
        <f>tblComponents[Annual_Demand]</f>
        <v>33257</v>
      </c>
      <c r="K19">
        <f>tblComponents[Demand_Variability]</f>
        <v>0.15179999999999999</v>
      </c>
      <c r="L19">
        <f t="shared" si="0"/>
        <v>46</v>
      </c>
    </row>
    <row r="20" spans="1:12" x14ac:dyDescent="0.35">
      <c r="A20" s="8" t="str">
        <f>tblComponents[Component_ID]</f>
        <v>C019</v>
      </c>
      <c r="B20" s="8" t="str">
        <f>tblComponents[Component_Name]</f>
        <v>Component 019</v>
      </c>
      <c r="C20" t="str">
        <f>tblComponents[Product_Family]</f>
        <v>Body &amp; Exterior</v>
      </c>
      <c r="D20" t="str">
        <f>tblComponents[Category]</f>
        <v>Metal</v>
      </c>
      <c r="E20" t="str">
        <f>tblComponents[Sourcing_Type]</f>
        <v>Make</v>
      </c>
      <c r="F20" t="str">
        <f>tblComponents[Criticality]</f>
        <v>Medium</v>
      </c>
      <c r="G20">
        <f>tblComponents[Monthly_Demand]</f>
        <v>590</v>
      </c>
      <c r="H20">
        <f>tblComponents[Demand_Growth_Rate]</f>
        <v>1.2181038607571981E-2</v>
      </c>
      <c r="I20">
        <f>tblComponents[Forecast_Demand]</f>
        <v>597</v>
      </c>
      <c r="J20">
        <f>tblComponents[Annual_Demand]</f>
        <v>68230</v>
      </c>
      <c r="K20">
        <f>tblComponents[Demand_Variability]</f>
        <v>0.2135</v>
      </c>
      <c r="L20">
        <f t="shared" si="0"/>
        <v>7</v>
      </c>
    </row>
    <row r="21" spans="1:12" x14ac:dyDescent="0.35">
      <c r="A21" s="8" t="str">
        <f>tblComponents[Component_ID]</f>
        <v>C020</v>
      </c>
      <c r="B21" s="8" t="str">
        <f>tblComponents[Component_Name]</f>
        <v>Component 020</v>
      </c>
      <c r="C21" t="str">
        <f>tblComponents[Product_Family]</f>
        <v>Chassis</v>
      </c>
      <c r="D21" t="str">
        <f>tblComponents[Category]</f>
        <v>Metal</v>
      </c>
      <c r="E21" t="str">
        <f>tblComponents[Sourcing_Type]</f>
        <v>Make</v>
      </c>
      <c r="F21" t="str">
        <f>tblComponents[Criticality]</f>
        <v>Medium</v>
      </c>
      <c r="G21">
        <f>tblComponents[Monthly_Demand]</f>
        <v>416</v>
      </c>
      <c r="H21">
        <f>tblComponents[Demand_Growth_Rate]</f>
        <v>0.1556975879691733</v>
      </c>
      <c r="I21">
        <f>tblComponents[Forecast_Demand]</f>
        <v>481</v>
      </c>
      <c r="J21">
        <f>tblComponents[Annual_Demand]</f>
        <v>40491</v>
      </c>
      <c r="K21">
        <f>tblComponents[Demand_Variability]</f>
        <v>0.1133</v>
      </c>
      <c r="L21">
        <f t="shared" si="0"/>
        <v>65</v>
      </c>
    </row>
    <row r="22" spans="1:12" x14ac:dyDescent="0.35">
      <c r="A22" s="8" t="str">
        <f>tblComponents[Component_ID]</f>
        <v>C021</v>
      </c>
      <c r="B22" s="8" t="str">
        <f>tblComponents[Component_Name]</f>
        <v>Component 021</v>
      </c>
      <c r="C22" t="str">
        <f>tblComponents[Product_Family]</f>
        <v>Body &amp; Exterior</v>
      </c>
      <c r="D22" t="str">
        <f>tblComponents[Category]</f>
        <v>Metal</v>
      </c>
      <c r="E22" t="str">
        <f>tblComponents[Sourcing_Type]</f>
        <v>Make</v>
      </c>
      <c r="F22" t="str">
        <f>tblComponents[Criticality]</f>
        <v>Medium</v>
      </c>
      <c r="G22">
        <f>tblComponents[Monthly_Demand]</f>
        <v>1928</v>
      </c>
      <c r="H22">
        <f>tblComponents[Demand_Growth_Rate]</f>
        <v>5.8989596298631569E-3</v>
      </c>
      <c r="I22">
        <f>tblComponents[Forecast_Demand]</f>
        <v>1939</v>
      </c>
      <c r="J22">
        <f>tblComponents[Annual_Demand]</f>
        <v>38165</v>
      </c>
      <c r="K22">
        <f>tblComponents[Demand_Variability]</f>
        <v>0.21940000000000001</v>
      </c>
      <c r="L22">
        <f t="shared" si="0"/>
        <v>11</v>
      </c>
    </row>
    <row r="23" spans="1:12" x14ac:dyDescent="0.35">
      <c r="A23" s="8" t="str">
        <f>tblComponents[Component_ID]</f>
        <v>C022</v>
      </c>
      <c r="B23" s="8" t="str">
        <f>tblComponents[Component_Name]</f>
        <v>Component 022</v>
      </c>
      <c r="C23" t="str">
        <f>tblComponents[Product_Family]</f>
        <v>Powertrain</v>
      </c>
      <c r="D23" t="str">
        <f>tblComponents[Category]</f>
        <v>Electrical</v>
      </c>
      <c r="E23" t="str">
        <f>tblComponents[Sourcing_Type]</f>
        <v>Make</v>
      </c>
      <c r="F23" t="str">
        <f>tblComponents[Criticality]</f>
        <v>Low</v>
      </c>
      <c r="G23">
        <f>tblComponents[Monthly_Demand]</f>
        <v>702</v>
      </c>
      <c r="H23">
        <f>tblComponents[Demand_Growth_Rate]</f>
        <v>0.17977892881966481</v>
      </c>
      <c r="I23">
        <f>tblComponents[Forecast_Demand]</f>
        <v>828</v>
      </c>
      <c r="J23">
        <f>tblComponents[Annual_Demand]</f>
        <v>55566</v>
      </c>
      <c r="K23">
        <f>tblComponents[Demand_Variability]</f>
        <v>0.1903</v>
      </c>
      <c r="L23">
        <f t="shared" si="0"/>
        <v>126</v>
      </c>
    </row>
    <row r="24" spans="1:12" x14ac:dyDescent="0.35">
      <c r="A24" s="8" t="str">
        <f>tblComponents[Component_ID]</f>
        <v>C023</v>
      </c>
      <c r="B24" s="8" t="str">
        <f>tblComponents[Component_Name]</f>
        <v>Component 023</v>
      </c>
      <c r="C24" t="str">
        <f>tblComponents[Product_Family]</f>
        <v>Body &amp; Exterior</v>
      </c>
      <c r="D24" t="str">
        <f>tblComponents[Category]</f>
        <v>Metal</v>
      </c>
      <c r="E24" t="str">
        <f>tblComponents[Sourcing_Type]</f>
        <v>Make</v>
      </c>
      <c r="F24" t="str">
        <f>tblComponents[Criticality]</f>
        <v>High</v>
      </c>
      <c r="G24">
        <f>tblComponents[Monthly_Demand]</f>
        <v>1012</v>
      </c>
      <c r="H24">
        <f>tblComponents[Demand_Growth_Rate]</f>
        <v>0.1068895200210159</v>
      </c>
      <c r="I24">
        <f>tblComponents[Forecast_Demand]</f>
        <v>1120</v>
      </c>
      <c r="J24">
        <f>tblComponents[Annual_Demand]</f>
        <v>60134</v>
      </c>
      <c r="K24">
        <f>tblComponents[Demand_Variability]</f>
        <v>0.1512</v>
      </c>
      <c r="L24">
        <f t="shared" si="0"/>
        <v>108</v>
      </c>
    </row>
    <row r="25" spans="1:12" x14ac:dyDescent="0.35">
      <c r="A25" s="8" t="str">
        <f>tblComponents[Component_ID]</f>
        <v>C024</v>
      </c>
      <c r="B25" s="8" t="str">
        <f>tblComponents[Component_Name]</f>
        <v>Component 024</v>
      </c>
      <c r="C25" t="str">
        <f>tblComponents[Product_Family]</f>
        <v>Interior</v>
      </c>
      <c r="D25" t="str">
        <f>tblComponents[Category]</f>
        <v>Metal</v>
      </c>
      <c r="E25" t="str">
        <f>tblComponents[Sourcing_Type]</f>
        <v>Make</v>
      </c>
      <c r="F25" t="str">
        <f>tblComponents[Criticality]</f>
        <v>Low</v>
      </c>
      <c r="G25">
        <f>tblComponents[Monthly_Demand]</f>
        <v>255</v>
      </c>
      <c r="H25">
        <f>tblComponents[Demand_Growth_Rate]</f>
        <v>3.3915016199240797E-2</v>
      </c>
      <c r="I25">
        <f>tblComponents[Forecast_Demand]</f>
        <v>264</v>
      </c>
      <c r="J25">
        <f>tblComponents[Annual_Demand]</f>
        <v>40345</v>
      </c>
      <c r="K25">
        <f>tblComponents[Demand_Variability]</f>
        <v>0.15790000000000001</v>
      </c>
      <c r="L25">
        <f t="shared" si="0"/>
        <v>9</v>
      </c>
    </row>
    <row r="26" spans="1:12" x14ac:dyDescent="0.35">
      <c r="A26" s="8" t="str">
        <f>tblComponents[Component_ID]</f>
        <v>C025</v>
      </c>
      <c r="B26" s="8" t="str">
        <f>tblComponents[Component_Name]</f>
        <v>Component 025</v>
      </c>
      <c r="C26" t="str">
        <f>tblComponents[Product_Family]</f>
        <v>Body &amp; Exterior</v>
      </c>
      <c r="D26" t="str">
        <f>tblComponents[Category]</f>
        <v>Metal</v>
      </c>
      <c r="E26" t="str">
        <f>tblComponents[Sourcing_Type]</f>
        <v>Make</v>
      </c>
      <c r="F26" t="str">
        <f>tblComponents[Criticality]</f>
        <v>High</v>
      </c>
      <c r="G26">
        <f>tblComponents[Monthly_Demand]</f>
        <v>1239</v>
      </c>
      <c r="H26">
        <f>tblComponents[Demand_Growth_Rate]</f>
        <v>0.1965526861199007</v>
      </c>
      <c r="I26">
        <f>tblComponents[Forecast_Demand]</f>
        <v>1483</v>
      </c>
      <c r="J26">
        <f>tblComponents[Annual_Demand]</f>
        <v>71185</v>
      </c>
      <c r="K26">
        <f>tblComponents[Demand_Variability]</f>
        <v>0.1236</v>
      </c>
      <c r="L26">
        <f t="shared" si="0"/>
        <v>244</v>
      </c>
    </row>
    <row r="27" spans="1:12" x14ac:dyDescent="0.35">
      <c r="A27" s="8" t="str">
        <f>tblComponents[Component_ID]</f>
        <v>C026</v>
      </c>
      <c r="B27" s="8" t="str">
        <f>tblComponents[Component_Name]</f>
        <v>Component 026</v>
      </c>
      <c r="C27" t="str">
        <f>tblComponents[Product_Family]</f>
        <v>Electrical Systems</v>
      </c>
      <c r="D27" t="str">
        <f>tblComponents[Category]</f>
        <v>Metal</v>
      </c>
      <c r="E27" t="str">
        <f>tblComponents[Sourcing_Type]</f>
        <v>Make</v>
      </c>
      <c r="F27" t="str">
        <f>tblComponents[Criticality]</f>
        <v>Medium</v>
      </c>
      <c r="G27">
        <f>tblComponents[Monthly_Demand]</f>
        <v>2581</v>
      </c>
      <c r="H27">
        <f>tblComponents[Demand_Growth_Rate]</f>
        <v>-3.0949905100209219E-2</v>
      </c>
      <c r="I27">
        <f>tblComponents[Forecast_Demand]</f>
        <v>2501</v>
      </c>
      <c r="J27">
        <f>tblComponents[Annual_Demand]</f>
        <v>16279</v>
      </c>
      <c r="K27">
        <f>tblComponents[Demand_Variability]</f>
        <v>0.2079</v>
      </c>
      <c r="L27">
        <f t="shared" si="0"/>
        <v>-80</v>
      </c>
    </row>
    <row r="28" spans="1:12" x14ac:dyDescent="0.35">
      <c r="A28" s="8" t="str">
        <f>tblComponents[Component_ID]</f>
        <v>C027</v>
      </c>
      <c r="B28" s="8" t="str">
        <f>tblComponents[Component_Name]</f>
        <v>Component 027</v>
      </c>
      <c r="C28" t="str">
        <f>tblComponents[Product_Family]</f>
        <v>Chassis</v>
      </c>
      <c r="D28" t="str">
        <f>tblComponents[Category]</f>
        <v>Metal</v>
      </c>
      <c r="E28" t="str">
        <f>tblComponents[Sourcing_Type]</f>
        <v>Make</v>
      </c>
      <c r="F28" t="str">
        <f>tblComponents[Criticality]</f>
        <v>Critical</v>
      </c>
      <c r="G28">
        <f>tblComponents[Monthly_Demand]</f>
        <v>350</v>
      </c>
      <c r="H28">
        <f>tblComponents[Demand_Growth_Rate]</f>
        <v>-3.8695332473452651E-2</v>
      </c>
      <c r="I28">
        <f>tblComponents[Forecast_Demand]</f>
        <v>336</v>
      </c>
      <c r="J28">
        <f>tblComponents[Annual_Demand]</f>
        <v>10452</v>
      </c>
      <c r="K28">
        <f>tblComponents[Demand_Variability]</f>
        <v>0.16719999999999999</v>
      </c>
      <c r="L28">
        <f t="shared" si="0"/>
        <v>-14</v>
      </c>
    </row>
    <row r="29" spans="1:12" x14ac:dyDescent="0.35">
      <c r="A29" s="8" t="str">
        <f>tblComponents[Component_ID]</f>
        <v>C028</v>
      </c>
      <c r="B29" s="8" t="str">
        <f>tblComponents[Component_Name]</f>
        <v>Component 028</v>
      </c>
      <c r="C29" t="str">
        <f>tblComponents[Product_Family]</f>
        <v>Chassis</v>
      </c>
      <c r="D29" t="str">
        <f>tblComponents[Category]</f>
        <v>Electrical</v>
      </c>
      <c r="E29" t="str">
        <f>tblComponents[Sourcing_Type]</f>
        <v>Make</v>
      </c>
      <c r="F29" t="str">
        <f>tblComponents[Criticality]</f>
        <v>High</v>
      </c>
      <c r="G29">
        <f>tblComponents[Monthly_Demand]</f>
        <v>562</v>
      </c>
      <c r="H29">
        <f>tblComponents[Demand_Growth_Rate]</f>
        <v>4.8247362244714778E-2</v>
      </c>
      <c r="I29">
        <f>tblComponents[Forecast_Demand]</f>
        <v>589</v>
      </c>
      <c r="J29">
        <f>tblComponents[Annual_Demand]</f>
        <v>24951</v>
      </c>
      <c r="K29">
        <f>tblComponents[Demand_Variability]</f>
        <v>0.13450000000000001</v>
      </c>
      <c r="L29">
        <f t="shared" si="0"/>
        <v>27</v>
      </c>
    </row>
    <row r="30" spans="1:12" x14ac:dyDescent="0.35">
      <c r="A30" s="8" t="str">
        <f>tblComponents[Component_ID]</f>
        <v>C029</v>
      </c>
      <c r="B30" s="8" t="str">
        <f>tblComponents[Component_Name]</f>
        <v>Component 029</v>
      </c>
      <c r="C30" t="str">
        <f>tblComponents[Product_Family]</f>
        <v>Electrical Systems</v>
      </c>
      <c r="D30" t="str">
        <f>tblComponents[Category]</f>
        <v>Metal</v>
      </c>
      <c r="E30" t="str">
        <f>tblComponents[Sourcing_Type]</f>
        <v>Make</v>
      </c>
      <c r="F30" t="str">
        <f>tblComponents[Criticality]</f>
        <v>High</v>
      </c>
      <c r="G30">
        <f>tblComponents[Monthly_Demand]</f>
        <v>1822</v>
      </c>
      <c r="H30">
        <f>tblComponents[Demand_Growth_Rate]</f>
        <v>0.16618059406376329</v>
      </c>
      <c r="I30">
        <f>tblComponents[Forecast_Demand]</f>
        <v>2125</v>
      </c>
      <c r="J30">
        <f>tblComponents[Annual_Demand]</f>
        <v>75991</v>
      </c>
      <c r="K30">
        <f>tblComponents[Demand_Variability]</f>
        <v>0.18129999999999999</v>
      </c>
      <c r="L30">
        <f t="shared" si="0"/>
        <v>303</v>
      </c>
    </row>
    <row r="31" spans="1:12" x14ac:dyDescent="0.35">
      <c r="A31" s="8" t="str">
        <f>tblComponents[Component_ID]</f>
        <v>C030</v>
      </c>
      <c r="B31" s="8" t="str">
        <f>tblComponents[Component_Name]</f>
        <v>Component 030</v>
      </c>
      <c r="C31" t="str">
        <f>tblComponents[Product_Family]</f>
        <v>Interior</v>
      </c>
      <c r="D31" t="str">
        <f>tblComponents[Category]</f>
        <v>Electrical</v>
      </c>
      <c r="E31" t="str">
        <f>tblComponents[Sourcing_Type]</f>
        <v>Make</v>
      </c>
      <c r="F31" t="str">
        <f>tblComponents[Criticality]</f>
        <v>Medium</v>
      </c>
      <c r="G31">
        <f>tblComponents[Monthly_Demand]</f>
        <v>182</v>
      </c>
      <c r="H31">
        <f>tblComponents[Demand_Growth_Rate]</f>
        <v>1.183702543579941E-2</v>
      </c>
      <c r="I31">
        <f>tblComponents[Forecast_Demand]</f>
        <v>184</v>
      </c>
      <c r="J31">
        <f>tblComponents[Annual_Demand]</f>
        <v>19675</v>
      </c>
      <c r="K31">
        <f>tblComponents[Demand_Variability]</f>
        <v>0.24929999999999999</v>
      </c>
      <c r="L31">
        <f t="shared" si="0"/>
        <v>2</v>
      </c>
    </row>
    <row r="32" spans="1:12" x14ac:dyDescent="0.35">
      <c r="A32" s="8" t="str">
        <f>tblComponents[Component_ID]</f>
        <v>C031</v>
      </c>
      <c r="B32" s="8" t="str">
        <f>tblComponents[Component_Name]</f>
        <v>Component 031</v>
      </c>
      <c r="C32" t="str">
        <f>tblComponents[Product_Family]</f>
        <v>Powertrain</v>
      </c>
      <c r="D32" t="str">
        <f>tblComponents[Category]</f>
        <v>Electrical</v>
      </c>
      <c r="E32" t="str">
        <f>tblComponents[Sourcing_Type]</f>
        <v>Make</v>
      </c>
      <c r="F32" t="str">
        <f>tblComponents[Criticality]</f>
        <v>High</v>
      </c>
      <c r="G32">
        <f>tblComponents[Monthly_Demand]</f>
        <v>1299</v>
      </c>
      <c r="H32">
        <f>tblComponents[Demand_Growth_Rate]</f>
        <v>-3.8275883052195023E-2</v>
      </c>
      <c r="I32">
        <f>tblComponents[Forecast_Demand]</f>
        <v>1249</v>
      </c>
      <c r="J32">
        <f>tblComponents[Annual_Demand]</f>
        <v>16170</v>
      </c>
      <c r="K32">
        <f>tblComponents[Demand_Variability]</f>
        <v>0.154</v>
      </c>
      <c r="L32">
        <f t="shared" si="0"/>
        <v>-50</v>
      </c>
    </row>
    <row r="33" spans="1:12" x14ac:dyDescent="0.35">
      <c r="A33" s="8" t="str">
        <f>tblComponents[Component_ID]</f>
        <v>C032</v>
      </c>
      <c r="B33" s="8" t="str">
        <f>tblComponents[Component_Name]</f>
        <v>Component 032</v>
      </c>
      <c r="C33" t="str">
        <f>tblComponents[Product_Family]</f>
        <v>Powertrain</v>
      </c>
      <c r="D33" t="str">
        <f>tblComponents[Category]</f>
        <v>Metal</v>
      </c>
      <c r="E33" t="str">
        <f>tblComponents[Sourcing_Type]</f>
        <v>Make</v>
      </c>
      <c r="F33" t="str">
        <f>tblComponents[Criticality]</f>
        <v>Low</v>
      </c>
      <c r="G33">
        <f>tblComponents[Monthly_Demand]</f>
        <v>1460</v>
      </c>
      <c r="H33">
        <f>tblComponents[Demand_Growth_Rate]</f>
        <v>8.7976709693621383E-2</v>
      </c>
      <c r="I33">
        <f>tblComponents[Forecast_Demand]</f>
        <v>1588</v>
      </c>
      <c r="J33">
        <f>tblComponents[Annual_Demand]</f>
        <v>56449</v>
      </c>
      <c r="K33">
        <f>tblComponents[Demand_Variability]</f>
        <v>0.23649999999999999</v>
      </c>
      <c r="L33">
        <f t="shared" si="0"/>
        <v>128</v>
      </c>
    </row>
    <row r="34" spans="1:12" x14ac:dyDescent="0.35">
      <c r="A34" s="8" t="str">
        <f>tblComponents[Component_ID]</f>
        <v>C033</v>
      </c>
      <c r="B34" s="8" t="str">
        <f>tblComponents[Component_Name]</f>
        <v>Component 033</v>
      </c>
      <c r="C34" t="str">
        <f>tblComponents[Product_Family]</f>
        <v>Interior</v>
      </c>
      <c r="D34" t="str">
        <f>tblComponents[Category]</f>
        <v>Metal</v>
      </c>
      <c r="E34" t="str">
        <f>tblComponents[Sourcing_Type]</f>
        <v>Make</v>
      </c>
      <c r="F34" t="str">
        <f>tblComponents[Criticality]</f>
        <v>Critical</v>
      </c>
      <c r="G34">
        <f>tblComponents[Monthly_Demand]</f>
        <v>440</v>
      </c>
      <c r="H34">
        <f>tblComponents[Demand_Growth_Rate]</f>
        <v>0.1098403392435606</v>
      </c>
      <c r="I34">
        <f>tblComponents[Forecast_Demand]</f>
        <v>488</v>
      </c>
      <c r="J34">
        <f>tblComponents[Annual_Demand]</f>
        <v>73856</v>
      </c>
      <c r="K34">
        <f>tblComponents[Demand_Variability]</f>
        <v>0.13869999999999999</v>
      </c>
      <c r="L34">
        <f t="shared" si="0"/>
        <v>48</v>
      </c>
    </row>
    <row r="35" spans="1:12" x14ac:dyDescent="0.35">
      <c r="A35" s="8" t="str">
        <f>tblComponents[Component_ID]</f>
        <v>C034</v>
      </c>
      <c r="B35" s="8" t="str">
        <f>tblComponents[Component_Name]</f>
        <v>Component 034</v>
      </c>
      <c r="C35" t="str">
        <f>tblComponents[Product_Family]</f>
        <v>Interior</v>
      </c>
      <c r="D35" t="str">
        <f>tblComponents[Category]</f>
        <v>Electrical</v>
      </c>
      <c r="E35" t="str">
        <f>tblComponents[Sourcing_Type]</f>
        <v>Make</v>
      </c>
      <c r="F35" t="str">
        <f>tblComponents[Criticality]</f>
        <v>Medium</v>
      </c>
      <c r="G35">
        <f>tblComponents[Monthly_Demand]</f>
        <v>834</v>
      </c>
      <c r="H35">
        <f>tblComponents[Demand_Growth_Rate]</f>
        <v>5.9368730505932263E-2</v>
      </c>
      <c r="I35">
        <f>tblComponents[Forecast_Demand]</f>
        <v>884</v>
      </c>
      <c r="J35">
        <f>tblComponents[Annual_Demand]</f>
        <v>7062</v>
      </c>
      <c r="K35">
        <f>tblComponents[Demand_Variability]</f>
        <v>8.9300000000000004E-2</v>
      </c>
      <c r="L35">
        <f t="shared" si="0"/>
        <v>50</v>
      </c>
    </row>
    <row r="36" spans="1:12" x14ac:dyDescent="0.35">
      <c r="A36" s="8" t="str">
        <f>tblComponents[Component_ID]</f>
        <v>C035</v>
      </c>
      <c r="B36" s="8" t="str">
        <f>tblComponents[Component_Name]</f>
        <v>Component 035</v>
      </c>
      <c r="C36" t="str">
        <f>tblComponents[Product_Family]</f>
        <v>Chassis</v>
      </c>
      <c r="D36" t="str">
        <f>tblComponents[Category]</f>
        <v>Metal</v>
      </c>
      <c r="E36" t="str">
        <f>tblComponents[Sourcing_Type]</f>
        <v>Make</v>
      </c>
      <c r="F36" t="str">
        <f>tblComponents[Criticality]</f>
        <v>Medium</v>
      </c>
      <c r="G36">
        <f>tblComponents[Monthly_Demand]</f>
        <v>1062</v>
      </c>
      <c r="H36">
        <f>tblComponents[Demand_Growth_Rate]</f>
        <v>0.12441046787336579</v>
      </c>
      <c r="I36">
        <f>tblComponents[Forecast_Demand]</f>
        <v>1194</v>
      </c>
      <c r="J36">
        <f>tblComponents[Annual_Demand]</f>
        <v>25680</v>
      </c>
      <c r="K36">
        <f>tblComponents[Demand_Variability]</f>
        <v>0.1147</v>
      </c>
      <c r="L36">
        <f t="shared" si="0"/>
        <v>132</v>
      </c>
    </row>
    <row r="37" spans="1:12" x14ac:dyDescent="0.35">
      <c r="A37" s="8" t="str">
        <f>tblComponents[Component_ID]</f>
        <v>C036</v>
      </c>
      <c r="B37" s="8" t="str">
        <f>tblComponents[Component_Name]</f>
        <v>Component 036</v>
      </c>
      <c r="C37" t="str">
        <f>tblComponents[Product_Family]</f>
        <v>Electrical Systems</v>
      </c>
      <c r="D37" t="str">
        <f>tblComponents[Category]</f>
        <v>Electrical</v>
      </c>
      <c r="E37" t="str">
        <f>tblComponents[Sourcing_Type]</f>
        <v>Make</v>
      </c>
      <c r="F37" t="str">
        <f>tblComponents[Criticality]</f>
        <v>Critical</v>
      </c>
      <c r="G37">
        <f>tblComponents[Monthly_Demand]</f>
        <v>2797</v>
      </c>
      <c r="H37">
        <f>tblComponents[Demand_Growth_Rate]</f>
        <v>7.3154523498217397E-2</v>
      </c>
      <c r="I37">
        <f>tblComponents[Forecast_Demand]</f>
        <v>3002</v>
      </c>
      <c r="J37">
        <f>tblComponents[Annual_Demand]</f>
        <v>25068</v>
      </c>
      <c r="K37">
        <f>tblComponents[Demand_Variability]</f>
        <v>0.1512</v>
      </c>
      <c r="L37">
        <f t="shared" si="0"/>
        <v>205</v>
      </c>
    </row>
    <row r="38" spans="1:12" x14ac:dyDescent="0.35">
      <c r="A38" s="8" t="str">
        <f>tblComponents[Component_ID]</f>
        <v>C037</v>
      </c>
      <c r="B38" s="8" t="str">
        <f>tblComponents[Component_Name]</f>
        <v>Component 037</v>
      </c>
      <c r="C38" t="str">
        <f>tblComponents[Product_Family]</f>
        <v>Electrical Systems</v>
      </c>
      <c r="D38" t="str">
        <f>tblComponents[Category]</f>
        <v>Metal</v>
      </c>
      <c r="E38" t="str">
        <f>tblComponents[Sourcing_Type]</f>
        <v>Make</v>
      </c>
      <c r="F38" t="str">
        <f>tblComponents[Criticality]</f>
        <v>High</v>
      </c>
      <c r="G38">
        <f>tblComponents[Monthly_Demand]</f>
        <v>1094</v>
      </c>
      <c r="H38">
        <f>tblComponents[Demand_Growth_Rate]</f>
        <v>5.0075122227570337E-2</v>
      </c>
      <c r="I38">
        <f>tblComponents[Forecast_Demand]</f>
        <v>1149</v>
      </c>
      <c r="J38">
        <f>tblComponents[Annual_Demand]</f>
        <v>84353</v>
      </c>
      <c r="K38">
        <f>tblComponents[Demand_Variability]</f>
        <v>0.1173</v>
      </c>
      <c r="L38">
        <f t="shared" si="0"/>
        <v>55</v>
      </c>
    </row>
    <row r="39" spans="1:12" x14ac:dyDescent="0.35">
      <c r="A39" s="8" t="str">
        <f>tblComponents[Component_ID]</f>
        <v>C038</v>
      </c>
      <c r="B39" s="8" t="str">
        <f>tblComponents[Component_Name]</f>
        <v>Component 038</v>
      </c>
      <c r="C39" t="str">
        <f>tblComponents[Product_Family]</f>
        <v>Powertrain</v>
      </c>
      <c r="D39" t="str">
        <f>tblComponents[Category]</f>
        <v>Electrical</v>
      </c>
      <c r="E39" t="str">
        <f>tblComponents[Sourcing_Type]</f>
        <v>Make</v>
      </c>
      <c r="F39" t="str">
        <f>tblComponents[Criticality]</f>
        <v>Low</v>
      </c>
      <c r="G39">
        <f>tblComponents[Monthly_Demand]</f>
        <v>1171</v>
      </c>
      <c r="H39">
        <f>tblComponents[Demand_Growth_Rate]</f>
        <v>-6.9200321995925426E-3</v>
      </c>
      <c r="I39">
        <f>tblComponents[Forecast_Demand]</f>
        <v>1163</v>
      </c>
      <c r="J39">
        <f>tblComponents[Annual_Demand]</f>
        <v>41206</v>
      </c>
      <c r="K39">
        <f>tblComponents[Demand_Variability]</f>
        <v>0.08</v>
      </c>
      <c r="L39">
        <f t="shared" si="0"/>
        <v>-8</v>
      </c>
    </row>
    <row r="40" spans="1:12" x14ac:dyDescent="0.35">
      <c r="A40" s="8" t="str">
        <f>tblComponents[Component_ID]</f>
        <v>C039</v>
      </c>
      <c r="B40" s="8" t="str">
        <f>tblComponents[Component_Name]</f>
        <v>Component 039</v>
      </c>
      <c r="C40" t="str">
        <f>tblComponents[Product_Family]</f>
        <v>Powertrain</v>
      </c>
      <c r="D40" t="str">
        <f>tblComponents[Category]</f>
        <v>Metal</v>
      </c>
      <c r="E40" t="str">
        <f>tblComponents[Sourcing_Type]</f>
        <v>Make</v>
      </c>
      <c r="F40" t="str">
        <f>tblComponents[Criticality]</f>
        <v>High</v>
      </c>
      <c r="G40">
        <f>tblComponents[Monthly_Demand]</f>
        <v>2536</v>
      </c>
      <c r="H40">
        <f>tblComponents[Demand_Growth_Rate]</f>
        <v>8.3605875933130749E-2</v>
      </c>
      <c r="I40">
        <f>tblComponents[Forecast_Demand]</f>
        <v>2748</v>
      </c>
      <c r="J40">
        <f>tblComponents[Annual_Demand]</f>
        <v>44031</v>
      </c>
      <c r="K40">
        <f>tblComponents[Demand_Variability]</f>
        <v>0.2356</v>
      </c>
      <c r="L40">
        <f t="shared" si="0"/>
        <v>212</v>
      </c>
    </row>
    <row r="41" spans="1:12" x14ac:dyDescent="0.35">
      <c r="A41" s="8" t="str">
        <f>tblComponents[Component_ID]</f>
        <v>C040</v>
      </c>
      <c r="B41" s="8" t="str">
        <f>tblComponents[Component_Name]</f>
        <v>Component 040</v>
      </c>
      <c r="C41" t="str">
        <f>tblComponents[Product_Family]</f>
        <v>Interior</v>
      </c>
      <c r="D41" t="str">
        <f>tblComponents[Category]</f>
        <v>Metal</v>
      </c>
      <c r="E41" t="str">
        <f>tblComponents[Sourcing_Type]</f>
        <v>Make</v>
      </c>
      <c r="F41" t="str">
        <f>tblComponents[Criticality]</f>
        <v>High</v>
      </c>
      <c r="G41">
        <f>tblComponents[Monthly_Demand]</f>
        <v>1046</v>
      </c>
      <c r="H41">
        <f>tblComponents[Demand_Growth_Rate]</f>
        <v>0.1069750973727269</v>
      </c>
      <c r="I41">
        <f>tblComponents[Forecast_Demand]</f>
        <v>1158</v>
      </c>
      <c r="J41">
        <f>tblComponents[Annual_Demand]</f>
        <v>95982</v>
      </c>
      <c r="K41">
        <f>tblComponents[Demand_Variability]</f>
        <v>0.2235</v>
      </c>
      <c r="L41">
        <f t="shared" si="0"/>
        <v>112</v>
      </c>
    </row>
    <row r="42" spans="1:12" x14ac:dyDescent="0.35">
      <c r="A42" s="8" t="str">
        <f>tblComponents[Component_ID]</f>
        <v>C041</v>
      </c>
      <c r="B42" s="8" t="str">
        <f>tblComponents[Component_Name]</f>
        <v>Component 041</v>
      </c>
      <c r="C42" t="str">
        <f>tblComponents[Product_Family]</f>
        <v>Interior</v>
      </c>
      <c r="D42" t="str">
        <f>tblComponents[Category]</f>
        <v>Electrical</v>
      </c>
      <c r="E42" t="str">
        <f>tblComponents[Sourcing_Type]</f>
        <v>Make</v>
      </c>
      <c r="F42" t="str">
        <f>tblComponents[Criticality]</f>
        <v>High</v>
      </c>
      <c r="G42">
        <f>tblComponents[Monthly_Demand]</f>
        <v>212</v>
      </c>
      <c r="H42">
        <f>tblComponents[Demand_Growth_Rate]</f>
        <v>9.9319520563857636E-2</v>
      </c>
      <c r="I42">
        <f>tblComponents[Forecast_Demand]</f>
        <v>233</v>
      </c>
      <c r="J42">
        <f>tblComponents[Annual_Demand]</f>
        <v>66683</v>
      </c>
      <c r="K42">
        <f>tblComponents[Demand_Variability]</f>
        <v>0.20619999999999999</v>
      </c>
      <c r="L42">
        <f t="shared" si="0"/>
        <v>21</v>
      </c>
    </row>
    <row r="43" spans="1:12" x14ac:dyDescent="0.35">
      <c r="A43" s="8" t="str">
        <f>tblComponents[Component_ID]</f>
        <v>C042</v>
      </c>
      <c r="B43" s="8" t="str">
        <f>tblComponents[Component_Name]</f>
        <v>Component 042</v>
      </c>
      <c r="C43" t="str">
        <f>tblComponents[Product_Family]</f>
        <v>Electrical Systems</v>
      </c>
      <c r="D43" t="str">
        <f>tblComponents[Category]</f>
        <v>Electrical</v>
      </c>
      <c r="E43" t="str">
        <f>tblComponents[Sourcing_Type]</f>
        <v>Make</v>
      </c>
      <c r="F43" t="str">
        <f>tblComponents[Criticality]</f>
        <v>Medium</v>
      </c>
      <c r="G43">
        <f>tblComponents[Monthly_Demand]</f>
        <v>885</v>
      </c>
      <c r="H43">
        <f>tblComponents[Demand_Growth_Rate]</f>
        <v>0.13686773453343909</v>
      </c>
      <c r="I43">
        <f>tblComponents[Forecast_Demand]</f>
        <v>1006</v>
      </c>
      <c r="J43">
        <f>tblComponents[Annual_Demand]</f>
        <v>47618</v>
      </c>
      <c r="K43">
        <f>tblComponents[Demand_Variability]</f>
        <v>0.1085</v>
      </c>
      <c r="L43">
        <f t="shared" si="0"/>
        <v>121</v>
      </c>
    </row>
    <row r="44" spans="1:12" x14ac:dyDescent="0.35">
      <c r="A44" s="8" t="str">
        <f>tblComponents[Component_ID]</f>
        <v>C043</v>
      </c>
      <c r="B44" s="8" t="str">
        <f>tblComponents[Component_Name]</f>
        <v>Component 043</v>
      </c>
      <c r="C44" t="str">
        <f>tblComponents[Product_Family]</f>
        <v>Chassis</v>
      </c>
      <c r="D44" t="str">
        <f>tblComponents[Category]</f>
        <v>Electrical</v>
      </c>
      <c r="E44" t="str">
        <f>tblComponents[Sourcing_Type]</f>
        <v>Make</v>
      </c>
      <c r="F44" t="str">
        <f>tblComponents[Criticality]</f>
        <v>Medium</v>
      </c>
      <c r="G44">
        <f>tblComponents[Monthly_Demand]</f>
        <v>773</v>
      </c>
      <c r="H44">
        <f>tblComponents[Demand_Growth_Rate]</f>
        <v>6.1853091705863658E-2</v>
      </c>
      <c r="I44">
        <f>tblComponents[Forecast_Demand]</f>
        <v>821</v>
      </c>
      <c r="J44">
        <f>tblComponents[Annual_Demand]</f>
        <v>14706</v>
      </c>
      <c r="K44">
        <f>tblComponents[Demand_Variability]</f>
        <v>0.10050000000000001</v>
      </c>
      <c r="L44">
        <f t="shared" si="0"/>
        <v>48</v>
      </c>
    </row>
    <row r="45" spans="1:12" x14ac:dyDescent="0.35">
      <c r="A45" s="8" t="str">
        <f>tblComponents[Component_ID]</f>
        <v>C044</v>
      </c>
      <c r="B45" s="8" t="str">
        <f>tblComponents[Component_Name]</f>
        <v>Component 044</v>
      </c>
      <c r="C45" t="str">
        <f>tblComponents[Product_Family]</f>
        <v>Chassis</v>
      </c>
      <c r="D45" t="str">
        <f>tblComponents[Category]</f>
        <v>Metal</v>
      </c>
      <c r="E45" t="str">
        <f>tblComponents[Sourcing_Type]</f>
        <v>Make</v>
      </c>
      <c r="F45" t="str">
        <f>tblComponents[Criticality]</f>
        <v>Critical</v>
      </c>
      <c r="G45">
        <f>tblComponents[Monthly_Demand]</f>
        <v>730</v>
      </c>
      <c r="H45">
        <f>tblComponents[Demand_Growth_Rate]</f>
        <v>-2.7698917821985952E-2</v>
      </c>
      <c r="I45">
        <f>tblComponents[Forecast_Demand]</f>
        <v>710</v>
      </c>
      <c r="J45">
        <f>tblComponents[Annual_Demand]</f>
        <v>39535</v>
      </c>
      <c r="K45">
        <f>tblComponents[Demand_Variability]</f>
        <v>9.1499999999999998E-2</v>
      </c>
      <c r="L45">
        <f t="shared" si="0"/>
        <v>-20</v>
      </c>
    </row>
    <row r="46" spans="1:12" x14ac:dyDescent="0.35">
      <c r="A46" s="8" t="str">
        <f>tblComponents[Component_ID]</f>
        <v>C045</v>
      </c>
      <c r="B46" s="8" t="str">
        <f>tblComponents[Component_Name]</f>
        <v>Component 045</v>
      </c>
      <c r="C46" t="str">
        <f>tblComponents[Product_Family]</f>
        <v>Chassis</v>
      </c>
      <c r="D46" t="str">
        <f>tblComponents[Category]</f>
        <v>Metal</v>
      </c>
      <c r="E46" t="str">
        <f>tblComponents[Sourcing_Type]</f>
        <v>Make</v>
      </c>
      <c r="F46" t="str">
        <f>tblComponents[Criticality]</f>
        <v>Medium</v>
      </c>
      <c r="G46">
        <f>tblComponents[Monthly_Demand]</f>
        <v>645</v>
      </c>
      <c r="H46">
        <f>tblComponents[Demand_Growth_Rate]</f>
        <v>-2.826992797814408E-2</v>
      </c>
      <c r="I46">
        <f>tblComponents[Forecast_Demand]</f>
        <v>627</v>
      </c>
      <c r="J46">
        <f>tblComponents[Annual_Demand]</f>
        <v>47528</v>
      </c>
      <c r="K46">
        <f>tblComponents[Demand_Variability]</f>
        <v>0.2031</v>
      </c>
      <c r="L46">
        <f t="shared" si="0"/>
        <v>-18</v>
      </c>
    </row>
    <row r="47" spans="1:12" x14ac:dyDescent="0.35">
      <c r="A47" s="8" t="str">
        <f>tblComponents[Component_ID]</f>
        <v>C046</v>
      </c>
      <c r="B47" s="8" t="str">
        <f>tblComponents[Component_Name]</f>
        <v>Component 046</v>
      </c>
      <c r="C47" t="str">
        <f>tblComponents[Product_Family]</f>
        <v>Electrical Systems</v>
      </c>
      <c r="D47" t="str">
        <f>tblComponents[Category]</f>
        <v>Electrical</v>
      </c>
      <c r="E47" t="str">
        <f>tblComponents[Sourcing_Type]</f>
        <v>Make</v>
      </c>
      <c r="F47" t="str">
        <f>tblComponents[Criticality]</f>
        <v>High</v>
      </c>
      <c r="G47">
        <f>tblComponents[Monthly_Demand]</f>
        <v>1017</v>
      </c>
      <c r="H47">
        <f>tblComponents[Demand_Growth_Rate]</f>
        <v>0.17491184928625311</v>
      </c>
      <c r="I47">
        <f>tblComponents[Forecast_Demand]</f>
        <v>1195</v>
      </c>
      <c r="J47">
        <f>tblComponents[Annual_Demand]</f>
        <v>53751</v>
      </c>
      <c r="K47">
        <f>tblComponents[Demand_Variability]</f>
        <v>0.2379</v>
      </c>
      <c r="L47">
        <f t="shared" si="0"/>
        <v>178</v>
      </c>
    </row>
    <row r="48" spans="1:12" x14ac:dyDescent="0.35">
      <c r="A48" s="8" t="str">
        <f>tblComponents[Component_ID]</f>
        <v>C047</v>
      </c>
      <c r="B48" s="8" t="str">
        <f>tblComponents[Component_Name]</f>
        <v>Component 047</v>
      </c>
      <c r="C48" t="str">
        <f>tblComponents[Product_Family]</f>
        <v>Chassis</v>
      </c>
      <c r="D48" t="str">
        <f>tblComponents[Category]</f>
        <v>Metal</v>
      </c>
      <c r="E48" t="str">
        <f>tblComponents[Sourcing_Type]</f>
        <v>Make</v>
      </c>
      <c r="F48" t="str">
        <f>tblComponents[Criticality]</f>
        <v>Low</v>
      </c>
      <c r="G48">
        <f>tblComponents[Monthly_Demand]</f>
        <v>1276</v>
      </c>
      <c r="H48">
        <f>tblComponents[Demand_Growth_Rate]</f>
        <v>-1.1785215203917E-2</v>
      </c>
      <c r="I48">
        <f>tblComponents[Forecast_Demand]</f>
        <v>1261</v>
      </c>
      <c r="J48">
        <f>tblComponents[Annual_Demand]</f>
        <v>53569</v>
      </c>
      <c r="K48">
        <f>tblComponents[Demand_Variability]</f>
        <v>0.1532</v>
      </c>
      <c r="L48">
        <f t="shared" si="0"/>
        <v>-15</v>
      </c>
    </row>
    <row r="49" spans="1:12" x14ac:dyDescent="0.35">
      <c r="A49" s="8" t="str">
        <f>tblComponents[Component_ID]</f>
        <v>C048</v>
      </c>
      <c r="B49" s="8" t="str">
        <f>tblComponents[Component_Name]</f>
        <v>Component 048</v>
      </c>
      <c r="C49" t="str">
        <f>tblComponents[Product_Family]</f>
        <v>Powertrain</v>
      </c>
      <c r="D49" t="str">
        <f>tblComponents[Category]</f>
        <v>Metal</v>
      </c>
      <c r="E49" t="str">
        <f>tblComponents[Sourcing_Type]</f>
        <v>Make</v>
      </c>
      <c r="F49" t="str">
        <f>tblComponents[Criticality]</f>
        <v>High</v>
      </c>
      <c r="G49">
        <f>tblComponents[Monthly_Demand]</f>
        <v>346</v>
      </c>
      <c r="H49">
        <f>tblComponents[Demand_Growth_Rate]</f>
        <v>-3.7091130531371787E-2</v>
      </c>
      <c r="I49">
        <f>tblComponents[Forecast_Demand]</f>
        <v>333</v>
      </c>
      <c r="J49">
        <f>tblComponents[Annual_Demand]</f>
        <v>41151</v>
      </c>
      <c r="K49">
        <f>tblComponents[Demand_Variability]</f>
        <v>0.1003</v>
      </c>
      <c r="L49">
        <f t="shared" si="0"/>
        <v>-13</v>
      </c>
    </row>
    <row r="50" spans="1:12" x14ac:dyDescent="0.35">
      <c r="A50" s="8" t="str">
        <f>tblComponents[Component_ID]</f>
        <v>C049</v>
      </c>
      <c r="B50" s="8" t="str">
        <f>tblComponents[Component_Name]</f>
        <v>Component 049</v>
      </c>
      <c r="C50" t="str">
        <f>tblComponents[Product_Family]</f>
        <v>Body &amp; Exterior</v>
      </c>
      <c r="D50" t="str">
        <f>tblComponents[Category]</f>
        <v>Electrical</v>
      </c>
      <c r="E50" t="str">
        <f>tblComponents[Sourcing_Type]</f>
        <v>Make</v>
      </c>
      <c r="F50" t="str">
        <f>tblComponents[Criticality]</f>
        <v>Medium</v>
      </c>
      <c r="G50">
        <f>tblComponents[Monthly_Demand]</f>
        <v>434</v>
      </c>
      <c r="H50">
        <f>tblComponents[Demand_Growth_Rate]</f>
        <v>0.15426801773731999</v>
      </c>
      <c r="I50">
        <f>tblComponents[Forecast_Demand]</f>
        <v>501</v>
      </c>
      <c r="J50">
        <f>tblComponents[Annual_Demand]</f>
        <v>9056</v>
      </c>
      <c r="K50">
        <f>tblComponents[Demand_Variability]</f>
        <v>0.1671</v>
      </c>
      <c r="L50">
        <f t="shared" si="0"/>
        <v>67</v>
      </c>
    </row>
    <row r="51" spans="1:12" x14ac:dyDescent="0.35">
      <c r="A51" s="8" t="str">
        <f>tblComponents[Component_ID]</f>
        <v>C050</v>
      </c>
      <c r="B51" s="8" t="str">
        <f>tblComponents[Component_Name]</f>
        <v>Component 050</v>
      </c>
      <c r="C51" t="str">
        <f>tblComponents[Product_Family]</f>
        <v>Powertrain</v>
      </c>
      <c r="D51" t="str">
        <f>tblComponents[Category]</f>
        <v>Electrical</v>
      </c>
      <c r="E51" t="str">
        <f>tblComponents[Sourcing_Type]</f>
        <v>Make</v>
      </c>
      <c r="F51" t="str">
        <f>tblComponents[Criticality]</f>
        <v>Medium</v>
      </c>
      <c r="G51">
        <f>tblComponents[Monthly_Demand]</f>
        <v>934</v>
      </c>
      <c r="H51">
        <f>tblComponents[Demand_Growth_Rate]</f>
        <v>0.1596456396756562</v>
      </c>
      <c r="I51">
        <f>tblComponents[Forecast_Demand]</f>
        <v>1083</v>
      </c>
      <c r="J51">
        <f>tblComponents[Annual_Demand]</f>
        <v>5305</v>
      </c>
      <c r="K51">
        <f>tblComponents[Demand_Variability]</f>
        <v>0.13930000000000001</v>
      </c>
      <c r="L51">
        <f t="shared" si="0"/>
        <v>149</v>
      </c>
    </row>
    <row r="52" spans="1:12" x14ac:dyDescent="0.35">
      <c r="A52" s="8" t="str">
        <f>tblComponents[Component_ID]</f>
        <v>C051</v>
      </c>
      <c r="B52" s="8" t="str">
        <f>tblComponents[Component_Name]</f>
        <v>Component 051</v>
      </c>
      <c r="C52" t="str">
        <f>tblComponents[Product_Family]</f>
        <v>Interior</v>
      </c>
      <c r="D52" t="str">
        <f>tblComponents[Category]</f>
        <v>Electrical</v>
      </c>
      <c r="E52" t="str">
        <f>tblComponents[Sourcing_Type]</f>
        <v>Make</v>
      </c>
      <c r="F52" t="str">
        <f>tblComponents[Criticality]</f>
        <v>Medium</v>
      </c>
      <c r="G52">
        <f>tblComponents[Monthly_Demand]</f>
        <v>500</v>
      </c>
      <c r="H52">
        <f>tblComponents[Demand_Growth_Rate]</f>
        <v>0.1026550106104081</v>
      </c>
      <c r="I52">
        <f>tblComponents[Forecast_Demand]</f>
        <v>551</v>
      </c>
      <c r="J52">
        <f>tblComponents[Annual_Demand]</f>
        <v>62954</v>
      </c>
      <c r="K52">
        <f>tblComponents[Demand_Variability]</f>
        <v>0.14369999999999999</v>
      </c>
      <c r="L52">
        <f t="shared" si="0"/>
        <v>51</v>
      </c>
    </row>
    <row r="53" spans="1:12" x14ac:dyDescent="0.35">
      <c r="A53" s="8" t="str">
        <f>tblComponents[Component_ID]</f>
        <v>C052</v>
      </c>
      <c r="B53" s="8" t="str">
        <f>tblComponents[Component_Name]</f>
        <v>Component 052</v>
      </c>
      <c r="C53" t="str">
        <f>tblComponents[Product_Family]</f>
        <v>Electrical Systems</v>
      </c>
      <c r="D53" t="str">
        <f>tblComponents[Category]</f>
        <v>Metal</v>
      </c>
      <c r="E53" t="str">
        <f>tblComponents[Sourcing_Type]</f>
        <v>Make</v>
      </c>
      <c r="F53" t="str">
        <f>tblComponents[Criticality]</f>
        <v>Medium</v>
      </c>
      <c r="G53">
        <f>tblComponents[Monthly_Demand]</f>
        <v>1689</v>
      </c>
      <c r="H53">
        <f>tblComponents[Demand_Growth_Rate]</f>
        <v>6.3566993054774909E-2</v>
      </c>
      <c r="I53">
        <f>tblComponents[Forecast_Demand]</f>
        <v>1796</v>
      </c>
      <c r="J53">
        <f>tblComponents[Annual_Demand]</f>
        <v>18178</v>
      </c>
      <c r="K53">
        <f>tblComponents[Demand_Variability]</f>
        <v>0.18559999999999999</v>
      </c>
      <c r="L53">
        <f t="shared" si="0"/>
        <v>107</v>
      </c>
    </row>
    <row r="54" spans="1:12" x14ac:dyDescent="0.35">
      <c r="A54" s="8" t="str">
        <f>tblComponents[Component_ID]</f>
        <v>C053</v>
      </c>
      <c r="B54" s="8" t="str">
        <f>tblComponents[Component_Name]</f>
        <v>Component 053</v>
      </c>
      <c r="C54" t="str">
        <f>tblComponents[Product_Family]</f>
        <v>Electrical Systems</v>
      </c>
      <c r="D54" t="str">
        <f>tblComponents[Category]</f>
        <v>Metal</v>
      </c>
      <c r="E54" t="str">
        <f>tblComponents[Sourcing_Type]</f>
        <v>Make</v>
      </c>
      <c r="F54" t="str">
        <f>tblComponents[Criticality]</f>
        <v>Critical</v>
      </c>
      <c r="G54">
        <f>tblComponents[Monthly_Demand]</f>
        <v>1328</v>
      </c>
      <c r="H54">
        <f>tblComponents[Demand_Growth_Rate]</f>
        <v>0.14005696497242159</v>
      </c>
      <c r="I54">
        <f>tblComponents[Forecast_Demand]</f>
        <v>1514</v>
      </c>
      <c r="J54">
        <f>tblComponents[Annual_Demand]</f>
        <v>46831</v>
      </c>
      <c r="K54">
        <f>tblComponents[Demand_Variability]</f>
        <v>0.20219999999999999</v>
      </c>
      <c r="L54">
        <f t="shared" si="0"/>
        <v>186</v>
      </c>
    </row>
    <row r="55" spans="1:12" x14ac:dyDescent="0.35">
      <c r="A55" s="8" t="str">
        <f>tblComponents[Component_ID]</f>
        <v>C054</v>
      </c>
      <c r="B55" s="8" t="str">
        <f>tblComponents[Component_Name]</f>
        <v>Component 054</v>
      </c>
      <c r="C55" t="str">
        <f>tblComponents[Product_Family]</f>
        <v>Electrical Systems</v>
      </c>
      <c r="D55" t="str">
        <f>tblComponents[Category]</f>
        <v>Metal</v>
      </c>
      <c r="E55" t="str">
        <f>tblComponents[Sourcing_Type]</f>
        <v>Make</v>
      </c>
      <c r="F55" t="str">
        <f>tblComponents[Criticality]</f>
        <v>Low</v>
      </c>
      <c r="G55">
        <f>tblComponents[Monthly_Demand]</f>
        <v>335</v>
      </c>
      <c r="H55">
        <f>tblComponents[Demand_Growth_Rate]</f>
        <v>5.2129573233979223E-2</v>
      </c>
      <c r="I55">
        <f>tblComponents[Forecast_Demand]</f>
        <v>352</v>
      </c>
      <c r="J55">
        <f>tblComponents[Annual_Demand]</f>
        <v>97568</v>
      </c>
      <c r="K55">
        <f>tblComponents[Demand_Variability]</f>
        <v>9.8799999999999999E-2</v>
      </c>
      <c r="L55">
        <f t="shared" si="0"/>
        <v>17</v>
      </c>
    </row>
    <row r="56" spans="1:12" x14ac:dyDescent="0.35">
      <c r="A56" s="8" t="str">
        <f>tblComponents[Component_ID]</f>
        <v>C055</v>
      </c>
      <c r="B56" s="8" t="str">
        <f>tblComponents[Component_Name]</f>
        <v>Component 055</v>
      </c>
      <c r="C56" t="str">
        <f>tblComponents[Product_Family]</f>
        <v>Interior</v>
      </c>
      <c r="D56" t="str">
        <f>tblComponents[Category]</f>
        <v>Metal</v>
      </c>
      <c r="E56" t="str">
        <f>tblComponents[Sourcing_Type]</f>
        <v>Make</v>
      </c>
      <c r="F56" t="str">
        <f>tblComponents[Criticality]</f>
        <v>Low</v>
      </c>
      <c r="G56">
        <f>tblComponents[Monthly_Demand]</f>
        <v>159</v>
      </c>
      <c r="H56">
        <f>tblComponents[Demand_Growth_Rate]</f>
        <v>0.160457194189568</v>
      </c>
      <c r="I56">
        <f>tblComponents[Forecast_Demand]</f>
        <v>185</v>
      </c>
      <c r="J56">
        <f>tblComponents[Annual_Demand]</f>
        <v>52770</v>
      </c>
      <c r="K56">
        <f>tblComponents[Demand_Variability]</f>
        <v>8.6099999999999996E-2</v>
      </c>
      <c r="L56">
        <f t="shared" si="0"/>
        <v>26</v>
      </c>
    </row>
    <row r="57" spans="1:12" x14ac:dyDescent="0.35">
      <c r="A57" s="8" t="str">
        <f>tblComponents[Component_ID]</f>
        <v>C056</v>
      </c>
      <c r="B57" s="8" t="str">
        <f>tblComponents[Component_Name]</f>
        <v>Component 056</v>
      </c>
      <c r="C57" t="str">
        <f>tblComponents[Product_Family]</f>
        <v>Body &amp; Exterior</v>
      </c>
      <c r="D57" t="str">
        <f>tblComponents[Category]</f>
        <v>Metal</v>
      </c>
      <c r="E57" t="str">
        <f>tblComponents[Sourcing_Type]</f>
        <v>Make</v>
      </c>
      <c r="F57" t="str">
        <f>tblComponents[Criticality]</f>
        <v>High</v>
      </c>
      <c r="G57">
        <f>tblComponents[Monthly_Demand]</f>
        <v>478</v>
      </c>
      <c r="H57">
        <f>tblComponents[Demand_Growth_Rate]</f>
        <v>0.1084396409300443</v>
      </c>
      <c r="I57">
        <f>tblComponents[Forecast_Demand]</f>
        <v>530</v>
      </c>
      <c r="J57">
        <f>tblComponents[Annual_Demand]</f>
        <v>67842</v>
      </c>
      <c r="K57">
        <f>tblComponents[Demand_Variability]</f>
        <v>0.249</v>
      </c>
      <c r="L57">
        <f t="shared" si="0"/>
        <v>52</v>
      </c>
    </row>
    <row r="58" spans="1:12" x14ac:dyDescent="0.35">
      <c r="A58" s="8" t="str">
        <f>tblComponents[Component_ID]</f>
        <v>C057</v>
      </c>
      <c r="B58" s="8" t="str">
        <f>tblComponents[Component_Name]</f>
        <v>Component 057</v>
      </c>
      <c r="C58" t="str">
        <f>tblComponents[Product_Family]</f>
        <v>Chassis</v>
      </c>
      <c r="D58" t="str">
        <f>tblComponents[Category]</f>
        <v>Metal</v>
      </c>
      <c r="E58" t="str">
        <f>tblComponents[Sourcing_Type]</f>
        <v>Make</v>
      </c>
      <c r="F58" t="str">
        <f>tblComponents[Criticality]</f>
        <v>Medium</v>
      </c>
      <c r="G58">
        <f>tblComponents[Monthly_Demand]</f>
        <v>387</v>
      </c>
      <c r="H58">
        <f>tblComponents[Demand_Growth_Rate]</f>
        <v>6.5669946417401606E-2</v>
      </c>
      <c r="I58">
        <f>tblComponents[Forecast_Demand]</f>
        <v>412</v>
      </c>
      <c r="J58">
        <f>tblComponents[Annual_Demand]</f>
        <v>41627</v>
      </c>
      <c r="K58">
        <f>tblComponents[Demand_Variability]</f>
        <v>0.1196</v>
      </c>
      <c r="L58">
        <f t="shared" si="0"/>
        <v>25</v>
      </c>
    </row>
    <row r="59" spans="1:12" x14ac:dyDescent="0.35">
      <c r="A59" s="8" t="str">
        <f>tblComponents[Component_ID]</f>
        <v>C058</v>
      </c>
      <c r="B59" s="8" t="str">
        <f>tblComponents[Component_Name]</f>
        <v>Component 058</v>
      </c>
      <c r="C59" t="str">
        <f>tblComponents[Product_Family]</f>
        <v>Body &amp; Exterior</v>
      </c>
      <c r="D59" t="str">
        <f>tblComponents[Category]</f>
        <v>Metal</v>
      </c>
      <c r="E59" t="str">
        <f>tblComponents[Sourcing_Type]</f>
        <v>Make</v>
      </c>
      <c r="F59" t="str">
        <f>tblComponents[Criticality]</f>
        <v>Low</v>
      </c>
      <c r="G59">
        <f>tblComponents[Monthly_Demand]</f>
        <v>1473</v>
      </c>
      <c r="H59">
        <f>tblComponents[Demand_Growth_Rate]</f>
        <v>-3.334522190229576E-2</v>
      </c>
      <c r="I59">
        <f>tblComponents[Forecast_Demand]</f>
        <v>1424</v>
      </c>
      <c r="J59">
        <f>tblComponents[Annual_Demand]</f>
        <v>31881</v>
      </c>
      <c r="K59">
        <f>tblComponents[Demand_Variability]</f>
        <v>8.9200000000000002E-2</v>
      </c>
      <c r="L59">
        <f t="shared" si="0"/>
        <v>-49</v>
      </c>
    </row>
    <row r="60" spans="1:12" x14ac:dyDescent="0.35">
      <c r="A60" s="8" t="str">
        <f>tblComponents[Component_ID]</f>
        <v>C059</v>
      </c>
      <c r="B60" s="8" t="str">
        <f>tblComponents[Component_Name]</f>
        <v>Component 059</v>
      </c>
      <c r="C60" t="str">
        <f>tblComponents[Product_Family]</f>
        <v>Electrical Systems</v>
      </c>
      <c r="D60" t="str">
        <f>tblComponents[Category]</f>
        <v>Metal</v>
      </c>
      <c r="E60" t="str">
        <f>tblComponents[Sourcing_Type]</f>
        <v>Make</v>
      </c>
      <c r="F60" t="str">
        <f>tblComponents[Criticality]</f>
        <v>Medium</v>
      </c>
      <c r="G60">
        <f>tblComponents[Monthly_Demand]</f>
        <v>999</v>
      </c>
      <c r="H60">
        <f>tblComponents[Demand_Growth_Rate]</f>
        <v>0.148506297317574</v>
      </c>
      <c r="I60">
        <f>tblComponents[Forecast_Demand]</f>
        <v>1147</v>
      </c>
      <c r="J60">
        <f>tblComponents[Annual_Demand]</f>
        <v>63037</v>
      </c>
      <c r="K60">
        <f>tblComponents[Demand_Variability]</f>
        <v>0.1123</v>
      </c>
      <c r="L60">
        <f t="shared" si="0"/>
        <v>148</v>
      </c>
    </row>
    <row r="61" spans="1:12" x14ac:dyDescent="0.35">
      <c r="A61" s="8" t="str">
        <f>tblComponents[Component_ID]</f>
        <v>C060</v>
      </c>
      <c r="B61" s="8" t="str">
        <f>tblComponents[Component_Name]</f>
        <v>Component 060</v>
      </c>
      <c r="C61" t="str">
        <f>tblComponents[Product_Family]</f>
        <v>Electrical Systems</v>
      </c>
      <c r="D61" t="str">
        <f>tblComponents[Category]</f>
        <v>Electrical</v>
      </c>
      <c r="E61" t="str">
        <f>tblComponents[Sourcing_Type]</f>
        <v>Make</v>
      </c>
      <c r="F61" t="str">
        <f>tblComponents[Criticality]</f>
        <v>High</v>
      </c>
      <c r="G61">
        <f>tblComponents[Monthly_Demand]</f>
        <v>1496</v>
      </c>
      <c r="H61">
        <f>tblComponents[Demand_Growth_Rate]</f>
        <v>0.1446429847626878</v>
      </c>
      <c r="I61">
        <f>tblComponents[Forecast_Demand]</f>
        <v>1712</v>
      </c>
      <c r="J61">
        <f>tblComponents[Annual_Demand]</f>
        <v>50422</v>
      </c>
      <c r="K61">
        <f>tblComponents[Demand_Variability]</f>
        <v>8.6599999999999996E-2</v>
      </c>
      <c r="L61">
        <f t="shared" si="0"/>
        <v>216</v>
      </c>
    </row>
    <row r="62" spans="1:12" x14ac:dyDescent="0.35">
      <c r="A62" s="8" t="str">
        <f>tblComponents[Component_ID]</f>
        <v>C061</v>
      </c>
      <c r="B62" s="8" t="str">
        <f>tblComponents[Component_Name]</f>
        <v>Component 061</v>
      </c>
      <c r="C62" t="str">
        <f>tblComponents[Product_Family]</f>
        <v>Powertrain</v>
      </c>
      <c r="D62" t="str">
        <f>tblComponents[Category]</f>
        <v>Electrical</v>
      </c>
      <c r="E62" t="str">
        <f>tblComponents[Sourcing_Type]</f>
        <v>Make</v>
      </c>
      <c r="F62" t="str">
        <f>tblComponents[Criticality]</f>
        <v>Medium</v>
      </c>
      <c r="G62">
        <f>tblComponents[Monthly_Demand]</f>
        <v>2932</v>
      </c>
      <c r="H62">
        <f>tblComponents[Demand_Growth_Rate]</f>
        <v>-2.2342065761198199E-2</v>
      </c>
      <c r="I62">
        <f>tblComponents[Forecast_Demand]</f>
        <v>2866</v>
      </c>
      <c r="J62">
        <f>tblComponents[Annual_Demand]</f>
        <v>26984</v>
      </c>
      <c r="K62">
        <f>tblComponents[Demand_Variability]</f>
        <v>0.14660000000000001</v>
      </c>
      <c r="L62">
        <f t="shared" si="0"/>
        <v>-66</v>
      </c>
    </row>
    <row r="63" spans="1:12" x14ac:dyDescent="0.35">
      <c r="A63" s="8" t="str">
        <f>tblComponents[Component_ID]</f>
        <v>C062</v>
      </c>
      <c r="B63" s="8" t="str">
        <f>tblComponents[Component_Name]</f>
        <v>Component 062</v>
      </c>
      <c r="C63" t="str">
        <f>tblComponents[Product_Family]</f>
        <v>Powertrain</v>
      </c>
      <c r="D63" t="str">
        <f>tblComponents[Category]</f>
        <v>Metal</v>
      </c>
      <c r="E63" t="str">
        <f>tblComponents[Sourcing_Type]</f>
        <v>Make</v>
      </c>
      <c r="F63" t="str">
        <f>tblComponents[Criticality]</f>
        <v>High</v>
      </c>
      <c r="G63">
        <f>tblComponents[Monthly_Demand]</f>
        <v>1343</v>
      </c>
      <c r="H63">
        <f>tblComponents[Demand_Growth_Rate]</f>
        <v>0.14297049514956131</v>
      </c>
      <c r="I63">
        <f>tblComponents[Forecast_Demand]</f>
        <v>1535</v>
      </c>
      <c r="J63">
        <f>tblComponents[Annual_Demand]</f>
        <v>38776</v>
      </c>
      <c r="K63">
        <f>tblComponents[Demand_Variability]</f>
        <v>0.21640000000000001</v>
      </c>
      <c r="L63">
        <f t="shared" si="0"/>
        <v>192</v>
      </c>
    </row>
    <row r="64" spans="1:12" x14ac:dyDescent="0.35">
      <c r="A64" s="8" t="str">
        <f>tblComponents[Component_ID]</f>
        <v>C063</v>
      </c>
      <c r="B64" s="8" t="str">
        <f>tblComponents[Component_Name]</f>
        <v>Component 063</v>
      </c>
      <c r="C64" t="str">
        <f>tblComponents[Product_Family]</f>
        <v>Electrical Systems</v>
      </c>
      <c r="D64" t="str">
        <f>tblComponents[Category]</f>
        <v>Metal</v>
      </c>
      <c r="E64" t="str">
        <f>tblComponents[Sourcing_Type]</f>
        <v>Make</v>
      </c>
      <c r="F64" t="str">
        <f>tblComponents[Criticality]</f>
        <v>Medium</v>
      </c>
      <c r="G64">
        <f>tblComponents[Monthly_Demand]</f>
        <v>353</v>
      </c>
      <c r="H64">
        <f>tblComponents[Demand_Growth_Rate]</f>
        <v>0.1771126403334071</v>
      </c>
      <c r="I64">
        <f>tblComponents[Forecast_Demand]</f>
        <v>416</v>
      </c>
      <c r="J64">
        <f>tblComponents[Annual_Demand]</f>
        <v>32755</v>
      </c>
      <c r="K64">
        <f>tblComponents[Demand_Variability]</f>
        <v>0.13800000000000001</v>
      </c>
      <c r="L64">
        <f t="shared" si="0"/>
        <v>63</v>
      </c>
    </row>
    <row r="65" spans="1:12" x14ac:dyDescent="0.35">
      <c r="A65" s="8" t="str">
        <f>tblComponents[Component_ID]</f>
        <v>C064</v>
      </c>
      <c r="B65" s="8" t="str">
        <f>tblComponents[Component_Name]</f>
        <v>Component 064</v>
      </c>
      <c r="C65" t="str">
        <f>tblComponents[Product_Family]</f>
        <v>Chassis</v>
      </c>
      <c r="D65" t="str">
        <f>tblComponents[Category]</f>
        <v>Metal</v>
      </c>
      <c r="E65" t="str">
        <f>tblComponents[Sourcing_Type]</f>
        <v>Make</v>
      </c>
      <c r="F65" t="str">
        <f>tblComponents[Criticality]</f>
        <v>High</v>
      </c>
      <c r="G65">
        <f>tblComponents[Monthly_Demand]</f>
        <v>1457</v>
      </c>
      <c r="H65">
        <f>tblComponents[Demand_Growth_Rate]</f>
        <v>-2.4801349246028379E-2</v>
      </c>
      <c r="I65">
        <f>tblComponents[Forecast_Demand]</f>
        <v>1421</v>
      </c>
      <c r="J65">
        <f>tblComponents[Annual_Demand]</f>
        <v>20674</v>
      </c>
      <c r="K65">
        <f>tblComponents[Demand_Variability]</f>
        <v>0.1555</v>
      </c>
      <c r="L65">
        <f t="shared" si="0"/>
        <v>-36</v>
      </c>
    </row>
    <row r="66" spans="1:12" x14ac:dyDescent="0.35">
      <c r="A66" s="8" t="str">
        <f>tblComponents[Component_ID]</f>
        <v>C065</v>
      </c>
      <c r="B66" s="8" t="str">
        <f>tblComponents[Component_Name]</f>
        <v>Component 065</v>
      </c>
      <c r="C66" t="str">
        <f>tblComponents[Product_Family]</f>
        <v>Body &amp; Exterior</v>
      </c>
      <c r="D66" t="str">
        <f>tblComponents[Category]</f>
        <v>Metal</v>
      </c>
      <c r="E66" t="str">
        <f>tblComponents[Sourcing_Type]</f>
        <v>Make</v>
      </c>
      <c r="F66" t="str">
        <f>tblComponents[Criticality]</f>
        <v>Low</v>
      </c>
      <c r="G66">
        <f>tblComponents[Monthly_Demand]</f>
        <v>392</v>
      </c>
      <c r="H66">
        <f>tblComponents[Demand_Growth_Rate]</f>
        <v>0.12680965857834961</v>
      </c>
      <c r="I66">
        <f>tblComponents[Forecast_Demand]</f>
        <v>442</v>
      </c>
      <c r="J66">
        <f>tblComponents[Annual_Demand]</f>
        <v>33262</v>
      </c>
      <c r="K66">
        <f>tblComponents[Demand_Variability]</f>
        <v>0.1948</v>
      </c>
      <c r="L66">
        <f t="shared" si="0"/>
        <v>50</v>
      </c>
    </row>
    <row r="67" spans="1:12" x14ac:dyDescent="0.35">
      <c r="A67" s="8" t="str">
        <f>tblComponents[Component_ID]</f>
        <v>C066</v>
      </c>
      <c r="B67" s="8" t="str">
        <f>tblComponents[Component_Name]</f>
        <v>Component 066</v>
      </c>
      <c r="C67" t="str">
        <f>tblComponents[Product_Family]</f>
        <v>Electrical Systems</v>
      </c>
      <c r="D67" t="str">
        <f>tblComponents[Category]</f>
        <v>Electrical</v>
      </c>
      <c r="E67" t="str">
        <f>tblComponents[Sourcing_Type]</f>
        <v>Make</v>
      </c>
      <c r="F67" t="str">
        <f>tblComponents[Criticality]</f>
        <v>Medium</v>
      </c>
      <c r="G67">
        <f>tblComponents[Monthly_Demand]</f>
        <v>313</v>
      </c>
      <c r="H67">
        <f>tblComponents[Demand_Growth_Rate]</f>
        <v>0.1776715495639283</v>
      </c>
      <c r="I67">
        <f>tblComponents[Forecast_Demand]</f>
        <v>369</v>
      </c>
      <c r="J67">
        <f>tblComponents[Annual_Demand]</f>
        <v>52422</v>
      </c>
      <c r="K67">
        <f>tblComponents[Demand_Variability]</f>
        <v>0.16650000000000001</v>
      </c>
      <c r="L67">
        <f t="shared" ref="L67:L130" si="1">I67-G67</f>
        <v>56</v>
      </c>
    </row>
    <row r="68" spans="1:12" x14ac:dyDescent="0.35">
      <c r="A68" s="8" t="str">
        <f>tblComponents[Component_ID]</f>
        <v>C067</v>
      </c>
      <c r="B68" s="8" t="str">
        <f>tblComponents[Component_Name]</f>
        <v>Component 067</v>
      </c>
      <c r="C68" t="str">
        <f>tblComponents[Product_Family]</f>
        <v>Chassis</v>
      </c>
      <c r="D68" t="str">
        <f>tblComponents[Category]</f>
        <v>Metal</v>
      </c>
      <c r="E68" t="str">
        <f>tblComponents[Sourcing_Type]</f>
        <v>Make</v>
      </c>
      <c r="F68" t="str">
        <f>tblComponents[Criticality]</f>
        <v>Low</v>
      </c>
      <c r="G68">
        <f>tblComponents[Monthly_Demand]</f>
        <v>1449</v>
      </c>
      <c r="H68">
        <f>tblComponents[Demand_Growth_Rate]</f>
        <v>7.9709514281518026E-2</v>
      </c>
      <c r="I68">
        <f>tblComponents[Forecast_Demand]</f>
        <v>1564</v>
      </c>
      <c r="J68">
        <f>tblComponents[Annual_Demand]</f>
        <v>84722</v>
      </c>
      <c r="K68">
        <f>tblComponents[Demand_Variability]</f>
        <v>0.22639999999999999</v>
      </c>
      <c r="L68">
        <f t="shared" si="1"/>
        <v>115</v>
      </c>
    </row>
    <row r="69" spans="1:12" x14ac:dyDescent="0.35">
      <c r="A69" s="8" t="str">
        <f>tblComponents[Component_ID]</f>
        <v>C068</v>
      </c>
      <c r="B69" s="8" t="str">
        <f>tblComponents[Component_Name]</f>
        <v>Component 068</v>
      </c>
      <c r="C69" t="str">
        <f>tblComponents[Product_Family]</f>
        <v>Chassis</v>
      </c>
      <c r="D69" t="str">
        <f>tblComponents[Category]</f>
        <v>Metal</v>
      </c>
      <c r="E69" t="str">
        <f>tblComponents[Sourcing_Type]</f>
        <v>Make</v>
      </c>
      <c r="F69" t="str">
        <f>tblComponents[Criticality]</f>
        <v>Low</v>
      </c>
      <c r="G69">
        <f>tblComponents[Monthly_Demand]</f>
        <v>1936</v>
      </c>
      <c r="H69">
        <f>tblComponents[Demand_Growth_Rate]</f>
        <v>-2.1433174986078069E-2</v>
      </c>
      <c r="I69">
        <f>tblComponents[Forecast_Demand]</f>
        <v>1895</v>
      </c>
      <c r="J69">
        <f>tblComponents[Annual_Demand]</f>
        <v>80818</v>
      </c>
      <c r="K69">
        <f>tblComponents[Demand_Variability]</f>
        <v>0.22720000000000001</v>
      </c>
      <c r="L69">
        <f t="shared" si="1"/>
        <v>-41</v>
      </c>
    </row>
    <row r="70" spans="1:12" x14ac:dyDescent="0.35">
      <c r="A70" s="8" t="str">
        <f>tblComponents[Component_ID]</f>
        <v>C069</v>
      </c>
      <c r="B70" s="8" t="str">
        <f>tblComponents[Component_Name]</f>
        <v>Component 069</v>
      </c>
      <c r="C70" t="str">
        <f>tblComponents[Product_Family]</f>
        <v>Interior</v>
      </c>
      <c r="D70" t="str">
        <f>tblComponents[Category]</f>
        <v>Electrical</v>
      </c>
      <c r="E70" t="str">
        <f>tblComponents[Sourcing_Type]</f>
        <v>Make</v>
      </c>
      <c r="F70" t="str">
        <f>tblComponents[Criticality]</f>
        <v>Medium</v>
      </c>
      <c r="G70">
        <f>tblComponents[Monthly_Demand]</f>
        <v>227</v>
      </c>
      <c r="H70">
        <f>tblComponents[Demand_Growth_Rate]</f>
        <v>6.151205734995488E-3</v>
      </c>
      <c r="I70">
        <f>tblComponents[Forecast_Demand]</f>
        <v>228</v>
      </c>
      <c r="J70">
        <f>tblComponents[Annual_Demand]</f>
        <v>38238</v>
      </c>
      <c r="K70">
        <f>tblComponents[Demand_Variability]</f>
        <v>8.1699999999999995E-2</v>
      </c>
      <c r="L70">
        <f t="shared" si="1"/>
        <v>1</v>
      </c>
    </row>
    <row r="71" spans="1:12" x14ac:dyDescent="0.35">
      <c r="A71" s="8" t="str">
        <f>tblComponents[Component_ID]</f>
        <v>C070</v>
      </c>
      <c r="B71" s="8" t="str">
        <f>tblComponents[Component_Name]</f>
        <v>Component 070</v>
      </c>
      <c r="C71" t="str">
        <f>tblComponents[Product_Family]</f>
        <v>Powertrain</v>
      </c>
      <c r="D71" t="str">
        <f>tblComponents[Category]</f>
        <v>Metal</v>
      </c>
      <c r="E71" t="str">
        <f>tblComponents[Sourcing_Type]</f>
        <v>Make</v>
      </c>
      <c r="F71" t="str">
        <f>tblComponents[Criticality]</f>
        <v>Medium</v>
      </c>
      <c r="G71">
        <f>tblComponents[Monthly_Demand]</f>
        <v>276</v>
      </c>
      <c r="H71">
        <f>tblComponents[Demand_Growth_Rate]</f>
        <v>0.1451239268865219</v>
      </c>
      <c r="I71">
        <f>tblComponents[Forecast_Demand]</f>
        <v>316</v>
      </c>
      <c r="J71">
        <f>tblComponents[Annual_Demand]</f>
        <v>36889</v>
      </c>
      <c r="K71">
        <f>tblComponents[Demand_Variability]</f>
        <v>0.21229999999999999</v>
      </c>
      <c r="L71">
        <f t="shared" si="1"/>
        <v>40</v>
      </c>
    </row>
    <row r="72" spans="1:12" x14ac:dyDescent="0.35">
      <c r="A72" s="8" t="str">
        <f>tblComponents[Component_ID]</f>
        <v>C071</v>
      </c>
      <c r="B72" s="8" t="str">
        <f>tblComponents[Component_Name]</f>
        <v>Component 071</v>
      </c>
      <c r="C72" t="str">
        <f>tblComponents[Product_Family]</f>
        <v>Chassis</v>
      </c>
      <c r="D72" t="str">
        <f>tblComponents[Category]</f>
        <v>Metal</v>
      </c>
      <c r="E72" t="str">
        <f>tblComponents[Sourcing_Type]</f>
        <v>Make</v>
      </c>
      <c r="F72" t="str">
        <f>tblComponents[Criticality]</f>
        <v>Low</v>
      </c>
      <c r="G72">
        <f>tblComponents[Monthly_Demand]</f>
        <v>647</v>
      </c>
      <c r="H72">
        <f>tblComponents[Demand_Growth_Rate]</f>
        <v>5.365603093175593E-2</v>
      </c>
      <c r="I72">
        <f>tblComponents[Forecast_Demand]</f>
        <v>682</v>
      </c>
      <c r="J72">
        <f>tblComponents[Annual_Demand]</f>
        <v>45313</v>
      </c>
      <c r="K72">
        <f>tblComponents[Demand_Variability]</f>
        <v>0.1583</v>
      </c>
      <c r="L72">
        <f t="shared" si="1"/>
        <v>35</v>
      </c>
    </row>
    <row r="73" spans="1:12" x14ac:dyDescent="0.35">
      <c r="A73" s="8" t="str">
        <f>tblComponents[Component_ID]</f>
        <v>C072</v>
      </c>
      <c r="B73" s="8" t="str">
        <f>tblComponents[Component_Name]</f>
        <v>Component 072</v>
      </c>
      <c r="C73" t="str">
        <f>tblComponents[Product_Family]</f>
        <v>Interior</v>
      </c>
      <c r="D73" t="str">
        <f>tblComponents[Category]</f>
        <v>Metal</v>
      </c>
      <c r="E73" t="str">
        <f>tblComponents[Sourcing_Type]</f>
        <v>Make</v>
      </c>
      <c r="F73" t="str">
        <f>tblComponents[Criticality]</f>
        <v>Critical</v>
      </c>
      <c r="G73">
        <f>tblComponents[Monthly_Demand]</f>
        <v>478</v>
      </c>
      <c r="H73">
        <f>tblComponents[Demand_Growth_Rate]</f>
        <v>0.14994550551856731</v>
      </c>
      <c r="I73">
        <f>tblComponents[Forecast_Demand]</f>
        <v>550</v>
      </c>
      <c r="J73">
        <f>tblComponents[Annual_Demand]</f>
        <v>47535</v>
      </c>
      <c r="K73">
        <f>tblComponents[Demand_Variability]</f>
        <v>0.24809999999999999</v>
      </c>
      <c r="L73">
        <f t="shared" si="1"/>
        <v>72</v>
      </c>
    </row>
    <row r="74" spans="1:12" x14ac:dyDescent="0.35">
      <c r="A74" s="8" t="str">
        <f>tblComponents[Component_ID]</f>
        <v>C073</v>
      </c>
      <c r="B74" s="8" t="str">
        <f>tblComponents[Component_Name]</f>
        <v>Component 073</v>
      </c>
      <c r="C74" t="str">
        <f>tblComponents[Product_Family]</f>
        <v>Electrical Systems</v>
      </c>
      <c r="D74" t="str">
        <f>tblComponents[Category]</f>
        <v>Electrical</v>
      </c>
      <c r="E74" t="str">
        <f>tblComponents[Sourcing_Type]</f>
        <v>Make</v>
      </c>
      <c r="F74" t="str">
        <f>tblComponents[Criticality]</f>
        <v>Low</v>
      </c>
      <c r="G74">
        <f>tblComponents[Monthly_Demand]</f>
        <v>1268</v>
      </c>
      <c r="H74">
        <f>tblComponents[Demand_Growth_Rate]</f>
        <v>0.1438819041737526</v>
      </c>
      <c r="I74">
        <f>tblComponents[Forecast_Demand]</f>
        <v>1450</v>
      </c>
      <c r="J74">
        <f>tblComponents[Annual_Demand]</f>
        <v>25770</v>
      </c>
      <c r="K74">
        <f>tblComponents[Demand_Variability]</f>
        <v>0.16209999999999999</v>
      </c>
      <c r="L74">
        <f t="shared" si="1"/>
        <v>182</v>
      </c>
    </row>
    <row r="75" spans="1:12" x14ac:dyDescent="0.35">
      <c r="A75" s="8" t="str">
        <f>tblComponents[Component_ID]</f>
        <v>C074</v>
      </c>
      <c r="B75" s="8" t="str">
        <f>tblComponents[Component_Name]</f>
        <v>Component 074</v>
      </c>
      <c r="C75" t="str">
        <f>tblComponents[Product_Family]</f>
        <v>Electrical Systems</v>
      </c>
      <c r="D75" t="str">
        <f>tblComponents[Category]</f>
        <v>Metal</v>
      </c>
      <c r="E75" t="str">
        <f>tblComponents[Sourcing_Type]</f>
        <v>Make</v>
      </c>
      <c r="F75" t="str">
        <f>tblComponents[Criticality]</f>
        <v>Medium</v>
      </c>
      <c r="G75">
        <f>tblComponents[Monthly_Demand]</f>
        <v>2920</v>
      </c>
      <c r="H75">
        <f>tblComponents[Demand_Growth_Rate]</f>
        <v>3.3590702827620542E-2</v>
      </c>
      <c r="I75">
        <f>tblComponents[Forecast_Demand]</f>
        <v>3018</v>
      </c>
      <c r="J75">
        <f>tblComponents[Annual_Demand]</f>
        <v>54321</v>
      </c>
      <c r="K75">
        <f>tblComponents[Demand_Variability]</f>
        <v>0.24779999999999999</v>
      </c>
      <c r="L75">
        <f t="shared" si="1"/>
        <v>98</v>
      </c>
    </row>
    <row r="76" spans="1:12" x14ac:dyDescent="0.35">
      <c r="A76" s="8" t="str">
        <f>tblComponents[Component_ID]</f>
        <v>C075</v>
      </c>
      <c r="B76" s="8" t="str">
        <f>tblComponents[Component_Name]</f>
        <v>Component 075</v>
      </c>
      <c r="C76" t="str">
        <f>tblComponents[Product_Family]</f>
        <v>Body &amp; Exterior</v>
      </c>
      <c r="D76" t="str">
        <f>tblComponents[Category]</f>
        <v>Metal</v>
      </c>
      <c r="E76" t="str">
        <f>tblComponents[Sourcing_Type]</f>
        <v>Make</v>
      </c>
      <c r="F76" t="str">
        <f>tblComponents[Criticality]</f>
        <v>Medium</v>
      </c>
      <c r="G76">
        <f>tblComponents[Monthly_Demand]</f>
        <v>154</v>
      </c>
      <c r="H76">
        <f>tblComponents[Demand_Growth_Rate]</f>
        <v>-1.0961850658452409E-2</v>
      </c>
      <c r="I76">
        <f>tblComponents[Forecast_Demand]</f>
        <v>152</v>
      </c>
      <c r="J76">
        <f>tblComponents[Annual_Demand]</f>
        <v>12235</v>
      </c>
      <c r="K76">
        <f>tblComponents[Demand_Variability]</f>
        <v>0.20830000000000001</v>
      </c>
      <c r="L76">
        <f t="shared" si="1"/>
        <v>-2</v>
      </c>
    </row>
    <row r="77" spans="1:12" x14ac:dyDescent="0.35">
      <c r="A77" s="8" t="str">
        <f>tblComponents[Component_ID]</f>
        <v>C076</v>
      </c>
      <c r="B77" s="8" t="str">
        <f>tblComponents[Component_Name]</f>
        <v>Component 076</v>
      </c>
      <c r="C77" t="str">
        <f>tblComponents[Product_Family]</f>
        <v>Body &amp; Exterior</v>
      </c>
      <c r="D77" t="str">
        <f>tblComponents[Category]</f>
        <v>Metal</v>
      </c>
      <c r="E77" t="str">
        <f>tblComponents[Sourcing_Type]</f>
        <v>Make</v>
      </c>
      <c r="F77" t="str">
        <f>tblComponents[Criticality]</f>
        <v>High</v>
      </c>
      <c r="G77">
        <f>tblComponents[Monthly_Demand]</f>
        <v>827</v>
      </c>
      <c r="H77">
        <f>tblComponents[Demand_Growth_Rate]</f>
        <v>-2.3972854503856542E-2</v>
      </c>
      <c r="I77">
        <f>tblComponents[Forecast_Demand]</f>
        <v>807</v>
      </c>
      <c r="J77">
        <f>tblComponents[Annual_Demand]</f>
        <v>41874</v>
      </c>
      <c r="K77">
        <f>tblComponents[Demand_Variability]</f>
        <v>0.12230000000000001</v>
      </c>
      <c r="L77">
        <f t="shared" si="1"/>
        <v>-20</v>
      </c>
    </row>
    <row r="78" spans="1:12" x14ac:dyDescent="0.35">
      <c r="A78" s="8" t="str">
        <f>tblComponents[Component_ID]</f>
        <v>C077</v>
      </c>
      <c r="B78" s="8" t="str">
        <f>tblComponents[Component_Name]</f>
        <v>Component 077</v>
      </c>
      <c r="C78" t="str">
        <f>tblComponents[Product_Family]</f>
        <v>Powertrain</v>
      </c>
      <c r="D78" t="str">
        <f>tblComponents[Category]</f>
        <v>Electrical</v>
      </c>
      <c r="E78" t="str">
        <f>tblComponents[Sourcing_Type]</f>
        <v>Make</v>
      </c>
      <c r="F78" t="str">
        <f>tblComponents[Criticality]</f>
        <v>Critical</v>
      </c>
      <c r="G78">
        <f>tblComponents[Monthly_Demand]</f>
        <v>577</v>
      </c>
      <c r="H78">
        <f>tblComponents[Demand_Growth_Rate]</f>
        <v>0.1007993505442449</v>
      </c>
      <c r="I78">
        <f>tblComponents[Forecast_Demand]</f>
        <v>635</v>
      </c>
      <c r="J78">
        <f>tblComponents[Annual_Demand]</f>
        <v>44079</v>
      </c>
      <c r="K78">
        <f>tblComponents[Demand_Variability]</f>
        <v>0.17150000000000001</v>
      </c>
      <c r="L78">
        <f t="shared" si="1"/>
        <v>58</v>
      </c>
    </row>
    <row r="79" spans="1:12" x14ac:dyDescent="0.35">
      <c r="A79" s="8" t="str">
        <f>tblComponents[Component_ID]</f>
        <v>C078</v>
      </c>
      <c r="B79" s="8" t="str">
        <f>tblComponents[Component_Name]</f>
        <v>Component 078</v>
      </c>
      <c r="C79" t="str">
        <f>tblComponents[Product_Family]</f>
        <v>Interior</v>
      </c>
      <c r="D79" t="str">
        <f>tblComponents[Category]</f>
        <v>Electrical</v>
      </c>
      <c r="E79" t="str">
        <f>tblComponents[Sourcing_Type]</f>
        <v>Make</v>
      </c>
      <c r="F79" t="str">
        <f>tblComponents[Criticality]</f>
        <v>Medium</v>
      </c>
      <c r="G79">
        <f>tblComponents[Monthly_Demand]</f>
        <v>1477</v>
      </c>
      <c r="H79">
        <f>tblComponents[Demand_Growth_Rate]</f>
        <v>-4.6749519122315987E-2</v>
      </c>
      <c r="I79">
        <f>tblComponents[Forecast_Demand]</f>
        <v>1408</v>
      </c>
      <c r="J79">
        <f>tblComponents[Annual_Demand]</f>
        <v>79850</v>
      </c>
      <c r="K79">
        <f>tblComponents[Demand_Variability]</f>
        <v>0.2487</v>
      </c>
      <c r="L79">
        <f t="shared" si="1"/>
        <v>-69</v>
      </c>
    </row>
    <row r="80" spans="1:12" x14ac:dyDescent="0.35">
      <c r="A80" s="8" t="str">
        <f>tblComponents[Component_ID]</f>
        <v>C079</v>
      </c>
      <c r="B80" s="8" t="str">
        <f>tblComponents[Component_Name]</f>
        <v>Component 079</v>
      </c>
      <c r="C80" t="str">
        <f>tblComponents[Product_Family]</f>
        <v>Powertrain</v>
      </c>
      <c r="D80" t="str">
        <f>tblComponents[Category]</f>
        <v>Metal</v>
      </c>
      <c r="E80" t="str">
        <f>tblComponents[Sourcing_Type]</f>
        <v>Make</v>
      </c>
      <c r="F80" t="str">
        <f>tblComponents[Criticality]</f>
        <v>Medium</v>
      </c>
      <c r="G80">
        <f>tblComponents[Monthly_Demand]</f>
        <v>1013</v>
      </c>
      <c r="H80">
        <f>tblComponents[Demand_Growth_Rate]</f>
        <v>0.17765600088507599</v>
      </c>
      <c r="I80">
        <f>tblComponents[Forecast_Demand]</f>
        <v>1193</v>
      </c>
      <c r="J80">
        <f>tblComponents[Annual_Demand]</f>
        <v>39018</v>
      </c>
      <c r="K80">
        <f>tblComponents[Demand_Variability]</f>
        <v>0.2258</v>
      </c>
      <c r="L80">
        <f t="shared" si="1"/>
        <v>180</v>
      </c>
    </row>
    <row r="81" spans="1:12" x14ac:dyDescent="0.35">
      <c r="A81" s="8" t="str">
        <f>tblComponents[Component_ID]</f>
        <v>C080</v>
      </c>
      <c r="B81" s="8" t="str">
        <f>tblComponents[Component_Name]</f>
        <v>Component 080</v>
      </c>
      <c r="C81" t="str">
        <f>tblComponents[Product_Family]</f>
        <v>Chassis</v>
      </c>
      <c r="D81" t="str">
        <f>tblComponents[Category]</f>
        <v>Electrical</v>
      </c>
      <c r="E81" t="str">
        <f>tblComponents[Sourcing_Type]</f>
        <v>Make</v>
      </c>
      <c r="F81" t="str">
        <f>tblComponents[Criticality]</f>
        <v>Critical</v>
      </c>
      <c r="G81">
        <f>tblComponents[Monthly_Demand]</f>
        <v>392</v>
      </c>
      <c r="H81">
        <f>tblComponents[Demand_Growth_Rate]</f>
        <v>5.2352913047810097E-2</v>
      </c>
      <c r="I81">
        <f>tblComponents[Forecast_Demand]</f>
        <v>413</v>
      </c>
      <c r="J81">
        <f>tblComponents[Annual_Demand]</f>
        <v>55130</v>
      </c>
      <c r="K81">
        <f>tblComponents[Demand_Variability]</f>
        <v>9.6600000000000005E-2</v>
      </c>
      <c r="L81">
        <f t="shared" si="1"/>
        <v>21</v>
      </c>
    </row>
    <row r="82" spans="1:12" x14ac:dyDescent="0.35">
      <c r="A82" s="8" t="str">
        <f>tblComponents[Component_ID]</f>
        <v>C081</v>
      </c>
      <c r="B82" s="8" t="str">
        <f>tblComponents[Component_Name]</f>
        <v>Component 081</v>
      </c>
      <c r="C82" t="str">
        <f>tblComponents[Product_Family]</f>
        <v>Chassis</v>
      </c>
      <c r="D82" t="str">
        <f>tblComponents[Category]</f>
        <v>Metal</v>
      </c>
      <c r="E82" t="str">
        <f>tblComponents[Sourcing_Type]</f>
        <v>Make</v>
      </c>
      <c r="F82" t="str">
        <f>tblComponents[Criticality]</f>
        <v>Medium</v>
      </c>
      <c r="G82">
        <f>tblComponents[Monthly_Demand]</f>
        <v>1713</v>
      </c>
      <c r="H82">
        <f>tblComponents[Demand_Growth_Rate]</f>
        <v>9.1444154991640117E-2</v>
      </c>
      <c r="I82">
        <f>tblComponents[Forecast_Demand]</f>
        <v>1870</v>
      </c>
      <c r="J82">
        <f>tblComponents[Annual_Demand]</f>
        <v>19287</v>
      </c>
      <c r="K82">
        <f>tblComponents[Demand_Variability]</f>
        <v>0.2001</v>
      </c>
      <c r="L82">
        <f t="shared" si="1"/>
        <v>157</v>
      </c>
    </row>
    <row r="83" spans="1:12" x14ac:dyDescent="0.35">
      <c r="A83" s="8" t="str">
        <f>tblComponents[Component_ID]</f>
        <v>C082</v>
      </c>
      <c r="B83" s="8" t="str">
        <f>tblComponents[Component_Name]</f>
        <v>Component 082</v>
      </c>
      <c r="C83" t="str">
        <f>tblComponents[Product_Family]</f>
        <v>Electrical Systems</v>
      </c>
      <c r="D83" t="str">
        <f>tblComponents[Category]</f>
        <v>Metal</v>
      </c>
      <c r="E83" t="str">
        <f>tblComponents[Sourcing_Type]</f>
        <v>Make</v>
      </c>
      <c r="F83" t="str">
        <f>tblComponents[Criticality]</f>
        <v>Medium</v>
      </c>
      <c r="G83">
        <f>tblComponents[Monthly_Demand]</f>
        <v>336</v>
      </c>
      <c r="H83">
        <f>tblComponents[Demand_Growth_Rate]</f>
        <v>5.0637510899245133E-2</v>
      </c>
      <c r="I83">
        <f>tblComponents[Forecast_Demand]</f>
        <v>353</v>
      </c>
      <c r="J83">
        <f>tblComponents[Annual_Demand]</f>
        <v>17537</v>
      </c>
      <c r="K83">
        <f>tblComponents[Demand_Variability]</f>
        <v>0.13869999999999999</v>
      </c>
      <c r="L83">
        <f t="shared" si="1"/>
        <v>17</v>
      </c>
    </row>
    <row r="84" spans="1:12" x14ac:dyDescent="0.35">
      <c r="A84" s="8" t="str">
        <f>tblComponents[Component_ID]</f>
        <v>C083</v>
      </c>
      <c r="B84" s="8" t="str">
        <f>tblComponents[Component_Name]</f>
        <v>Component 083</v>
      </c>
      <c r="C84" t="str">
        <f>tblComponents[Product_Family]</f>
        <v>Body &amp; Exterior</v>
      </c>
      <c r="D84" t="str">
        <f>tblComponents[Category]</f>
        <v>Metal</v>
      </c>
      <c r="E84" t="str">
        <f>tblComponents[Sourcing_Type]</f>
        <v>Make</v>
      </c>
      <c r="F84" t="str">
        <f>tblComponents[Criticality]</f>
        <v>Low</v>
      </c>
      <c r="G84">
        <f>tblComponents[Monthly_Demand]</f>
        <v>1304</v>
      </c>
      <c r="H84">
        <f>tblComponents[Demand_Growth_Rate]</f>
        <v>-4.5402330863133319E-2</v>
      </c>
      <c r="I84">
        <f>tblComponents[Forecast_Demand]</f>
        <v>1245</v>
      </c>
      <c r="J84">
        <f>tblComponents[Annual_Demand]</f>
        <v>49800</v>
      </c>
      <c r="K84">
        <f>tblComponents[Demand_Variability]</f>
        <v>8.1199999999999994E-2</v>
      </c>
      <c r="L84">
        <f t="shared" si="1"/>
        <v>-59</v>
      </c>
    </row>
    <row r="85" spans="1:12" x14ac:dyDescent="0.35">
      <c r="A85" s="8" t="str">
        <f>tblComponents[Component_ID]</f>
        <v>C084</v>
      </c>
      <c r="B85" s="8" t="str">
        <f>tblComponents[Component_Name]</f>
        <v>Component 084</v>
      </c>
      <c r="C85" t="str">
        <f>tblComponents[Product_Family]</f>
        <v>Powertrain</v>
      </c>
      <c r="D85" t="str">
        <f>tblComponents[Category]</f>
        <v>Metal</v>
      </c>
      <c r="E85" t="str">
        <f>tblComponents[Sourcing_Type]</f>
        <v>Make</v>
      </c>
      <c r="F85" t="str">
        <f>tblComponents[Criticality]</f>
        <v>Medium</v>
      </c>
      <c r="G85">
        <f>tblComponents[Monthly_Demand]</f>
        <v>877</v>
      </c>
      <c r="H85">
        <f>tblComponents[Demand_Growth_Rate]</f>
        <v>0.1300506454080739</v>
      </c>
      <c r="I85">
        <f>tblComponents[Forecast_Demand]</f>
        <v>991</v>
      </c>
      <c r="J85">
        <f>tblComponents[Annual_Demand]</f>
        <v>93400</v>
      </c>
      <c r="K85">
        <f>tblComponents[Demand_Variability]</f>
        <v>0.14860000000000001</v>
      </c>
      <c r="L85">
        <f t="shared" si="1"/>
        <v>114</v>
      </c>
    </row>
    <row r="86" spans="1:12" x14ac:dyDescent="0.35">
      <c r="A86" s="8" t="str">
        <f>tblComponents[Component_ID]</f>
        <v>C085</v>
      </c>
      <c r="B86" s="8" t="str">
        <f>tblComponents[Component_Name]</f>
        <v>Component 085</v>
      </c>
      <c r="C86" t="str">
        <f>tblComponents[Product_Family]</f>
        <v>Powertrain</v>
      </c>
      <c r="D86" t="str">
        <f>tblComponents[Category]</f>
        <v>Metal</v>
      </c>
      <c r="E86" t="str">
        <f>tblComponents[Sourcing_Type]</f>
        <v>Make</v>
      </c>
      <c r="F86" t="str">
        <f>tblComponents[Criticality]</f>
        <v>Medium</v>
      </c>
      <c r="G86">
        <f>tblComponents[Monthly_Demand]</f>
        <v>1248</v>
      </c>
      <c r="H86">
        <f>tblComponents[Demand_Growth_Rate]</f>
        <v>0.11625916863656389</v>
      </c>
      <c r="I86">
        <f>tblComponents[Forecast_Demand]</f>
        <v>1393</v>
      </c>
      <c r="J86">
        <f>tblComponents[Annual_Demand]</f>
        <v>59437</v>
      </c>
      <c r="K86">
        <f>tblComponents[Demand_Variability]</f>
        <v>0.11990000000000001</v>
      </c>
      <c r="L86">
        <f t="shared" si="1"/>
        <v>145</v>
      </c>
    </row>
    <row r="87" spans="1:12" x14ac:dyDescent="0.35">
      <c r="A87" s="8" t="str">
        <f>tblComponents[Component_ID]</f>
        <v>C086</v>
      </c>
      <c r="B87" s="8" t="str">
        <f>tblComponents[Component_Name]</f>
        <v>Component 086</v>
      </c>
      <c r="C87" t="str">
        <f>tblComponents[Product_Family]</f>
        <v>Interior</v>
      </c>
      <c r="D87" t="str">
        <f>tblComponents[Category]</f>
        <v>Metal</v>
      </c>
      <c r="E87" t="str">
        <f>tblComponents[Sourcing_Type]</f>
        <v>Make</v>
      </c>
      <c r="F87" t="str">
        <f>tblComponents[Criticality]</f>
        <v>Medium</v>
      </c>
      <c r="G87">
        <f>tblComponents[Monthly_Demand]</f>
        <v>2019</v>
      </c>
      <c r="H87">
        <f>tblComponents[Demand_Growth_Rate]</f>
        <v>0.18965679432830509</v>
      </c>
      <c r="I87">
        <f>tblComponents[Forecast_Demand]</f>
        <v>2402</v>
      </c>
      <c r="J87">
        <f>tblComponents[Annual_Demand]</f>
        <v>18009</v>
      </c>
      <c r="K87">
        <f>tblComponents[Demand_Variability]</f>
        <v>0.21920000000000001</v>
      </c>
      <c r="L87">
        <f t="shared" si="1"/>
        <v>383</v>
      </c>
    </row>
    <row r="88" spans="1:12" x14ac:dyDescent="0.35">
      <c r="A88" s="8" t="str">
        <f>tblComponents[Component_ID]</f>
        <v>C087</v>
      </c>
      <c r="B88" s="8" t="str">
        <f>tblComponents[Component_Name]</f>
        <v>Component 087</v>
      </c>
      <c r="C88" t="str">
        <f>tblComponents[Product_Family]</f>
        <v>Powertrain</v>
      </c>
      <c r="D88" t="str">
        <f>tblComponents[Category]</f>
        <v>Electrical</v>
      </c>
      <c r="E88" t="str">
        <f>tblComponents[Sourcing_Type]</f>
        <v>Make</v>
      </c>
      <c r="F88" t="str">
        <f>tblComponents[Criticality]</f>
        <v>Low</v>
      </c>
      <c r="G88">
        <f>tblComponents[Monthly_Demand]</f>
        <v>1175</v>
      </c>
      <c r="H88">
        <f>tblComponents[Demand_Growth_Rate]</f>
        <v>0.12976147629606141</v>
      </c>
      <c r="I88">
        <f>tblComponents[Forecast_Demand]</f>
        <v>1327</v>
      </c>
      <c r="J88">
        <f>tblComponents[Annual_Demand]</f>
        <v>49942</v>
      </c>
      <c r="K88">
        <f>tblComponents[Demand_Variability]</f>
        <v>0.13730000000000001</v>
      </c>
      <c r="L88">
        <f t="shared" si="1"/>
        <v>152</v>
      </c>
    </row>
    <row r="89" spans="1:12" x14ac:dyDescent="0.35">
      <c r="A89" s="8" t="str">
        <f>tblComponents[Component_ID]</f>
        <v>C088</v>
      </c>
      <c r="B89" s="8" t="str">
        <f>tblComponents[Component_Name]</f>
        <v>Component 088</v>
      </c>
      <c r="C89" t="str">
        <f>tblComponents[Product_Family]</f>
        <v>Electrical Systems</v>
      </c>
      <c r="D89" t="str">
        <f>tblComponents[Category]</f>
        <v>Metal</v>
      </c>
      <c r="E89" t="str">
        <f>tblComponents[Sourcing_Type]</f>
        <v>Make</v>
      </c>
      <c r="F89" t="str">
        <f>tblComponents[Criticality]</f>
        <v>Low</v>
      </c>
      <c r="G89">
        <f>tblComponents[Monthly_Demand]</f>
        <v>388</v>
      </c>
      <c r="H89">
        <f>tblComponents[Demand_Growth_Rate]</f>
        <v>1.7477805598048721E-2</v>
      </c>
      <c r="I89">
        <f>tblComponents[Forecast_Demand]</f>
        <v>395</v>
      </c>
      <c r="J89">
        <f>tblComponents[Annual_Demand]</f>
        <v>44327</v>
      </c>
      <c r="K89">
        <f>tblComponents[Demand_Variability]</f>
        <v>0.22070000000000001</v>
      </c>
      <c r="L89">
        <f t="shared" si="1"/>
        <v>7</v>
      </c>
    </row>
    <row r="90" spans="1:12" x14ac:dyDescent="0.35">
      <c r="A90" s="8" t="str">
        <f>tblComponents[Component_ID]</f>
        <v>C089</v>
      </c>
      <c r="B90" s="8" t="str">
        <f>tblComponents[Component_Name]</f>
        <v>Component 089</v>
      </c>
      <c r="C90" t="str">
        <f>tblComponents[Product_Family]</f>
        <v>Powertrain</v>
      </c>
      <c r="D90" t="str">
        <f>tblComponents[Category]</f>
        <v>Electrical</v>
      </c>
      <c r="E90" t="str">
        <f>tblComponents[Sourcing_Type]</f>
        <v>Make</v>
      </c>
      <c r="F90" t="str">
        <f>tblComponents[Criticality]</f>
        <v>Low</v>
      </c>
      <c r="G90">
        <f>tblComponents[Monthly_Demand]</f>
        <v>1200</v>
      </c>
      <c r="H90">
        <f>tblComponents[Demand_Growth_Rate]</f>
        <v>0.14272805093645549</v>
      </c>
      <c r="I90">
        <f>tblComponents[Forecast_Demand]</f>
        <v>1371</v>
      </c>
      <c r="J90">
        <f>tblComponents[Annual_Demand]</f>
        <v>6141</v>
      </c>
      <c r="K90">
        <f>tblComponents[Demand_Variability]</f>
        <v>8.0100000000000005E-2</v>
      </c>
      <c r="L90">
        <f t="shared" si="1"/>
        <v>171</v>
      </c>
    </row>
    <row r="91" spans="1:12" x14ac:dyDescent="0.35">
      <c r="A91" s="8" t="str">
        <f>tblComponents[Component_ID]</f>
        <v>C090</v>
      </c>
      <c r="B91" s="8" t="str">
        <f>tblComponents[Component_Name]</f>
        <v>Component 090</v>
      </c>
      <c r="C91" t="str">
        <f>tblComponents[Product_Family]</f>
        <v>Powertrain</v>
      </c>
      <c r="D91" t="str">
        <f>tblComponents[Category]</f>
        <v>Electrical</v>
      </c>
      <c r="E91" t="str">
        <f>tblComponents[Sourcing_Type]</f>
        <v>Make</v>
      </c>
      <c r="F91" t="str">
        <f>tblComponents[Criticality]</f>
        <v>Medium</v>
      </c>
      <c r="G91">
        <f>tblComponents[Monthly_Demand]</f>
        <v>538</v>
      </c>
      <c r="H91">
        <f>tblComponents[Demand_Growth_Rate]</f>
        <v>-3.101664740759448E-2</v>
      </c>
      <c r="I91">
        <f>tblComponents[Forecast_Demand]</f>
        <v>521</v>
      </c>
      <c r="J91">
        <f>tblComponents[Annual_Demand]</f>
        <v>30029</v>
      </c>
      <c r="K91">
        <f>tblComponents[Demand_Variability]</f>
        <v>0.1323</v>
      </c>
      <c r="L91">
        <f t="shared" si="1"/>
        <v>-17</v>
      </c>
    </row>
    <row r="92" spans="1:12" x14ac:dyDescent="0.35">
      <c r="A92" s="8" t="str">
        <f>tblComponents[Component_ID]</f>
        <v>C091</v>
      </c>
      <c r="B92" s="8" t="str">
        <f>tblComponents[Component_Name]</f>
        <v>Component 091</v>
      </c>
      <c r="C92" t="str">
        <f>tblComponents[Product_Family]</f>
        <v>Powertrain</v>
      </c>
      <c r="D92" t="str">
        <f>tblComponents[Category]</f>
        <v>Electrical</v>
      </c>
      <c r="E92" t="str">
        <f>tblComponents[Sourcing_Type]</f>
        <v>Make</v>
      </c>
      <c r="F92" t="str">
        <f>tblComponents[Criticality]</f>
        <v>High</v>
      </c>
      <c r="G92">
        <f>tblComponents[Monthly_Demand]</f>
        <v>1454</v>
      </c>
      <c r="H92">
        <f>tblComponents[Demand_Growth_Rate]</f>
        <v>0.17932839386556071</v>
      </c>
      <c r="I92">
        <f>tblComponents[Forecast_Demand]</f>
        <v>1715</v>
      </c>
      <c r="J92">
        <f>tblComponents[Annual_Demand]</f>
        <v>45916</v>
      </c>
      <c r="K92">
        <f>tblComponents[Demand_Variability]</f>
        <v>0.121</v>
      </c>
      <c r="L92">
        <f t="shared" si="1"/>
        <v>261</v>
      </c>
    </row>
    <row r="93" spans="1:12" x14ac:dyDescent="0.35">
      <c r="A93" s="8" t="str">
        <f>tblComponents[Component_ID]</f>
        <v>C092</v>
      </c>
      <c r="B93" s="8" t="str">
        <f>tblComponents[Component_Name]</f>
        <v>Component 092</v>
      </c>
      <c r="C93" t="str">
        <f>tblComponents[Product_Family]</f>
        <v>Interior</v>
      </c>
      <c r="D93" t="str">
        <f>tblComponents[Category]</f>
        <v>Metal</v>
      </c>
      <c r="E93" t="str">
        <f>tblComponents[Sourcing_Type]</f>
        <v>Make</v>
      </c>
      <c r="F93" t="str">
        <f>tblComponents[Criticality]</f>
        <v>Medium</v>
      </c>
      <c r="G93">
        <f>tblComponents[Monthly_Demand]</f>
        <v>363</v>
      </c>
      <c r="H93">
        <f>tblComponents[Demand_Growth_Rate]</f>
        <v>0.10973734633356549</v>
      </c>
      <c r="I93">
        <f>tblComponents[Forecast_Demand]</f>
        <v>403</v>
      </c>
      <c r="J93">
        <f>tblComponents[Annual_Demand]</f>
        <v>40878</v>
      </c>
      <c r="K93">
        <f>tblComponents[Demand_Variability]</f>
        <v>0.1197</v>
      </c>
      <c r="L93">
        <f t="shared" si="1"/>
        <v>40</v>
      </c>
    </row>
    <row r="94" spans="1:12" x14ac:dyDescent="0.35">
      <c r="A94" s="8" t="str">
        <f>tblComponents[Component_ID]</f>
        <v>C093</v>
      </c>
      <c r="B94" s="8" t="str">
        <f>tblComponents[Component_Name]</f>
        <v>Component 093</v>
      </c>
      <c r="C94" t="str">
        <f>tblComponents[Product_Family]</f>
        <v>Body &amp; Exterior</v>
      </c>
      <c r="D94" t="str">
        <f>tblComponents[Category]</f>
        <v>Electrical</v>
      </c>
      <c r="E94" t="str">
        <f>tblComponents[Sourcing_Type]</f>
        <v>Make</v>
      </c>
      <c r="F94" t="str">
        <f>tblComponents[Criticality]</f>
        <v>Low</v>
      </c>
      <c r="G94">
        <f>tblComponents[Monthly_Demand]</f>
        <v>1070</v>
      </c>
      <c r="H94">
        <f>tblComponents[Demand_Growth_Rate]</f>
        <v>0.19691700199916171</v>
      </c>
      <c r="I94">
        <f>tblComponents[Forecast_Demand]</f>
        <v>1281</v>
      </c>
      <c r="J94">
        <f>tblComponents[Annual_Demand]</f>
        <v>25425</v>
      </c>
      <c r="K94">
        <f>tblComponents[Demand_Variability]</f>
        <v>9.1600000000000001E-2</v>
      </c>
      <c r="L94">
        <f t="shared" si="1"/>
        <v>211</v>
      </c>
    </row>
    <row r="95" spans="1:12" x14ac:dyDescent="0.35">
      <c r="A95" s="8" t="str">
        <f>tblComponents[Component_ID]</f>
        <v>C094</v>
      </c>
      <c r="B95" s="8" t="str">
        <f>tblComponents[Component_Name]</f>
        <v>Component 094</v>
      </c>
      <c r="C95" t="str">
        <f>tblComponents[Product_Family]</f>
        <v>Powertrain</v>
      </c>
      <c r="D95" t="str">
        <f>tblComponents[Category]</f>
        <v>Electrical</v>
      </c>
      <c r="E95" t="str">
        <f>tblComponents[Sourcing_Type]</f>
        <v>Make</v>
      </c>
      <c r="F95" t="str">
        <f>tblComponents[Criticality]</f>
        <v>High</v>
      </c>
      <c r="G95">
        <f>tblComponents[Monthly_Demand]</f>
        <v>749</v>
      </c>
      <c r="H95">
        <f>tblComponents[Demand_Growth_Rate]</f>
        <v>2.821371412639688E-2</v>
      </c>
      <c r="I95">
        <f>tblComponents[Forecast_Demand]</f>
        <v>770</v>
      </c>
      <c r="J95">
        <f>tblComponents[Annual_Demand]</f>
        <v>7038</v>
      </c>
      <c r="K95">
        <f>tblComponents[Demand_Variability]</f>
        <v>0.1118</v>
      </c>
      <c r="L95">
        <f t="shared" si="1"/>
        <v>21</v>
      </c>
    </row>
    <row r="96" spans="1:12" x14ac:dyDescent="0.35">
      <c r="A96" s="8" t="str">
        <f>tblComponents[Component_ID]</f>
        <v>C095</v>
      </c>
      <c r="B96" s="8" t="str">
        <f>tblComponents[Component_Name]</f>
        <v>Component 095</v>
      </c>
      <c r="C96" t="str">
        <f>tblComponents[Product_Family]</f>
        <v>Body &amp; Exterior</v>
      </c>
      <c r="D96" t="str">
        <f>tblComponents[Category]</f>
        <v>Metal</v>
      </c>
      <c r="E96" t="str">
        <f>tblComponents[Sourcing_Type]</f>
        <v>Make</v>
      </c>
      <c r="F96" t="str">
        <f>tblComponents[Criticality]</f>
        <v>Medium</v>
      </c>
      <c r="G96">
        <f>tblComponents[Monthly_Demand]</f>
        <v>322</v>
      </c>
      <c r="H96">
        <f>tblComponents[Demand_Growth_Rate]</f>
        <v>0.16551066274732831</v>
      </c>
      <c r="I96">
        <f>tblComponents[Forecast_Demand]</f>
        <v>375</v>
      </c>
      <c r="J96">
        <f>tblComponents[Annual_Demand]</f>
        <v>48931</v>
      </c>
      <c r="K96">
        <f>tblComponents[Demand_Variability]</f>
        <v>0.1744</v>
      </c>
      <c r="L96">
        <f t="shared" si="1"/>
        <v>53</v>
      </c>
    </row>
    <row r="97" spans="1:12" x14ac:dyDescent="0.35">
      <c r="A97" s="8" t="str">
        <f>tblComponents[Component_ID]</f>
        <v>C096</v>
      </c>
      <c r="B97" s="8" t="str">
        <f>tblComponents[Component_Name]</f>
        <v>Component 096</v>
      </c>
      <c r="C97" t="str">
        <f>tblComponents[Product_Family]</f>
        <v>Chassis</v>
      </c>
      <c r="D97" t="str">
        <f>tblComponents[Category]</f>
        <v>Electrical</v>
      </c>
      <c r="E97" t="str">
        <f>tblComponents[Sourcing_Type]</f>
        <v>Make</v>
      </c>
      <c r="F97" t="str">
        <f>tblComponents[Criticality]</f>
        <v>Medium</v>
      </c>
      <c r="G97">
        <f>tblComponents[Monthly_Demand]</f>
        <v>687</v>
      </c>
      <c r="H97">
        <f>tblComponents[Demand_Growth_Rate]</f>
        <v>7.0265470961021606E-2</v>
      </c>
      <c r="I97">
        <f>tblComponents[Forecast_Demand]</f>
        <v>735</v>
      </c>
      <c r="J97">
        <f>tblComponents[Annual_Demand]</f>
        <v>30336</v>
      </c>
      <c r="K97">
        <f>tblComponents[Demand_Variability]</f>
        <v>0.1295</v>
      </c>
      <c r="L97">
        <f t="shared" si="1"/>
        <v>48</v>
      </c>
    </row>
    <row r="98" spans="1:12" x14ac:dyDescent="0.35">
      <c r="A98" s="8" t="str">
        <f>tblComponents[Component_ID]</f>
        <v>C097</v>
      </c>
      <c r="B98" s="8" t="str">
        <f>tblComponents[Component_Name]</f>
        <v>Component 097</v>
      </c>
      <c r="C98" t="str">
        <f>tblComponents[Product_Family]</f>
        <v>Electrical Systems</v>
      </c>
      <c r="D98" t="str">
        <f>tblComponents[Category]</f>
        <v>Metal</v>
      </c>
      <c r="E98" t="str">
        <f>tblComponents[Sourcing_Type]</f>
        <v>Make</v>
      </c>
      <c r="F98" t="str">
        <f>tblComponents[Criticality]</f>
        <v>Medium</v>
      </c>
      <c r="G98">
        <f>tblComponents[Monthly_Demand]</f>
        <v>103</v>
      </c>
      <c r="H98">
        <f>tblComponents[Demand_Growth_Rate]</f>
        <v>0.1476807912097409</v>
      </c>
      <c r="I98">
        <f>tblComponents[Forecast_Demand]</f>
        <v>118</v>
      </c>
      <c r="J98">
        <f>tblComponents[Annual_Demand]</f>
        <v>56804</v>
      </c>
      <c r="K98">
        <f>tblComponents[Demand_Variability]</f>
        <v>0.151</v>
      </c>
      <c r="L98">
        <f t="shared" si="1"/>
        <v>15</v>
      </c>
    </row>
    <row r="99" spans="1:12" x14ac:dyDescent="0.35">
      <c r="A99" s="8" t="str">
        <f>tblComponents[Component_ID]</f>
        <v>C098</v>
      </c>
      <c r="B99" s="8" t="str">
        <f>tblComponents[Component_Name]</f>
        <v>Component 098</v>
      </c>
      <c r="C99" t="str">
        <f>tblComponents[Product_Family]</f>
        <v>Electrical Systems</v>
      </c>
      <c r="D99" t="str">
        <f>tblComponents[Category]</f>
        <v>Electrical</v>
      </c>
      <c r="E99" t="str">
        <f>tblComponents[Sourcing_Type]</f>
        <v>Make</v>
      </c>
      <c r="F99" t="str">
        <f>tblComponents[Criticality]</f>
        <v>High</v>
      </c>
      <c r="G99">
        <f>tblComponents[Monthly_Demand]</f>
        <v>2193</v>
      </c>
      <c r="H99">
        <f>tblComponents[Demand_Growth_Rate]</f>
        <v>0.19758532833544429</v>
      </c>
      <c r="I99">
        <f>tblComponents[Forecast_Demand]</f>
        <v>2626</v>
      </c>
      <c r="J99">
        <f>tblComponents[Annual_Demand]</f>
        <v>48783</v>
      </c>
      <c r="K99">
        <f>tblComponents[Demand_Variability]</f>
        <v>0.14410000000000001</v>
      </c>
      <c r="L99">
        <f t="shared" si="1"/>
        <v>433</v>
      </c>
    </row>
    <row r="100" spans="1:12" x14ac:dyDescent="0.35">
      <c r="A100" s="8" t="str">
        <f>tblComponents[Component_ID]</f>
        <v>C099</v>
      </c>
      <c r="B100" s="8" t="str">
        <f>tblComponents[Component_Name]</f>
        <v>Component 099</v>
      </c>
      <c r="C100" t="str">
        <f>tblComponents[Product_Family]</f>
        <v>Powertrain</v>
      </c>
      <c r="D100" t="str">
        <f>tblComponents[Category]</f>
        <v>Metal</v>
      </c>
      <c r="E100" t="str">
        <f>tblComponents[Sourcing_Type]</f>
        <v>Make</v>
      </c>
      <c r="F100" t="str">
        <f>tblComponents[Criticality]</f>
        <v>Critical</v>
      </c>
      <c r="G100">
        <f>tblComponents[Monthly_Demand]</f>
        <v>1028</v>
      </c>
      <c r="H100">
        <f>tblComponents[Demand_Growth_Rate]</f>
        <v>0.14179707223278171</v>
      </c>
      <c r="I100">
        <f>tblComponents[Forecast_Demand]</f>
        <v>1174</v>
      </c>
      <c r="J100">
        <f>tblComponents[Annual_Demand]</f>
        <v>12116</v>
      </c>
      <c r="K100">
        <f>tblComponents[Demand_Variability]</f>
        <v>0.22889999999999999</v>
      </c>
      <c r="L100">
        <f t="shared" si="1"/>
        <v>146</v>
      </c>
    </row>
    <row r="101" spans="1:12" x14ac:dyDescent="0.35">
      <c r="A101" s="8" t="str">
        <f>tblComponents[Component_ID]</f>
        <v>C100</v>
      </c>
      <c r="B101" s="8" t="str">
        <f>tblComponents[Component_Name]</f>
        <v>Component 100</v>
      </c>
      <c r="C101" t="str">
        <f>tblComponents[Product_Family]</f>
        <v>Electrical Systems</v>
      </c>
      <c r="D101" t="str">
        <f>tblComponents[Category]</f>
        <v>Electrical</v>
      </c>
      <c r="E101" t="str">
        <f>tblComponents[Sourcing_Type]</f>
        <v>Make</v>
      </c>
      <c r="F101" t="str">
        <f>tblComponents[Criticality]</f>
        <v>Low</v>
      </c>
      <c r="G101">
        <f>tblComponents[Monthly_Demand]</f>
        <v>458</v>
      </c>
      <c r="H101">
        <f>tblComponents[Demand_Growth_Rate]</f>
        <v>8.0629797908630771E-2</v>
      </c>
      <c r="I101">
        <f>tblComponents[Forecast_Demand]</f>
        <v>495</v>
      </c>
      <c r="J101">
        <f>tblComponents[Annual_Demand]</f>
        <v>6784</v>
      </c>
      <c r="K101">
        <f>tblComponents[Demand_Variability]</f>
        <v>0.2339</v>
      </c>
      <c r="L101">
        <f t="shared" si="1"/>
        <v>37</v>
      </c>
    </row>
    <row r="102" spans="1:12" x14ac:dyDescent="0.35">
      <c r="A102" s="8" t="str">
        <f>tblComponents[Component_ID]</f>
        <v>C101</v>
      </c>
      <c r="B102" s="8" t="str">
        <f>tblComponents[Component_Name]</f>
        <v>Component 101</v>
      </c>
      <c r="C102" t="str">
        <f>tblComponents[Product_Family]</f>
        <v>Powertrain</v>
      </c>
      <c r="D102" t="str">
        <f>tblComponents[Category]</f>
        <v>Metal</v>
      </c>
      <c r="E102" t="str">
        <f>tblComponents[Sourcing_Type]</f>
        <v>Make</v>
      </c>
      <c r="F102" t="str">
        <f>tblComponents[Criticality]</f>
        <v>Low</v>
      </c>
      <c r="G102">
        <f>tblComponents[Monthly_Demand]</f>
        <v>392</v>
      </c>
      <c r="H102">
        <f>tblComponents[Demand_Growth_Rate]</f>
        <v>-3.9476702590909532E-2</v>
      </c>
      <c r="I102">
        <f>tblComponents[Forecast_Demand]</f>
        <v>377</v>
      </c>
      <c r="J102">
        <f>tblComponents[Annual_Demand]</f>
        <v>46279</v>
      </c>
      <c r="K102">
        <f>tblComponents[Demand_Variability]</f>
        <v>0.1638</v>
      </c>
      <c r="L102">
        <f t="shared" si="1"/>
        <v>-15</v>
      </c>
    </row>
    <row r="103" spans="1:12" x14ac:dyDescent="0.35">
      <c r="A103" s="8" t="str">
        <f>tblComponents[Component_ID]</f>
        <v>C102</v>
      </c>
      <c r="B103" s="8" t="str">
        <f>tblComponents[Component_Name]</f>
        <v>Component 102</v>
      </c>
      <c r="C103" t="str">
        <f>tblComponents[Product_Family]</f>
        <v>Interior</v>
      </c>
      <c r="D103" t="str">
        <f>tblComponents[Category]</f>
        <v>Metal</v>
      </c>
      <c r="E103" t="str">
        <f>tblComponents[Sourcing_Type]</f>
        <v>Make</v>
      </c>
      <c r="F103" t="str">
        <f>tblComponents[Criticality]</f>
        <v>Medium</v>
      </c>
      <c r="G103">
        <f>tblComponents[Monthly_Demand]</f>
        <v>1304</v>
      </c>
      <c r="H103">
        <f>tblComponents[Demand_Growth_Rate]</f>
        <v>0.14658625360388799</v>
      </c>
      <c r="I103">
        <f>tblComponents[Forecast_Demand]</f>
        <v>1495</v>
      </c>
      <c r="J103">
        <f>tblComponents[Annual_Demand]</f>
        <v>32653</v>
      </c>
      <c r="K103">
        <f>tblComponents[Demand_Variability]</f>
        <v>0.1361</v>
      </c>
      <c r="L103">
        <f t="shared" si="1"/>
        <v>191</v>
      </c>
    </row>
    <row r="104" spans="1:12" x14ac:dyDescent="0.35">
      <c r="A104" s="8" t="str">
        <f>tblComponents[Component_ID]</f>
        <v>C103</v>
      </c>
      <c r="B104" s="8" t="str">
        <f>tblComponents[Component_Name]</f>
        <v>Component 103</v>
      </c>
      <c r="C104" t="str">
        <f>tblComponents[Product_Family]</f>
        <v>Chassis</v>
      </c>
      <c r="D104" t="str">
        <f>tblComponents[Category]</f>
        <v>Electrical</v>
      </c>
      <c r="E104" t="str">
        <f>tblComponents[Sourcing_Type]</f>
        <v>Make</v>
      </c>
      <c r="F104" t="str">
        <f>tblComponents[Criticality]</f>
        <v>Medium</v>
      </c>
      <c r="G104">
        <f>tblComponents[Monthly_Demand]</f>
        <v>652</v>
      </c>
      <c r="H104">
        <f>tblComponents[Demand_Growth_Rate]</f>
        <v>0.13583820572340599</v>
      </c>
      <c r="I104">
        <f>tblComponents[Forecast_Demand]</f>
        <v>741</v>
      </c>
      <c r="J104">
        <f>tblComponents[Annual_Demand]</f>
        <v>26650</v>
      </c>
      <c r="K104">
        <f>tblComponents[Demand_Variability]</f>
        <v>9.8199999999999996E-2</v>
      </c>
      <c r="L104">
        <f t="shared" si="1"/>
        <v>89</v>
      </c>
    </row>
    <row r="105" spans="1:12" x14ac:dyDescent="0.35">
      <c r="A105" s="8" t="str">
        <f>tblComponents[Component_ID]</f>
        <v>C104</v>
      </c>
      <c r="B105" s="8" t="str">
        <f>tblComponents[Component_Name]</f>
        <v>Component 104</v>
      </c>
      <c r="C105" t="str">
        <f>tblComponents[Product_Family]</f>
        <v>Chassis</v>
      </c>
      <c r="D105" t="str">
        <f>tblComponents[Category]</f>
        <v>Electrical</v>
      </c>
      <c r="E105" t="str">
        <f>tblComponents[Sourcing_Type]</f>
        <v>Make</v>
      </c>
      <c r="F105" t="str">
        <f>tblComponents[Criticality]</f>
        <v>Low</v>
      </c>
      <c r="G105">
        <f>tblComponents[Monthly_Demand]</f>
        <v>2130</v>
      </c>
      <c r="H105">
        <f>tblComponents[Demand_Growth_Rate]</f>
        <v>-5.8679919986229373E-3</v>
      </c>
      <c r="I105">
        <f>tblComponents[Forecast_Demand]</f>
        <v>2118</v>
      </c>
      <c r="J105">
        <f>tblComponents[Annual_Demand]</f>
        <v>84028</v>
      </c>
      <c r="K105">
        <f>tblComponents[Demand_Variability]</f>
        <v>0.24210000000000001</v>
      </c>
      <c r="L105">
        <f t="shared" si="1"/>
        <v>-12</v>
      </c>
    </row>
    <row r="106" spans="1:12" x14ac:dyDescent="0.35">
      <c r="A106" s="8" t="str">
        <f>tblComponents[Component_ID]</f>
        <v>C105</v>
      </c>
      <c r="B106" s="8" t="str">
        <f>tblComponents[Component_Name]</f>
        <v>Component 105</v>
      </c>
      <c r="C106" t="str">
        <f>tblComponents[Product_Family]</f>
        <v>Powertrain</v>
      </c>
      <c r="D106" t="str">
        <f>tblComponents[Category]</f>
        <v>Electrical</v>
      </c>
      <c r="E106" t="str">
        <f>tblComponents[Sourcing_Type]</f>
        <v>Make</v>
      </c>
      <c r="F106" t="str">
        <f>tblComponents[Criticality]</f>
        <v>Critical</v>
      </c>
      <c r="G106">
        <f>tblComponents[Monthly_Demand]</f>
        <v>276</v>
      </c>
      <c r="H106">
        <f>tblComponents[Demand_Growth_Rate]</f>
        <v>7.9565091669098045E-2</v>
      </c>
      <c r="I106">
        <f>tblComponents[Forecast_Demand]</f>
        <v>298</v>
      </c>
      <c r="J106">
        <f>tblComponents[Annual_Demand]</f>
        <v>55469</v>
      </c>
      <c r="K106">
        <f>tblComponents[Demand_Variability]</f>
        <v>9.0200000000000002E-2</v>
      </c>
      <c r="L106">
        <f t="shared" si="1"/>
        <v>22</v>
      </c>
    </row>
    <row r="107" spans="1:12" x14ac:dyDescent="0.35">
      <c r="A107" s="8" t="str">
        <f>tblComponents[Component_ID]</f>
        <v>C106</v>
      </c>
      <c r="B107" s="8" t="str">
        <f>tblComponents[Component_Name]</f>
        <v>Component 106</v>
      </c>
      <c r="C107" t="str">
        <f>tblComponents[Product_Family]</f>
        <v>Electrical Systems</v>
      </c>
      <c r="D107" t="str">
        <f>tblComponents[Category]</f>
        <v>Metal</v>
      </c>
      <c r="E107" t="str">
        <f>tblComponents[Sourcing_Type]</f>
        <v>Make</v>
      </c>
      <c r="F107" t="str">
        <f>tblComponents[Criticality]</f>
        <v>Medium</v>
      </c>
      <c r="G107">
        <f>tblComponents[Monthly_Demand]</f>
        <v>102</v>
      </c>
      <c r="H107">
        <f>tblComponents[Demand_Growth_Rate]</f>
        <v>0.1539582812476544</v>
      </c>
      <c r="I107">
        <f>tblComponents[Forecast_Demand]</f>
        <v>118</v>
      </c>
      <c r="J107">
        <f>tblComponents[Annual_Demand]</f>
        <v>35947</v>
      </c>
      <c r="K107">
        <f>tblComponents[Demand_Variability]</f>
        <v>0.13059999999999999</v>
      </c>
      <c r="L107">
        <f t="shared" si="1"/>
        <v>16</v>
      </c>
    </row>
    <row r="108" spans="1:12" x14ac:dyDescent="0.35">
      <c r="A108" s="8" t="str">
        <f>tblComponents[Component_ID]</f>
        <v>C107</v>
      </c>
      <c r="B108" s="8" t="str">
        <f>tblComponents[Component_Name]</f>
        <v>Component 107</v>
      </c>
      <c r="C108" t="str">
        <f>tblComponents[Product_Family]</f>
        <v>Chassis</v>
      </c>
      <c r="D108" t="str">
        <f>tblComponents[Category]</f>
        <v>Metal</v>
      </c>
      <c r="E108" t="str">
        <f>tblComponents[Sourcing_Type]</f>
        <v>Make</v>
      </c>
      <c r="F108" t="str">
        <f>tblComponents[Criticality]</f>
        <v>Medium</v>
      </c>
      <c r="G108">
        <f>tblComponents[Monthly_Demand]</f>
        <v>2640</v>
      </c>
      <c r="H108">
        <f>tblComponents[Demand_Growth_Rate]</f>
        <v>4.7792441520094937E-2</v>
      </c>
      <c r="I108">
        <f>tblComponents[Forecast_Demand]</f>
        <v>2766</v>
      </c>
      <c r="J108">
        <f>tblComponents[Annual_Demand]</f>
        <v>44978</v>
      </c>
      <c r="K108">
        <f>tblComponents[Demand_Variability]</f>
        <v>0.13070000000000001</v>
      </c>
      <c r="L108">
        <f t="shared" si="1"/>
        <v>126</v>
      </c>
    </row>
    <row r="109" spans="1:12" x14ac:dyDescent="0.35">
      <c r="A109" s="8" t="str">
        <f>tblComponents[Component_ID]</f>
        <v>C108</v>
      </c>
      <c r="B109" s="8" t="str">
        <f>tblComponents[Component_Name]</f>
        <v>Component 108</v>
      </c>
      <c r="C109" t="str">
        <f>tblComponents[Product_Family]</f>
        <v>Electrical Systems</v>
      </c>
      <c r="D109" t="str">
        <f>tblComponents[Category]</f>
        <v>Metal</v>
      </c>
      <c r="E109" t="str">
        <f>tblComponents[Sourcing_Type]</f>
        <v>Make</v>
      </c>
      <c r="F109" t="str">
        <f>tblComponents[Criticality]</f>
        <v>Critical</v>
      </c>
      <c r="G109">
        <f>tblComponents[Monthly_Demand]</f>
        <v>1036</v>
      </c>
      <c r="H109">
        <f>tblComponents[Demand_Growth_Rate]</f>
        <v>8.7714342652284824E-2</v>
      </c>
      <c r="I109">
        <f>tblComponents[Forecast_Demand]</f>
        <v>1127</v>
      </c>
      <c r="J109">
        <f>tblComponents[Annual_Demand]</f>
        <v>17661</v>
      </c>
      <c r="K109">
        <f>tblComponents[Demand_Variability]</f>
        <v>0.13450000000000001</v>
      </c>
      <c r="L109">
        <f t="shared" si="1"/>
        <v>91</v>
      </c>
    </row>
    <row r="110" spans="1:12" x14ac:dyDescent="0.35">
      <c r="A110" s="8" t="str">
        <f>tblComponents[Component_ID]</f>
        <v>C109</v>
      </c>
      <c r="B110" s="8" t="str">
        <f>tblComponents[Component_Name]</f>
        <v>Component 109</v>
      </c>
      <c r="C110" t="str">
        <f>tblComponents[Product_Family]</f>
        <v>Chassis</v>
      </c>
      <c r="D110" t="str">
        <f>tblComponents[Category]</f>
        <v>Metal</v>
      </c>
      <c r="E110" t="str">
        <f>tblComponents[Sourcing_Type]</f>
        <v>Make</v>
      </c>
      <c r="F110" t="str">
        <f>tblComponents[Criticality]</f>
        <v>Medium</v>
      </c>
      <c r="G110">
        <f>tblComponents[Monthly_Demand]</f>
        <v>953</v>
      </c>
      <c r="H110">
        <f>tblComponents[Demand_Growth_Rate]</f>
        <v>0.19053049314801249</v>
      </c>
      <c r="I110">
        <f>tblComponents[Forecast_Demand]</f>
        <v>1135</v>
      </c>
      <c r="J110">
        <f>tblComponents[Annual_Demand]</f>
        <v>96406</v>
      </c>
      <c r="K110">
        <f>tblComponents[Demand_Variability]</f>
        <v>0.1079</v>
      </c>
      <c r="L110">
        <f t="shared" si="1"/>
        <v>182</v>
      </c>
    </row>
    <row r="111" spans="1:12" x14ac:dyDescent="0.35">
      <c r="A111" s="8" t="str">
        <f>tblComponents[Component_ID]</f>
        <v>C110</v>
      </c>
      <c r="B111" s="8" t="str">
        <f>tblComponents[Component_Name]</f>
        <v>Component 110</v>
      </c>
      <c r="C111" t="str">
        <f>tblComponents[Product_Family]</f>
        <v>Interior</v>
      </c>
      <c r="D111" t="str">
        <f>tblComponents[Category]</f>
        <v>Electrical</v>
      </c>
      <c r="E111" t="str">
        <f>tblComponents[Sourcing_Type]</f>
        <v>Make</v>
      </c>
      <c r="F111" t="str">
        <f>tblComponents[Criticality]</f>
        <v>Low</v>
      </c>
      <c r="G111">
        <f>tblComponents[Monthly_Demand]</f>
        <v>614</v>
      </c>
      <c r="H111">
        <f>tblComponents[Demand_Growth_Rate]</f>
        <v>0.1561702414812873</v>
      </c>
      <c r="I111">
        <f>tblComponents[Forecast_Demand]</f>
        <v>710</v>
      </c>
      <c r="J111">
        <f>tblComponents[Annual_Demand]</f>
        <v>69519</v>
      </c>
      <c r="K111">
        <f>tblComponents[Demand_Variability]</f>
        <v>0.21310000000000001</v>
      </c>
      <c r="L111">
        <f t="shared" si="1"/>
        <v>96</v>
      </c>
    </row>
    <row r="112" spans="1:12" x14ac:dyDescent="0.35">
      <c r="A112" s="8" t="str">
        <f>tblComponents[Component_ID]</f>
        <v>C111</v>
      </c>
      <c r="B112" s="8" t="str">
        <f>tblComponents[Component_Name]</f>
        <v>Component 111</v>
      </c>
      <c r="C112" t="str">
        <f>tblComponents[Product_Family]</f>
        <v>Body &amp; Exterior</v>
      </c>
      <c r="D112" t="str">
        <f>tblComponents[Category]</f>
        <v>Metal</v>
      </c>
      <c r="E112" t="str">
        <f>tblComponents[Sourcing_Type]</f>
        <v>Make</v>
      </c>
      <c r="F112" t="str">
        <f>tblComponents[Criticality]</f>
        <v>Low</v>
      </c>
      <c r="G112">
        <f>tblComponents[Monthly_Demand]</f>
        <v>267</v>
      </c>
      <c r="H112">
        <f>tblComponents[Demand_Growth_Rate]</f>
        <v>1.1321383063833641E-2</v>
      </c>
      <c r="I112">
        <f>tblComponents[Forecast_Demand]</f>
        <v>270</v>
      </c>
      <c r="J112">
        <f>tblComponents[Annual_Demand]</f>
        <v>79649</v>
      </c>
      <c r="K112">
        <f>tblComponents[Demand_Variability]</f>
        <v>0.1008</v>
      </c>
      <c r="L112">
        <f t="shared" si="1"/>
        <v>3</v>
      </c>
    </row>
    <row r="113" spans="1:12" x14ac:dyDescent="0.35">
      <c r="A113" s="8" t="str">
        <f>tblComponents[Component_ID]</f>
        <v>C112</v>
      </c>
      <c r="B113" s="8" t="str">
        <f>tblComponents[Component_Name]</f>
        <v>Component 112</v>
      </c>
      <c r="C113" t="str">
        <f>tblComponents[Product_Family]</f>
        <v>Powertrain</v>
      </c>
      <c r="D113" t="str">
        <f>tblComponents[Category]</f>
        <v>Metal</v>
      </c>
      <c r="E113" t="str">
        <f>tblComponents[Sourcing_Type]</f>
        <v>Make</v>
      </c>
      <c r="F113" t="str">
        <f>tblComponents[Criticality]</f>
        <v>Low</v>
      </c>
      <c r="G113">
        <f>tblComponents[Monthly_Demand]</f>
        <v>2690</v>
      </c>
      <c r="H113">
        <f>tblComponents[Demand_Growth_Rate]</f>
        <v>0.13817915988941029</v>
      </c>
      <c r="I113">
        <f>tblComponents[Forecast_Demand]</f>
        <v>3062</v>
      </c>
      <c r="J113">
        <f>tblComponents[Annual_Demand]</f>
        <v>64524</v>
      </c>
      <c r="K113">
        <f>tblComponents[Demand_Variability]</f>
        <v>0.18790000000000001</v>
      </c>
      <c r="L113">
        <f t="shared" si="1"/>
        <v>372</v>
      </c>
    </row>
    <row r="114" spans="1:12" x14ac:dyDescent="0.35">
      <c r="A114" s="8" t="str">
        <f>tblComponents[Component_ID]</f>
        <v>C113</v>
      </c>
      <c r="B114" s="8" t="str">
        <f>tblComponents[Component_Name]</f>
        <v>Component 113</v>
      </c>
      <c r="C114" t="str">
        <f>tblComponents[Product_Family]</f>
        <v>Interior</v>
      </c>
      <c r="D114" t="str">
        <f>tblComponents[Category]</f>
        <v>Electrical</v>
      </c>
      <c r="E114" t="str">
        <f>tblComponents[Sourcing_Type]</f>
        <v>Make</v>
      </c>
      <c r="F114" t="str">
        <f>tblComponents[Criticality]</f>
        <v>Low</v>
      </c>
      <c r="G114">
        <f>tblComponents[Monthly_Demand]</f>
        <v>1362</v>
      </c>
      <c r="H114">
        <f>tblComponents[Demand_Growth_Rate]</f>
        <v>7.1562903812308759E-3</v>
      </c>
      <c r="I114">
        <f>tblComponents[Forecast_Demand]</f>
        <v>1372</v>
      </c>
      <c r="J114">
        <f>tblComponents[Annual_Demand]</f>
        <v>63885</v>
      </c>
      <c r="K114">
        <f>tblComponents[Demand_Variability]</f>
        <v>0.1011</v>
      </c>
      <c r="L114">
        <f t="shared" si="1"/>
        <v>10</v>
      </c>
    </row>
    <row r="115" spans="1:12" x14ac:dyDescent="0.35">
      <c r="A115" s="8" t="str">
        <f>tblComponents[Component_ID]</f>
        <v>C114</v>
      </c>
      <c r="B115" s="8" t="str">
        <f>tblComponents[Component_Name]</f>
        <v>Component 114</v>
      </c>
      <c r="C115" t="str">
        <f>tblComponents[Product_Family]</f>
        <v>Powertrain</v>
      </c>
      <c r="D115" t="str">
        <f>tblComponents[Category]</f>
        <v>Metal</v>
      </c>
      <c r="E115" t="str">
        <f>tblComponents[Sourcing_Type]</f>
        <v>Make</v>
      </c>
      <c r="F115" t="str">
        <f>tblComponents[Criticality]</f>
        <v>High</v>
      </c>
      <c r="G115">
        <f>tblComponents[Monthly_Demand]</f>
        <v>2548</v>
      </c>
      <c r="H115">
        <f>tblComponents[Demand_Growth_Rate]</f>
        <v>0.10423172959393549</v>
      </c>
      <c r="I115">
        <f>tblComponents[Forecast_Demand]</f>
        <v>2814</v>
      </c>
      <c r="J115">
        <f>tblComponents[Annual_Demand]</f>
        <v>40097</v>
      </c>
      <c r="K115">
        <f>tblComponents[Demand_Variability]</f>
        <v>9.1999999999999998E-2</v>
      </c>
      <c r="L115">
        <f t="shared" si="1"/>
        <v>266</v>
      </c>
    </row>
    <row r="116" spans="1:12" x14ac:dyDescent="0.35">
      <c r="A116" s="8" t="str">
        <f>tblComponents[Component_ID]</f>
        <v>C115</v>
      </c>
      <c r="B116" s="8" t="str">
        <f>tblComponents[Component_Name]</f>
        <v>Component 115</v>
      </c>
      <c r="C116" t="str">
        <f>tblComponents[Product_Family]</f>
        <v>Electrical Systems</v>
      </c>
      <c r="D116" t="str">
        <f>tblComponents[Category]</f>
        <v>Metal</v>
      </c>
      <c r="E116" t="str">
        <f>tblComponents[Sourcing_Type]</f>
        <v>Make</v>
      </c>
      <c r="F116" t="str">
        <f>tblComponents[Criticality]</f>
        <v>Medium</v>
      </c>
      <c r="G116">
        <f>tblComponents[Monthly_Demand]</f>
        <v>425</v>
      </c>
      <c r="H116">
        <f>tblComponents[Demand_Growth_Rate]</f>
        <v>2.08357370663954E-2</v>
      </c>
      <c r="I116">
        <f>tblComponents[Forecast_Demand]</f>
        <v>434</v>
      </c>
      <c r="J116">
        <f>tblComponents[Annual_Demand]</f>
        <v>57847</v>
      </c>
      <c r="K116">
        <f>tblComponents[Demand_Variability]</f>
        <v>0.2346</v>
      </c>
      <c r="L116">
        <f t="shared" si="1"/>
        <v>9</v>
      </c>
    </row>
    <row r="117" spans="1:12" x14ac:dyDescent="0.35">
      <c r="A117" s="8" t="str">
        <f>tblComponents[Component_ID]</f>
        <v>C116</v>
      </c>
      <c r="B117" s="8" t="str">
        <f>tblComponents[Component_Name]</f>
        <v>Component 116</v>
      </c>
      <c r="C117" t="str">
        <f>tblComponents[Product_Family]</f>
        <v>Chassis</v>
      </c>
      <c r="D117" t="str">
        <f>tblComponents[Category]</f>
        <v>Electrical</v>
      </c>
      <c r="E117" t="str">
        <f>tblComponents[Sourcing_Type]</f>
        <v>Make</v>
      </c>
      <c r="F117" t="str">
        <f>tblComponents[Criticality]</f>
        <v>High</v>
      </c>
      <c r="G117">
        <f>tblComponents[Monthly_Demand]</f>
        <v>377</v>
      </c>
      <c r="H117">
        <f>tblComponents[Demand_Growth_Rate]</f>
        <v>0.18430712180911279</v>
      </c>
      <c r="I117">
        <f>tblComponents[Forecast_Demand]</f>
        <v>446</v>
      </c>
      <c r="J117">
        <f>tblComponents[Annual_Demand]</f>
        <v>58512</v>
      </c>
      <c r="K117">
        <f>tblComponents[Demand_Variability]</f>
        <v>0.1123</v>
      </c>
      <c r="L117">
        <f t="shared" si="1"/>
        <v>69</v>
      </c>
    </row>
    <row r="118" spans="1:12" x14ac:dyDescent="0.35">
      <c r="A118" s="8" t="str">
        <f>tblComponents[Component_ID]</f>
        <v>C117</v>
      </c>
      <c r="B118" s="8" t="str">
        <f>tblComponents[Component_Name]</f>
        <v>Component 117</v>
      </c>
      <c r="C118" t="str">
        <f>tblComponents[Product_Family]</f>
        <v>Powertrain</v>
      </c>
      <c r="D118" t="str">
        <f>tblComponents[Category]</f>
        <v>Metal</v>
      </c>
      <c r="E118" t="str">
        <f>tblComponents[Sourcing_Type]</f>
        <v>Make</v>
      </c>
      <c r="F118" t="str">
        <f>tblComponents[Criticality]</f>
        <v>Critical</v>
      </c>
      <c r="G118">
        <f>tblComponents[Monthly_Demand]</f>
        <v>1204</v>
      </c>
      <c r="H118">
        <f>tblComponents[Demand_Growth_Rate]</f>
        <v>-3.551988486030043E-2</v>
      </c>
      <c r="I118">
        <f>tblComponents[Forecast_Demand]</f>
        <v>1161</v>
      </c>
      <c r="J118">
        <f>tblComponents[Annual_Demand]</f>
        <v>18809</v>
      </c>
      <c r="K118">
        <f>tblComponents[Demand_Variability]</f>
        <v>0.21959999999999999</v>
      </c>
      <c r="L118">
        <f t="shared" si="1"/>
        <v>-43</v>
      </c>
    </row>
    <row r="119" spans="1:12" x14ac:dyDescent="0.35">
      <c r="A119" s="8" t="str">
        <f>tblComponents[Component_ID]</f>
        <v>C118</v>
      </c>
      <c r="B119" s="8" t="str">
        <f>tblComponents[Component_Name]</f>
        <v>Component 118</v>
      </c>
      <c r="C119" t="str">
        <f>tblComponents[Product_Family]</f>
        <v>Interior</v>
      </c>
      <c r="D119" t="str">
        <f>tblComponents[Category]</f>
        <v>Electrical</v>
      </c>
      <c r="E119" t="str">
        <f>tblComponents[Sourcing_Type]</f>
        <v>Make</v>
      </c>
      <c r="F119" t="str">
        <f>tblComponents[Criticality]</f>
        <v>Medium</v>
      </c>
      <c r="G119">
        <f>tblComponents[Monthly_Demand]</f>
        <v>1447</v>
      </c>
      <c r="H119">
        <f>tblComponents[Demand_Growth_Rate]</f>
        <v>0.1395657989822556</v>
      </c>
      <c r="I119">
        <f>tblComponents[Forecast_Demand]</f>
        <v>1649</v>
      </c>
      <c r="J119">
        <f>tblComponents[Annual_Demand]</f>
        <v>37191</v>
      </c>
      <c r="K119">
        <f>tblComponents[Demand_Variability]</f>
        <v>0.1726</v>
      </c>
      <c r="L119">
        <f t="shared" si="1"/>
        <v>202</v>
      </c>
    </row>
    <row r="120" spans="1:12" x14ac:dyDescent="0.35">
      <c r="A120" s="8" t="str">
        <f>tblComponents[Component_ID]</f>
        <v>C119</v>
      </c>
      <c r="B120" s="8" t="str">
        <f>tblComponents[Component_Name]</f>
        <v>Component 119</v>
      </c>
      <c r="C120" t="str">
        <f>tblComponents[Product_Family]</f>
        <v>Powertrain</v>
      </c>
      <c r="D120" t="str">
        <f>tblComponents[Category]</f>
        <v>Metal</v>
      </c>
      <c r="E120" t="str">
        <f>tblComponents[Sourcing_Type]</f>
        <v>Make</v>
      </c>
      <c r="F120" t="str">
        <f>tblComponents[Criticality]</f>
        <v>Medium</v>
      </c>
      <c r="G120">
        <f>tblComponents[Monthly_Demand]</f>
        <v>1037</v>
      </c>
      <c r="H120">
        <f>tblComponents[Demand_Growth_Rate]</f>
        <v>-1.0265429180810869E-2</v>
      </c>
      <c r="I120">
        <f>tblComponents[Forecast_Demand]</f>
        <v>1026</v>
      </c>
      <c r="J120">
        <f>tblComponents[Annual_Demand]</f>
        <v>36267</v>
      </c>
      <c r="K120">
        <f>tblComponents[Demand_Variability]</f>
        <v>9.3200000000000005E-2</v>
      </c>
      <c r="L120">
        <f t="shared" si="1"/>
        <v>-11</v>
      </c>
    </row>
    <row r="121" spans="1:12" x14ac:dyDescent="0.35">
      <c r="A121" s="8" t="str">
        <f>tblComponents[Component_ID]</f>
        <v>C120</v>
      </c>
      <c r="B121" s="8" t="str">
        <f>tblComponents[Component_Name]</f>
        <v>Component 120</v>
      </c>
      <c r="C121" t="str">
        <f>tblComponents[Product_Family]</f>
        <v>Interior</v>
      </c>
      <c r="D121" t="str">
        <f>tblComponents[Category]</f>
        <v>Metal</v>
      </c>
      <c r="E121" t="str">
        <f>tblComponents[Sourcing_Type]</f>
        <v>Make</v>
      </c>
      <c r="F121" t="str">
        <f>tblComponents[Criticality]</f>
        <v>Medium</v>
      </c>
      <c r="G121">
        <f>tblComponents[Monthly_Demand]</f>
        <v>174</v>
      </c>
      <c r="H121">
        <f>tblComponents[Demand_Growth_Rate]</f>
        <v>5.1924031971900958E-3</v>
      </c>
      <c r="I121">
        <f>tblComponents[Forecast_Demand]</f>
        <v>175</v>
      </c>
      <c r="J121">
        <f>tblComponents[Annual_Demand]</f>
        <v>16538</v>
      </c>
      <c r="K121">
        <f>tblComponents[Demand_Variability]</f>
        <v>0.2424</v>
      </c>
      <c r="L121">
        <f t="shared" si="1"/>
        <v>1</v>
      </c>
    </row>
    <row r="122" spans="1:12" x14ac:dyDescent="0.35">
      <c r="A122" s="8" t="str">
        <f>tblComponents[Component_ID]</f>
        <v>C121</v>
      </c>
      <c r="B122" s="8" t="str">
        <f>tblComponents[Component_Name]</f>
        <v>Component 121</v>
      </c>
      <c r="C122" t="str">
        <f>tblComponents[Product_Family]</f>
        <v>Body &amp; Exterior</v>
      </c>
      <c r="D122" t="str">
        <f>tblComponents[Category]</f>
        <v>Electrical</v>
      </c>
      <c r="E122" t="str">
        <f>tblComponents[Sourcing_Type]</f>
        <v>Make</v>
      </c>
      <c r="F122" t="str">
        <f>tblComponents[Criticality]</f>
        <v>Low</v>
      </c>
      <c r="G122">
        <f>tblComponents[Monthly_Demand]</f>
        <v>2627</v>
      </c>
      <c r="H122">
        <f>tblComponents[Demand_Growth_Rate]</f>
        <v>0.1328175167434214</v>
      </c>
      <c r="I122">
        <f>tblComponents[Forecast_Demand]</f>
        <v>2976</v>
      </c>
      <c r="J122">
        <f>tblComponents[Annual_Demand]</f>
        <v>73391</v>
      </c>
      <c r="K122">
        <f>tblComponents[Demand_Variability]</f>
        <v>0.122</v>
      </c>
      <c r="L122">
        <f t="shared" si="1"/>
        <v>349</v>
      </c>
    </row>
    <row r="123" spans="1:12" x14ac:dyDescent="0.35">
      <c r="A123" s="8" t="str">
        <f>tblComponents[Component_ID]</f>
        <v>C122</v>
      </c>
      <c r="B123" s="8" t="str">
        <f>tblComponents[Component_Name]</f>
        <v>Component 122</v>
      </c>
      <c r="C123" t="str">
        <f>tblComponents[Product_Family]</f>
        <v>Interior</v>
      </c>
      <c r="D123" t="str">
        <f>tblComponents[Category]</f>
        <v>Electrical</v>
      </c>
      <c r="E123" t="str">
        <f>tblComponents[Sourcing_Type]</f>
        <v>Make</v>
      </c>
      <c r="F123" t="str">
        <f>tblComponents[Criticality]</f>
        <v>Medium</v>
      </c>
      <c r="G123">
        <f>tblComponents[Monthly_Demand]</f>
        <v>1069</v>
      </c>
      <c r="H123">
        <f>tblComponents[Demand_Growth_Rate]</f>
        <v>0.17352480091978359</v>
      </c>
      <c r="I123">
        <f>tblComponents[Forecast_Demand]</f>
        <v>1254</v>
      </c>
      <c r="J123">
        <f>tblComponents[Annual_Demand]</f>
        <v>43992</v>
      </c>
      <c r="K123">
        <f>tblComponents[Demand_Variability]</f>
        <v>0.2261</v>
      </c>
      <c r="L123">
        <f t="shared" si="1"/>
        <v>185</v>
      </c>
    </row>
    <row r="124" spans="1:12" x14ac:dyDescent="0.35">
      <c r="A124" s="8" t="str">
        <f>tblComponents[Component_ID]</f>
        <v>C123</v>
      </c>
      <c r="B124" s="8" t="str">
        <f>tblComponents[Component_Name]</f>
        <v>Component 123</v>
      </c>
      <c r="C124" t="str">
        <f>tblComponents[Product_Family]</f>
        <v>Powertrain</v>
      </c>
      <c r="D124" t="str">
        <f>tblComponents[Category]</f>
        <v>Metal</v>
      </c>
      <c r="E124" t="str">
        <f>tblComponents[Sourcing_Type]</f>
        <v>Make</v>
      </c>
      <c r="F124" t="str">
        <f>tblComponents[Criticality]</f>
        <v>Medium</v>
      </c>
      <c r="G124">
        <f>tblComponents[Monthly_Demand]</f>
        <v>307</v>
      </c>
      <c r="H124">
        <f>tblComponents[Demand_Growth_Rate]</f>
        <v>8.5808201447489532E-2</v>
      </c>
      <c r="I124">
        <f>tblComponents[Forecast_Demand]</f>
        <v>333</v>
      </c>
      <c r="J124">
        <f>tblComponents[Annual_Demand]</f>
        <v>30995</v>
      </c>
      <c r="K124">
        <f>tblComponents[Demand_Variability]</f>
        <v>0.1087</v>
      </c>
      <c r="L124">
        <f t="shared" si="1"/>
        <v>26</v>
      </c>
    </row>
    <row r="125" spans="1:12" x14ac:dyDescent="0.35">
      <c r="A125" s="8" t="str">
        <f>tblComponents[Component_ID]</f>
        <v>C124</v>
      </c>
      <c r="B125" s="8" t="str">
        <f>tblComponents[Component_Name]</f>
        <v>Component 124</v>
      </c>
      <c r="C125" t="str">
        <f>tblComponents[Product_Family]</f>
        <v>Powertrain</v>
      </c>
      <c r="D125" t="str">
        <f>tblComponents[Category]</f>
        <v>Metal</v>
      </c>
      <c r="E125" t="str">
        <f>tblComponents[Sourcing_Type]</f>
        <v>Make</v>
      </c>
      <c r="F125" t="str">
        <f>tblComponents[Criticality]</f>
        <v>Medium</v>
      </c>
      <c r="G125">
        <f>tblComponents[Monthly_Demand]</f>
        <v>698</v>
      </c>
      <c r="H125">
        <f>tblComponents[Demand_Growth_Rate]</f>
        <v>0.1065550804078538</v>
      </c>
      <c r="I125">
        <f>tblComponents[Forecast_Demand]</f>
        <v>772</v>
      </c>
      <c r="J125">
        <f>tblComponents[Annual_Demand]</f>
        <v>61027</v>
      </c>
      <c r="K125">
        <f>tblComponents[Demand_Variability]</f>
        <v>0.22520000000000001</v>
      </c>
      <c r="L125">
        <f t="shared" si="1"/>
        <v>74</v>
      </c>
    </row>
    <row r="126" spans="1:12" x14ac:dyDescent="0.35">
      <c r="A126" s="8" t="str">
        <f>tblComponents[Component_ID]</f>
        <v>C125</v>
      </c>
      <c r="B126" s="8" t="str">
        <f>tblComponents[Component_Name]</f>
        <v>Component 125</v>
      </c>
      <c r="C126" t="str">
        <f>tblComponents[Product_Family]</f>
        <v>Powertrain</v>
      </c>
      <c r="D126" t="str">
        <f>tblComponents[Category]</f>
        <v>Electrical</v>
      </c>
      <c r="E126" t="str">
        <f>tblComponents[Sourcing_Type]</f>
        <v>Make</v>
      </c>
      <c r="F126" t="str">
        <f>tblComponents[Criticality]</f>
        <v>Medium</v>
      </c>
      <c r="G126">
        <f>tblComponents[Monthly_Demand]</f>
        <v>705</v>
      </c>
      <c r="H126">
        <f>tblComponents[Demand_Growth_Rate]</f>
        <v>9.9581816280606736E-2</v>
      </c>
      <c r="I126">
        <f>tblComponents[Forecast_Demand]</f>
        <v>775</v>
      </c>
      <c r="J126">
        <f>tblComponents[Annual_Demand]</f>
        <v>28210</v>
      </c>
      <c r="K126">
        <f>tblComponents[Demand_Variability]</f>
        <v>8.2199999999999995E-2</v>
      </c>
      <c r="L126">
        <f t="shared" si="1"/>
        <v>70</v>
      </c>
    </row>
    <row r="127" spans="1:12" x14ac:dyDescent="0.35">
      <c r="A127" s="8" t="str">
        <f>tblComponents[Component_ID]</f>
        <v>C126</v>
      </c>
      <c r="B127" s="8" t="str">
        <f>tblComponents[Component_Name]</f>
        <v>Component 126</v>
      </c>
      <c r="C127" t="str">
        <f>tblComponents[Product_Family]</f>
        <v>Chassis</v>
      </c>
      <c r="D127" t="str">
        <f>tblComponents[Category]</f>
        <v>Metal</v>
      </c>
      <c r="E127" t="str">
        <f>tblComponents[Sourcing_Type]</f>
        <v>Make</v>
      </c>
      <c r="F127" t="str">
        <f>tblComponents[Criticality]</f>
        <v>High</v>
      </c>
      <c r="G127">
        <f>tblComponents[Monthly_Demand]</f>
        <v>1000</v>
      </c>
      <c r="H127">
        <f>tblComponents[Demand_Growth_Rate]</f>
        <v>1.7248351108774419E-2</v>
      </c>
      <c r="I127">
        <f>tblComponents[Forecast_Demand]</f>
        <v>1017</v>
      </c>
      <c r="J127">
        <f>tblComponents[Annual_Demand]</f>
        <v>64485</v>
      </c>
      <c r="K127">
        <f>tblComponents[Demand_Variability]</f>
        <v>0.16700000000000001</v>
      </c>
      <c r="L127">
        <f t="shared" si="1"/>
        <v>17</v>
      </c>
    </row>
    <row r="128" spans="1:12" x14ac:dyDescent="0.35">
      <c r="A128" s="8" t="str">
        <f>tblComponents[Component_ID]</f>
        <v>C127</v>
      </c>
      <c r="B128" s="8" t="str">
        <f>tblComponents[Component_Name]</f>
        <v>Component 127</v>
      </c>
      <c r="C128" t="str">
        <f>tblComponents[Product_Family]</f>
        <v>Chassis</v>
      </c>
      <c r="D128" t="str">
        <f>tblComponents[Category]</f>
        <v>Metal</v>
      </c>
      <c r="E128" t="str">
        <f>tblComponents[Sourcing_Type]</f>
        <v>Make</v>
      </c>
      <c r="F128" t="str">
        <f>tblComponents[Criticality]</f>
        <v>Critical</v>
      </c>
      <c r="G128">
        <f>tblComponents[Monthly_Demand]</f>
        <v>865</v>
      </c>
      <c r="H128">
        <f>tblComponents[Demand_Growth_Rate]</f>
        <v>0.19367496296767239</v>
      </c>
      <c r="I128">
        <f>tblComponents[Forecast_Demand]</f>
        <v>1033</v>
      </c>
      <c r="J128">
        <f>tblComponents[Annual_Demand]</f>
        <v>49456</v>
      </c>
      <c r="K128">
        <f>tblComponents[Demand_Variability]</f>
        <v>0.21079999999999999</v>
      </c>
      <c r="L128">
        <f t="shared" si="1"/>
        <v>168</v>
      </c>
    </row>
    <row r="129" spans="1:12" x14ac:dyDescent="0.35">
      <c r="A129" s="8" t="str">
        <f>tblComponents[Component_ID]</f>
        <v>C128</v>
      </c>
      <c r="B129" s="8" t="str">
        <f>tblComponents[Component_Name]</f>
        <v>Component 128</v>
      </c>
      <c r="C129" t="str">
        <f>tblComponents[Product_Family]</f>
        <v>Body &amp; Exterior</v>
      </c>
      <c r="D129" t="str">
        <f>tblComponents[Category]</f>
        <v>Electrical</v>
      </c>
      <c r="E129" t="str">
        <f>tblComponents[Sourcing_Type]</f>
        <v>Make</v>
      </c>
      <c r="F129" t="str">
        <f>tblComponents[Criticality]</f>
        <v>Low</v>
      </c>
      <c r="G129">
        <f>tblComponents[Monthly_Demand]</f>
        <v>278</v>
      </c>
      <c r="H129">
        <f>tblComponents[Demand_Growth_Rate]</f>
        <v>-2.3767455395456289E-2</v>
      </c>
      <c r="I129">
        <f>tblComponents[Forecast_Demand]</f>
        <v>271</v>
      </c>
      <c r="J129">
        <f>tblComponents[Annual_Demand]</f>
        <v>18851</v>
      </c>
      <c r="K129">
        <f>tblComponents[Demand_Variability]</f>
        <v>0.2389</v>
      </c>
      <c r="L129">
        <f t="shared" si="1"/>
        <v>-7</v>
      </c>
    </row>
    <row r="130" spans="1:12" x14ac:dyDescent="0.35">
      <c r="A130" s="8" t="str">
        <f>tblComponents[Component_ID]</f>
        <v>C129</v>
      </c>
      <c r="B130" s="8" t="str">
        <f>tblComponents[Component_Name]</f>
        <v>Component 129</v>
      </c>
      <c r="C130" t="str">
        <f>tblComponents[Product_Family]</f>
        <v>Interior</v>
      </c>
      <c r="D130" t="str">
        <f>tblComponents[Category]</f>
        <v>Metal</v>
      </c>
      <c r="E130" t="str">
        <f>tblComponents[Sourcing_Type]</f>
        <v>Make</v>
      </c>
      <c r="F130" t="str">
        <f>tblComponents[Criticality]</f>
        <v>Medium</v>
      </c>
      <c r="G130">
        <f>tblComponents[Monthly_Demand]</f>
        <v>301</v>
      </c>
      <c r="H130">
        <f>tblComponents[Demand_Growth_Rate]</f>
        <v>0.143951183948239</v>
      </c>
      <c r="I130">
        <f>tblComponents[Forecast_Demand]</f>
        <v>344</v>
      </c>
      <c r="J130">
        <f>tblComponents[Annual_Demand]</f>
        <v>22452</v>
      </c>
      <c r="K130">
        <f>tblComponents[Demand_Variability]</f>
        <v>0.2346</v>
      </c>
      <c r="L130">
        <f t="shared" si="1"/>
        <v>43</v>
      </c>
    </row>
    <row r="131" spans="1:12" x14ac:dyDescent="0.35">
      <c r="A131" s="8" t="str">
        <f>tblComponents[Component_ID]</f>
        <v>C130</v>
      </c>
      <c r="B131" s="8" t="str">
        <f>tblComponents[Component_Name]</f>
        <v>Component 130</v>
      </c>
      <c r="C131" t="str">
        <f>tblComponents[Product_Family]</f>
        <v>Powertrain</v>
      </c>
      <c r="D131" t="str">
        <f>tblComponents[Category]</f>
        <v>Metal</v>
      </c>
      <c r="E131" t="str">
        <f>tblComponents[Sourcing_Type]</f>
        <v>Make</v>
      </c>
      <c r="F131" t="str">
        <f>tblComponents[Criticality]</f>
        <v>Critical</v>
      </c>
      <c r="G131">
        <f>tblComponents[Monthly_Demand]</f>
        <v>253</v>
      </c>
      <c r="H131">
        <f>tblComponents[Demand_Growth_Rate]</f>
        <v>4.9230819050399013E-2</v>
      </c>
      <c r="I131">
        <f>tblComponents[Forecast_Demand]</f>
        <v>265</v>
      </c>
      <c r="J131">
        <f>tblComponents[Annual_Demand]</f>
        <v>17979</v>
      </c>
      <c r="K131">
        <f>tblComponents[Demand_Variability]</f>
        <v>0.21929999999999999</v>
      </c>
      <c r="L131">
        <f t="shared" ref="L131:L194" si="2">I131-G131</f>
        <v>12</v>
      </c>
    </row>
    <row r="132" spans="1:12" x14ac:dyDescent="0.35">
      <c r="A132" s="8" t="str">
        <f>tblComponents[Component_ID]</f>
        <v>C131</v>
      </c>
      <c r="B132" s="8" t="str">
        <f>tblComponents[Component_Name]</f>
        <v>Component 131</v>
      </c>
      <c r="C132" t="str">
        <f>tblComponents[Product_Family]</f>
        <v>Electrical Systems</v>
      </c>
      <c r="D132" t="str">
        <f>tblComponents[Category]</f>
        <v>Electrical</v>
      </c>
      <c r="E132" t="str">
        <f>tblComponents[Sourcing_Type]</f>
        <v>Make</v>
      </c>
      <c r="F132" t="str">
        <f>tblComponents[Criticality]</f>
        <v>High</v>
      </c>
      <c r="G132">
        <f>tblComponents[Monthly_Demand]</f>
        <v>2328</v>
      </c>
      <c r="H132">
        <f>tblComponents[Demand_Growth_Rate]</f>
        <v>0.18788749358883169</v>
      </c>
      <c r="I132">
        <f>tblComponents[Forecast_Demand]</f>
        <v>2765</v>
      </c>
      <c r="J132">
        <f>tblComponents[Annual_Demand]</f>
        <v>24581</v>
      </c>
      <c r="K132">
        <f>tblComponents[Demand_Variability]</f>
        <v>0.23100000000000001</v>
      </c>
      <c r="L132">
        <f t="shared" si="2"/>
        <v>437</v>
      </c>
    </row>
    <row r="133" spans="1:12" x14ac:dyDescent="0.35">
      <c r="A133" s="8" t="str">
        <f>tblComponents[Component_ID]</f>
        <v>C132</v>
      </c>
      <c r="B133" s="8" t="str">
        <f>tblComponents[Component_Name]</f>
        <v>Component 132</v>
      </c>
      <c r="C133" t="str">
        <f>tblComponents[Product_Family]</f>
        <v>Interior</v>
      </c>
      <c r="D133" t="str">
        <f>tblComponents[Category]</f>
        <v>Metal</v>
      </c>
      <c r="E133" t="str">
        <f>tblComponents[Sourcing_Type]</f>
        <v>Make</v>
      </c>
      <c r="F133" t="str">
        <f>tblComponents[Criticality]</f>
        <v>Medium</v>
      </c>
      <c r="G133">
        <f>tblComponents[Monthly_Demand]</f>
        <v>1215</v>
      </c>
      <c r="H133">
        <f>tblComponents[Demand_Growth_Rate]</f>
        <v>0.16774228093652141</v>
      </c>
      <c r="I133">
        <f>tblComponents[Forecast_Demand]</f>
        <v>1419</v>
      </c>
      <c r="J133">
        <f>tblComponents[Annual_Demand]</f>
        <v>42236</v>
      </c>
      <c r="K133">
        <f>tblComponents[Demand_Variability]</f>
        <v>0.1139</v>
      </c>
      <c r="L133">
        <f t="shared" si="2"/>
        <v>204</v>
      </c>
    </row>
    <row r="134" spans="1:12" x14ac:dyDescent="0.35">
      <c r="A134" s="8" t="str">
        <f>tblComponents[Component_ID]</f>
        <v>C133</v>
      </c>
      <c r="B134" s="8" t="str">
        <f>tblComponents[Component_Name]</f>
        <v>Component 133</v>
      </c>
      <c r="C134" t="str">
        <f>tblComponents[Product_Family]</f>
        <v>Body &amp; Exterior</v>
      </c>
      <c r="D134" t="str">
        <f>tblComponents[Category]</f>
        <v>Metal</v>
      </c>
      <c r="E134" t="str">
        <f>tblComponents[Sourcing_Type]</f>
        <v>Make</v>
      </c>
      <c r="F134" t="str">
        <f>tblComponents[Criticality]</f>
        <v>Critical</v>
      </c>
      <c r="G134">
        <f>tblComponents[Monthly_Demand]</f>
        <v>487</v>
      </c>
      <c r="H134">
        <f>tblComponents[Demand_Growth_Rate]</f>
        <v>9.9368965657982519E-2</v>
      </c>
      <c r="I134">
        <f>tblComponents[Forecast_Demand]</f>
        <v>535</v>
      </c>
      <c r="J134">
        <f>tblComponents[Annual_Demand]</f>
        <v>28588</v>
      </c>
      <c r="K134">
        <f>tblComponents[Demand_Variability]</f>
        <v>0.1283</v>
      </c>
      <c r="L134">
        <f t="shared" si="2"/>
        <v>48</v>
      </c>
    </row>
    <row r="135" spans="1:12" x14ac:dyDescent="0.35">
      <c r="A135" s="8" t="str">
        <f>tblComponents[Component_ID]</f>
        <v>C134</v>
      </c>
      <c r="B135" s="8" t="str">
        <f>tblComponents[Component_Name]</f>
        <v>Component 134</v>
      </c>
      <c r="C135" t="str">
        <f>tblComponents[Product_Family]</f>
        <v>Electrical Systems</v>
      </c>
      <c r="D135" t="str">
        <f>tblComponents[Category]</f>
        <v>Metal</v>
      </c>
      <c r="E135" t="str">
        <f>tblComponents[Sourcing_Type]</f>
        <v>Make</v>
      </c>
      <c r="F135" t="str">
        <f>tblComponents[Criticality]</f>
        <v>Medium</v>
      </c>
      <c r="G135">
        <f>tblComponents[Monthly_Demand]</f>
        <v>111</v>
      </c>
      <c r="H135">
        <f>tblComponents[Demand_Growth_Rate]</f>
        <v>1.177580850253661E-2</v>
      </c>
      <c r="I135">
        <f>tblComponents[Forecast_Demand]</f>
        <v>112</v>
      </c>
      <c r="J135">
        <f>tblComponents[Annual_Demand]</f>
        <v>49692</v>
      </c>
      <c r="K135">
        <f>tblComponents[Demand_Variability]</f>
        <v>0.12909999999999999</v>
      </c>
      <c r="L135">
        <f t="shared" si="2"/>
        <v>1</v>
      </c>
    </row>
    <row r="136" spans="1:12" x14ac:dyDescent="0.35">
      <c r="A136" s="8" t="str">
        <f>tblComponents[Component_ID]</f>
        <v>C135</v>
      </c>
      <c r="B136" s="8" t="str">
        <f>tblComponents[Component_Name]</f>
        <v>Component 135</v>
      </c>
      <c r="C136" t="str">
        <f>tblComponents[Product_Family]</f>
        <v>Interior</v>
      </c>
      <c r="D136" t="str">
        <f>tblComponents[Category]</f>
        <v>Metal</v>
      </c>
      <c r="E136" t="str">
        <f>tblComponents[Sourcing_Type]</f>
        <v>Make</v>
      </c>
      <c r="F136" t="str">
        <f>tblComponents[Criticality]</f>
        <v>High</v>
      </c>
      <c r="G136">
        <f>tblComponents[Monthly_Demand]</f>
        <v>2654</v>
      </c>
      <c r="H136">
        <f>tblComponents[Demand_Growth_Rate]</f>
        <v>5.8413833489097219E-2</v>
      </c>
      <c r="I136">
        <f>tblComponents[Forecast_Demand]</f>
        <v>2809</v>
      </c>
      <c r="J136">
        <f>tblComponents[Annual_Demand]</f>
        <v>10730</v>
      </c>
      <c r="K136">
        <f>tblComponents[Demand_Variability]</f>
        <v>0.14410000000000001</v>
      </c>
      <c r="L136">
        <f t="shared" si="2"/>
        <v>155</v>
      </c>
    </row>
    <row r="137" spans="1:12" x14ac:dyDescent="0.35">
      <c r="A137" s="8" t="str">
        <f>tblComponents[Component_ID]</f>
        <v>C136</v>
      </c>
      <c r="B137" s="8" t="str">
        <f>tblComponents[Component_Name]</f>
        <v>Component 136</v>
      </c>
      <c r="C137" t="str">
        <f>tblComponents[Product_Family]</f>
        <v>Powertrain</v>
      </c>
      <c r="D137" t="str">
        <f>tblComponents[Category]</f>
        <v>Metal</v>
      </c>
      <c r="E137" t="str">
        <f>tblComponents[Sourcing_Type]</f>
        <v>Make</v>
      </c>
      <c r="F137" t="str">
        <f>tblComponents[Criticality]</f>
        <v>High</v>
      </c>
      <c r="G137">
        <f>tblComponents[Monthly_Demand]</f>
        <v>558</v>
      </c>
      <c r="H137">
        <f>tblComponents[Demand_Growth_Rate]</f>
        <v>0.1125814215867342</v>
      </c>
      <c r="I137">
        <f>tblComponents[Forecast_Demand]</f>
        <v>621</v>
      </c>
      <c r="J137">
        <f>tblComponents[Annual_Demand]</f>
        <v>31663</v>
      </c>
      <c r="K137">
        <f>tblComponents[Demand_Variability]</f>
        <v>0.1469</v>
      </c>
      <c r="L137">
        <f t="shared" si="2"/>
        <v>63</v>
      </c>
    </row>
    <row r="138" spans="1:12" x14ac:dyDescent="0.35">
      <c r="A138" s="8" t="str">
        <f>tblComponents[Component_ID]</f>
        <v>C137</v>
      </c>
      <c r="B138" s="8" t="str">
        <f>tblComponents[Component_Name]</f>
        <v>Component 137</v>
      </c>
      <c r="C138" t="str">
        <f>tblComponents[Product_Family]</f>
        <v>Body &amp; Exterior</v>
      </c>
      <c r="D138" t="str">
        <f>tblComponents[Category]</f>
        <v>Metal</v>
      </c>
      <c r="E138" t="str">
        <f>tblComponents[Sourcing_Type]</f>
        <v>Make</v>
      </c>
      <c r="F138" t="str">
        <f>tblComponents[Criticality]</f>
        <v>High</v>
      </c>
      <c r="G138">
        <f>tblComponents[Monthly_Demand]</f>
        <v>1361</v>
      </c>
      <c r="H138">
        <f>tblComponents[Demand_Growth_Rate]</f>
        <v>0.19019513787174419</v>
      </c>
      <c r="I138">
        <f>tblComponents[Forecast_Demand]</f>
        <v>1620</v>
      </c>
      <c r="J138">
        <f>tblComponents[Annual_Demand]</f>
        <v>48074</v>
      </c>
      <c r="K138">
        <f>tblComponents[Demand_Variability]</f>
        <v>0.1726</v>
      </c>
      <c r="L138">
        <f t="shared" si="2"/>
        <v>259</v>
      </c>
    </row>
    <row r="139" spans="1:12" x14ac:dyDescent="0.35">
      <c r="A139" s="8" t="str">
        <f>tblComponents[Component_ID]</f>
        <v>C138</v>
      </c>
      <c r="B139" s="8" t="str">
        <f>tblComponents[Component_Name]</f>
        <v>Component 138</v>
      </c>
      <c r="C139" t="str">
        <f>tblComponents[Product_Family]</f>
        <v>Interior</v>
      </c>
      <c r="D139" t="str">
        <f>tblComponents[Category]</f>
        <v>Electrical</v>
      </c>
      <c r="E139" t="str">
        <f>tblComponents[Sourcing_Type]</f>
        <v>Make</v>
      </c>
      <c r="F139" t="str">
        <f>tblComponents[Criticality]</f>
        <v>Medium</v>
      </c>
      <c r="G139">
        <f>tblComponents[Monthly_Demand]</f>
        <v>1061</v>
      </c>
      <c r="H139">
        <f>tblComponents[Demand_Growth_Rate]</f>
        <v>0.16675787403061221</v>
      </c>
      <c r="I139">
        <f>tblComponents[Forecast_Demand]</f>
        <v>1238</v>
      </c>
      <c r="J139">
        <f>tblComponents[Annual_Demand]</f>
        <v>34053</v>
      </c>
      <c r="K139">
        <f>tblComponents[Demand_Variability]</f>
        <v>0.1072</v>
      </c>
      <c r="L139">
        <f t="shared" si="2"/>
        <v>177</v>
      </c>
    </row>
    <row r="140" spans="1:12" x14ac:dyDescent="0.35">
      <c r="A140" s="8" t="str">
        <f>tblComponents[Component_ID]</f>
        <v>C139</v>
      </c>
      <c r="B140" s="8" t="str">
        <f>tblComponents[Component_Name]</f>
        <v>Component 139</v>
      </c>
      <c r="C140" t="str">
        <f>tblComponents[Product_Family]</f>
        <v>Chassis</v>
      </c>
      <c r="D140" t="str">
        <f>tblComponents[Category]</f>
        <v>Electrical</v>
      </c>
      <c r="E140" t="str">
        <f>tblComponents[Sourcing_Type]</f>
        <v>Make</v>
      </c>
      <c r="F140" t="str">
        <f>tblComponents[Criticality]</f>
        <v>Low</v>
      </c>
      <c r="G140">
        <f>tblComponents[Monthly_Demand]</f>
        <v>361</v>
      </c>
      <c r="H140">
        <f>tblComponents[Demand_Growth_Rate]</f>
        <v>0.11375233470802711</v>
      </c>
      <c r="I140">
        <f>tblComponents[Forecast_Demand]</f>
        <v>402</v>
      </c>
      <c r="J140">
        <f>tblComponents[Annual_Demand]</f>
        <v>26085</v>
      </c>
      <c r="K140">
        <f>tblComponents[Demand_Variability]</f>
        <v>0.19750000000000001</v>
      </c>
      <c r="L140">
        <f t="shared" si="2"/>
        <v>41</v>
      </c>
    </row>
    <row r="141" spans="1:12" x14ac:dyDescent="0.35">
      <c r="A141" s="8" t="str">
        <f>tblComponents[Component_ID]</f>
        <v>C140</v>
      </c>
      <c r="B141" s="8" t="str">
        <f>tblComponents[Component_Name]</f>
        <v>Component 140</v>
      </c>
      <c r="C141" t="str">
        <f>tblComponents[Product_Family]</f>
        <v>Chassis</v>
      </c>
      <c r="D141" t="str">
        <f>tblComponents[Category]</f>
        <v>Metal</v>
      </c>
      <c r="E141" t="str">
        <f>tblComponents[Sourcing_Type]</f>
        <v>Make</v>
      </c>
      <c r="F141" t="str">
        <f>tblComponents[Criticality]</f>
        <v>Medium</v>
      </c>
      <c r="G141">
        <f>tblComponents[Monthly_Demand]</f>
        <v>324</v>
      </c>
      <c r="H141">
        <f>tblComponents[Demand_Growth_Rate]</f>
        <v>-1.7108078718185048E-2</v>
      </c>
      <c r="I141">
        <f>tblComponents[Forecast_Demand]</f>
        <v>318</v>
      </c>
      <c r="J141">
        <f>tblComponents[Annual_Demand]</f>
        <v>45564</v>
      </c>
      <c r="K141">
        <f>tblComponents[Demand_Variability]</f>
        <v>0.1085</v>
      </c>
      <c r="L141">
        <f t="shared" si="2"/>
        <v>-6</v>
      </c>
    </row>
    <row r="142" spans="1:12" x14ac:dyDescent="0.35">
      <c r="A142" s="8" t="str">
        <f>tblComponents[Component_ID]</f>
        <v>C141</v>
      </c>
      <c r="B142" s="8" t="str">
        <f>tblComponents[Component_Name]</f>
        <v>Component 141</v>
      </c>
      <c r="C142" t="str">
        <f>tblComponents[Product_Family]</f>
        <v>Interior</v>
      </c>
      <c r="D142" t="str">
        <f>tblComponents[Category]</f>
        <v>Metal</v>
      </c>
      <c r="E142" t="str">
        <f>tblComponents[Sourcing_Type]</f>
        <v>Make</v>
      </c>
      <c r="F142" t="str">
        <f>tblComponents[Criticality]</f>
        <v>Low</v>
      </c>
      <c r="G142">
        <f>tblComponents[Monthly_Demand]</f>
        <v>1836</v>
      </c>
      <c r="H142">
        <f>tblComponents[Demand_Growth_Rate]</f>
        <v>-3.2716803453345142E-2</v>
      </c>
      <c r="I142">
        <f>tblComponents[Forecast_Demand]</f>
        <v>1776</v>
      </c>
      <c r="J142">
        <f>tblComponents[Annual_Demand]</f>
        <v>46061</v>
      </c>
      <c r="K142">
        <f>tblComponents[Demand_Variability]</f>
        <v>0.1328</v>
      </c>
      <c r="L142">
        <f t="shared" si="2"/>
        <v>-60</v>
      </c>
    </row>
    <row r="143" spans="1:12" x14ac:dyDescent="0.35">
      <c r="A143" s="8" t="str">
        <f>tblComponents[Component_ID]</f>
        <v>C142</v>
      </c>
      <c r="B143" s="8" t="str">
        <f>tblComponents[Component_Name]</f>
        <v>Component 142</v>
      </c>
      <c r="C143" t="str">
        <f>tblComponents[Product_Family]</f>
        <v>Powertrain</v>
      </c>
      <c r="D143" t="str">
        <f>tblComponents[Category]</f>
        <v>Metal</v>
      </c>
      <c r="E143" t="str">
        <f>tblComponents[Sourcing_Type]</f>
        <v>Make</v>
      </c>
      <c r="F143" t="str">
        <f>tblComponents[Criticality]</f>
        <v>Medium</v>
      </c>
      <c r="G143">
        <f>tblComponents[Monthly_Demand]</f>
        <v>1242</v>
      </c>
      <c r="H143">
        <f>tblComponents[Demand_Growth_Rate]</f>
        <v>-9.119031853744311E-3</v>
      </c>
      <c r="I143">
        <f>tblComponents[Forecast_Demand]</f>
        <v>1231</v>
      </c>
      <c r="J143">
        <f>tblComponents[Annual_Demand]</f>
        <v>18981</v>
      </c>
      <c r="K143">
        <f>tblComponents[Demand_Variability]</f>
        <v>0.1656</v>
      </c>
      <c r="L143">
        <f t="shared" si="2"/>
        <v>-11</v>
      </c>
    </row>
    <row r="144" spans="1:12" x14ac:dyDescent="0.35">
      <c r="A144" s="8" t="str">
        <f>tblComponents[Component_ID]</f>
        <v>C143</v>
      </c>
      <c r="B144" s="8" t="str">
        <f>tblComponents[Component_Name]</f>
        <v>Component 143</v>
      </c>
      <c r="C144" t="str">
        <f>tblComponents[Product_Family]</f>
        <v>Interior</v>
      </c>
      <c r="D144" t="str">
        <f>tblComponents[Category]</f>
        <v>Metal</v>
      </c>
      <c r="E144" t="str">
        <f>tblComponents[Sourcing_Type]</f>
        <v>Make</v>
      </c>
      <c r="F144" t="str">
        <f>tblComponents[Criticality]</f>
        <v>High</v>
      </c>
      <c r="G144">
        <f>tblComponents[Monthly_Demand]</f>
        <v>263</v>
      </c>
      <c r="H144">
        <f>tblComponents[Demand_Growth_Rate]</f>
        <v>0.19245526126963619</v>
      </c>
      <c r="I144">
        <f>tblComponents[Forecast_Demand]</f>
        <v>314</v>
      </c>
      <c r="J144">
        <f>tblComponents[Annual_Demand]</f>
        <v>36153</v>
      </c>
      <c r="K144">
        <f>tblComponents[Demand_Variability]</f>
        <v>0.21540000000000001</v>
      </c>
      <c r="L144">
        <f t="shared" si="2"/>
        <v>51</v>
      </c>
    </row>
    <row r="145" spans="1:12" x14ac:dyDescent="0.35">
      <c r="A145" s="8" t="str">
        <f>tblComponents[Component_ID]</f>
        <v>C144</v>
      </c>
      <c r="B145" s="8" t="str">
        <f>tblComponents[Component_Name]</f>
        <v>Component 144</v>
      </c>
      <c r="C145" t="str">
        <f>tblComponents[Product_Family]</f>
        <v>Chassis</v>
      </c>
      <c r="D145" t="str">
        <f>tblComponents[Category]</f>
        <v>Metal</v>
      </c>
      <c r="E145" t="str">
        <f>tblComponents[Sourcing_Type]</f>
        <v>Make</v>
      </c>
      <c r="F145" t="str">
        <f>tblComponents[Criticality]</f>
        <v>Medium</v>
      </c>
      <c r="G145">
        <f>tblComponents[Monthly_Demand]</f>
        <v>1361</v>
      </c>
      <c r="H145">
        <f>tblComponents[Demand_Growth_Rate]</f>
        <v>-1.3560857938812079E-2</v>
      </c>
      <c r="I145">
        <f>tblComponents[Forecast_Demand]</f>
        <v>1343</v>
      </c>
      <c r="J145">
        <f>tblComponents[Annual_Demand]</f>
        <v>90006</v>
      </c>
      <c r="K145">
        <f>tblComponents[Demand_Variability]</f>
        <v>0.20569999999999999</v>
      </c>
      <c r="L145">
        <f t="shared" si="2"/>
        <v>-18</v>
      </c>
    </row>
    <row r="146" spans="1:12" x14ac:dyDescent="0.35">
      <c r="A146" s="8" t="str">
        <f>tblComponents[Component_ID]</f>
        <v>C145</v>
      </c>
      <c r="B146" s="8" t="str">
        <f>tblComponents[Component_Name]</f>
        <v>Component 145</v>
      </c>
      <c r="C146" t="str">
        <f>tblComponents[Product_Family]</f>
        <v>Electrical Systems</v>
      </c>
      <c r="D146" t="str">
        <f>tblComponents[Category]</f>
        <v>Electrical</v>
      </c>
      <c r="E146" t="str">
        <f>tblComponents[Sourcing_Type]</f>
        <v>Make</v>
      </c>
      <c r="F146" t="str">
        <f>tblComponents[Criticality]</f>
        <v>Medium</v>
      </c>
      <c r="G146">
        <f>tblComponents[Monthly_Demand]</f>
        <v>606</v>
      </c>
      <c r="H146">
        <f>tblComponents[Demand_Growth_Rate]</f>
        <v>0.13410050376641011</v>
      </c>
      <c r="I146">
        <f>tblComponents[Forecast_Demand]</f>
        <v>687</v>
      </c>
      <c r="J146">
        <f>tblComponents[Annual_Demand]</f>
        <v>52800</v>
      </c>
      <c r="K146">
        <f>tblComponents[Demand_Variability]</f>
        <v>0.18970000000000001</v>
      </c>
      <c r="L146">
        <f t="shared" si="2"/>
        <v>81</v>
      </c>
    </row>
    <row r="147" spans="1:12" x14ac:dyDescent="0.35">
      <c r="A147" s="8" t="str">
        <f>tblComponents[Component_ID]</f>
        <v>C146</v>
      </c>
      <c r="B147" s="8" t="str">
        <f>tblComponents[Component_Name]</f>
        <v>Component 146</v>
      </c>
      <c r="C147" t="str">
        <f>tblComponents[Product_Family]</f>
        <v>Electrical Systems</v>
      </c>
      <c r="D147" t="str">
        <f>tblComponents[Category]</f>
        <v>Electrical</v>
      </c>
      <c r="E147" t="str">
        <f>tblComponents[Sourcing_Type]</f>
        <v>Make</v>
      </c>
      <c r="F147" t="str">
        <f>tblComponents[Criticality]</f>
        <v>Medium</v>
      </c>
      <c r="G147">
        <f>tblComponents[Monthly_Demand]</f>
        <v>207</v>
      </c>
      <c r="H147">
        <f>tblComponents[Demand_Growth_Rate]</f>
        <v>8.497645987555312E-2</v>
      </c>
      <c r="I147">
        <f>tblComponents[Forecast_Demand]</f>
        <v>225</v>
      </c>
      <c r="J147">
        <f>tblComponents[Annual_Demand]</f>
        <v>19997</v>
      </c>
      <c r="K147">
        <f>tblComponents[Demand_Variability]</f>
        <v>0.1065</v>
      </c>
      <c r="L147">
        <f t="shared" si="2"/>
        <v>18</v>
      </c>
    </row>
    <row r="148" spans="1:12" x14ac:dyDescent="0.35">
      <c r="A148" s="8" t="str">
        <f>tblComponents[Component_ID]</f>
        <v>C147</v>
      </c>
      <c r="B148" s="8" t="str">
        <f>tblComponents[Component_Name]</f>
        <v>Component 147</v>
      </c>
      <c r="C148" t="str">
        <f>tblComponents[Product_Family]</f>
        <v>Interior</v>
      </c>
      <c r="D148" t="str">
        <f>tblComponents[Category]</f>
        <v>Metal</v>
      </c>
      <c r="E148" t="str">
        <f>tblComponents[Sourcing_Type]</f>
        <v>Make</v>
      </c>
      <c r="F148" t="str">
        <f>tblComponents[Criticality]</f>
        <v>Critical</v>
      </c>
      <c r="G148">
        <f>tblComponents[Monthly_Demand]</f>
        <v>534</v>
      </c>
      <c r="H148">
        <f>tblComponents[Demand_Growth_Rate]</f>
        <v>6.3049757070858817E-2</v>
      </c>
      <c r="I148">
        <f>tblComponents[Forecast_Demand]</f>
        <v>568</v>
      </c>
      <c r="J148">
        <f>tblComponents[Annual_Demand]</f>
        <v>87767</v>
      </c>
      <c r="K148">
        <f>tblComponents[Demand_Variability]</f>
        <v>0.17299999999999999</v>
      </c>
      <c r="L148">
        <f t="shared" si="2"/>
        <v>34</v>
      </c>
    </row>
    <row r="149" spans="1:12" x14ac:dyDescent="0.35">
      <c r="A149" s="8" t="str">
        <f>tblComponents[Component_ID]</f>
        <v>C148</v>
      </c>
      <c r="B149" s="8" t="str">
        <f>tblComponents[Component_Name]</f>
        <v>Component 148</v>
      </c>
      <c r="C149" t="str">
        <f>tblComponents[Product_Family]</f>
        <v>Chassis</v>
      </c>
      <c r="D149" t="str">
        <f>tblComponents[Category]</f>
        <v>Metal</v>
      </c>
      <c r="E149" t="str">
        <f>tblComponents[Sourcing_Type]</f>
        <v>Make</v>
      </c>
      <c r="F149" t="str">
        <f>tblComponents[Criticality]</f>
        <v>High</v>
      </c>
      <c r="G149">
        <f>tblComponents[Monthly_Demand]</f>
        <v>315</v>
      </c>
      <c r="H149">
        <f>tblComponents[Demand_Growth_Rate]</f>
        <v>0.121491933995746</v>
      </c>
      <c r="I149">
        <f>tblComponents[Forecast_Demand]</f>
        <v>353</v>
      </c>
      <c r="J149">
        <f>tblComponents[Annual_Demand]</f>
        <v>58054</v>
      </c>
      <c r="K149">
        <f>tblComponents[Demand_Variability]</f>
        <v>9.4899999999999998E-2</v>
      </c>
      <c r="L149">
        <f t="shared" si="2"/>
        <v>38</v>
      </c>
    </row>
    <row r="150" spans="1:12" x14ac:dyDescent="0.35">
      <c r="A150" s="8" t="str">
        <f>tblComponents[Component_ID]</f>
        <v>C149</v>
      </c>
      <c r="B150" s="8" t="str">
        <f>tblComponents[Component_Name]</f>
        <v>Component 149</v>
      </c>
      <c r="C150" t="str">
        <f>tblComponents[Product_Family]</f>
        <v>Chassis</v>
      </c>
      <c r="D150" t="str">
        <f>tblComponents[Category]</f>
        <v>Electrical</v>
      </c>
      <c r="E150" t="str">
        <f>tblComponents[Sourcing_Type]</f>
        <v>Make</v>
      </c>
      <c r="F150" t="str">
        <f>tblComponents[Criticality]</f>
        <v>High</v>
      </c>
      <c r="G150">
        <f>tblComponents[Monthly_Demand]</f>
        <v>1418</v>
      </c>
      <c r="H150">
        <f>tblComponents[Demand_Growth_Rate]</f>
        <v>0.1167160643865261</v>
      </c>
      <c r="I150">
        <f>tblComponents[Forecast_Demand]</f>
        <v>1584</v>
      </c>
      <c r="J150">
        <f>tblComponents[Annual_Demand]</f>
        <v>20573</v>
      </c>
      <c r="K150">
        <f>tblComponents[Demand_Variability]</f>
        <v>0.14419999999999999</v>
      </c>
      <c r="L150">
        <f t="shared" si="2"/>
        <v>166</v>
      </c>
    </row>
    <row r="151" spans="1:12" x14ac:dyDescent="0.35">
      <c r="A151" s="8" t="str">
        <f>tblComponents[Component_ID]</f>
        <v>C150</v>
      </c>
      <c r="B151" s="8" t="str">
        <f>tblComponents[Component_Name]</f>
        <v>Component 150</v>
      </c>
      <c r="C151" t="str">
        <f>tblComponents[Product_Family]</f>
        <v>Powertrain</v>
      </c>
      <c r="D151" t="str">
        <f>tblComponents[Category]</f>
        <v>Metal</v>
      </c>
      <c r="E151" t="str">
        <f>tblComponents[Sourcing_Type]</f>
        <v>Make</v>
      </c>
      <c r="F151" t="str">
        <f>tblComponents[Criticality]</f>
        <v>High</v>
      </c>
      <c r="G151">
        <f>tblComponents[Monthly_Demand]</f>
        <v>840</v>
      </c>
      <c r="H151">
        <f>tblComponents[Demand_Growth_Rate]</f>
        <v>-2.6524821052645409E-2</v>
      </c>
      <c r="I151">
        <f>tblComponents[Forecast_Demand]</f>
        <v>818</v>
      </c>
      <c r="J151">
        <f>tblComponents[Annual_Demand]</f>
        <v>28731</v>
      </c>
      <c r="K151">
        <f>tblComponents[Demand_Variability]</f>
        <v>0.15029999999999999</v>
      </c>
      <c r="L151">
        <f t="shared" si="2"/>
        <v>-22</v>
      </c>
    </row>
    <row r="152" spans="1:12" x14ac:dyDescent="0.35">
      <c r="A152" s="8" t="str">
        <f>tblComponents[Component_ID]</f>
        <v>C151</v>
      </c>
      <c r="B152" s="8" t="str">
        <f>tblComponents[Component_Name]</f>
        <v>Component 151</v>
      </c>
      <c r="C152" t="str">
        <f>tblComponents[Product_Family]</f>
        <v>Electrical Systems</v>
      </c>
      <c r="D152" t="str">
        <f>tblComponents[Category]</f>
        <v>Electrical</v>
      </c>
      <c r="E152" t="str">
        <f>tblComponents[Sourcing_Type]</f>
        <v>Make</v>
      </c>
      <c r="F152" t="str">
        <f>tblComponents[Criticality]</f>
        <v>Medium</v>
      </c>
      <c r="G152">
        <f>tblComponents[Monthly_Demand]</f>
        <v>317</v>
      </c>
      <c r="H152">
        <f>tblComponents[Demand_Growth_Rate]</f>
        <v>4.357419178494816E-2</v>
      </c>
      <c r="I152">
        <f>tblComponents[Forecast_Demand]</f>
        <v>331</v>
      </c>
      <c r="J152">
        <f>tblComponents[Annual_Demand]</f>
        <v>55068</v>
      </c>
      <c r="K152">
        <f>tblComponents[Demand_Variability]</f>
        <v>8.6800000000000002E-2</v>
      </c>
      <c r="L152">
        <f t="shared" si="2"/>
        <v>14</v>
      </c>
    </row>
    <row r="153" spans="1:12" x14ac:dyDescent="0.35">
      <c r="A153" s="8" t="str">
        <f>tblComponents[Component_ID]</f>
        <v>C152</v>
      </c>
      <c r="B153" s="8" t="str">
        <f>tblComponents[Component_Name]</f>
        <v>Component 152</v>
      </c>
      <c r="C153" t="str">
        <f>tblComponents[Product_Family]</f>
        <v>Chassis</v>
      </c>
      <c r="D153" t="str">
        <f>tblComponents[Category]</f>
        <v>Electrical</v>
      </c>
      <c r="E153" t="str">
        <f>tblComponents[Sourcing_Type]</f>
        <v>Make</v>
      </c>
      <c r="F153" t="str">
        <f>tblComponents[Criticality]</f>
        <v>Medium</v>
      </c>
      <c r="G153">
        <f>tblComponents[Monthly_Demand]</f>
        <v>1344</v>
      </c>
      <c r="H153">
        <f>tblComponents[Demand_Growth_Rate]</f>
        <v>0.1223816877578903</v>
      </c>
      <c r="I153">
        <f>tblComponents[Forecast_Demand]</f>
        <v>1508</v>
      </c>
      <c r="J153">
        <f>tblComponents[Annual_Demand]</f>
        <v>7887</v>
      </c>
      <c r="K153">
        <f>tblComponents[Demand_Variability]</f>
        <v>0.12659999999999999</v>
      </c>
      <c r="L153">
        <f t="shared" si="2"/>
        <v>164</v>
      </c>
    </row>
    <row r="154" spans="1:12" x14ac:dyDescent="0.35">
      <c r="A154" s="8" t="str">
        <f>tblComponents[Component_ID]</f>
        <v>C153</v>
      </c>
      <c r="B154" s="8" t="str">
        <f>tblComponents[Component_Name]</f>
        <v>Component 153</v>
      </c>
      <c r="C154" t="str">
        <f>tblComponents[Product_Family]</f>
        <v>Powertrain</v>
      </c>
      <c r="D154" t="str">
        <f>tblComponents[Category]</f>
        <v>Electrical</v>
      </c>
      <c r="E154" t="str">
        <f>tblComponents[Sourcing_Type]</f>
        <v>Make</v>
      </c>
      <c r="F154" t="str">
        <f>tblComponents[Criticality]</f>
        <v>Medium</v>
      </c>
      <c r="G154">
        <f>tblComponents[Monthly_Demand]</f>
        <v>2243</v>
      </c>
      <c r="H154">
        <f>tblComponents[Demand_Growth_Rate]</f>
        <v>-1.017813868929872E-2</v>
      </c>
      <c r="I154">
        <f>tblComponents[Forecast_Demand]</f>
        <v>2220</v>
      </c>
      <c r="J154">
        <f>tblComponents[Annual_Demand]</f>
        <v>58646</v>
      </c>
      <c r="K154">
        <f>tblComponents[Demand_Variability]</f>
        <v>0.24249999999999999</v>
      </c>
      <c r="L154">
        <f t="shared" si="2"/>
        <v>-23</v>
      </c>
    </row>
    <row r="155" spans="1:12" x14ac:dyDescent="0.35">
      <c r="A155" s="8" t="str">
        <f>tblComponents[Component_ID]</f>
        <v>C154</v>
      </c>
      <c r="B155" s="8" t="str">
        <f>tblComponents[Component_Name]</f>
        <v>Component 154</v>
      </c>
      <c r="C155" t="str">
        <f>tblComponents[Product_Family]</f>
        <v>Chassis</v>
      </c>
      <c r="D155" t="str">
        <f>tblComponents[Category]</f>
        <v>Electrical</v>
      </c>
      <c r="E155" t="str">
        <f>tblComponents[Sourcing_Type]</f>
        <v>Make</v>
      </c>
      <c r="F155" t="str">
        <f>tblComponents[Criticality]</f>
        <v>Medium</v>
      </c>
      <c r="G155">
        <f>tblComponents[Monthly_Demand]</f>
        <v>2182</v>
      </c>
      <c r="H155">
        <f>tblComponents[Demand_Growth_Rate]</f>
        <v>0.13461230231283161</v>
      </c>
      <c r="I155">
        <f>tblComponents[Forecast_Demand]</f>
        <v>2476</v>
      </c>
      <c r="J155">
        <f>tblComponents[Annual_Demand]</f>
        <v>9086</v>
      </c>
      <c r="K155">
        <f>tblComponents[Demand_Variability]</f>
        <v>0.24210000000000001</v>
      </c>
      <c r="L155">
        <f t="shared" si="2"/>
        <v>294</v>
      </c>
    </row>
    <row r="156" spans="1:12" x14ac:dyDescent="0.35">
      <c r="A156" s="8" t="str">
        <f>tblComponents[Component_ID]</f>
        <v>C155</v>
      </c>
      <c r="B156" s="8" t="str">
        <f>tblComponents[Component_Name]</f>
        <v>Component 155</v>
      </c>
      <c r="C156" t="str">
        <f>tblComponents[Product_Family]</f>
        <v>Chassis</v>
      </c>
      <c r="D156" t="str">
        <f>tblComponents[Category]</f>
        <v>Metal</v>
      </c>
      <c r="E156" t="str">
        <f>tblComponents[Sourcing_Type]</f>
        <v>Make</v>
      </c>
      <c r="F156" t="str">
        <f>tblComponents[Criticality]</f>
        <v>Low</v>
      </c>
      <c r="G156">
        <f>tblComponents[Monthly_Demand]</f>
        <v>378</v>
      </c>
      <c r="H156">
        <f>tblComponents[Demand_Growth_Rate]</f>
        <v>5.8895828703233247E-2</v>
      </c>
      <c r="I156">
        <f>tblComponents[Forecast_Demand]</f>
        <v>400</v>
      </c>
      <c r="J156">
        <f>tblComponents[Annual_Demand]</f>
        <v>17776</v>
      </c>
      <c r="K156">
        <f>tblComponents[Demand_Variability]</f>
        <v>0.1399</v>
      </c>
      <c r="L156">
        <f t="shared" si="2"/>
        <v>22</v>
      </c>
    </row>
    <row r="157" spans="1:12" x14ac:dyDescent="0.35">
      <c r="A157" s="8" t="str">
        <f>tblComponents[Component_ID]</f>
        <v>C156</v>
      </c>
      <c r="B157" s="8" t="str">
        <f>tblComponents[Component_Name]</f>
        <v>Component 156</v>
      </c>
      <c r="C157" t="str">
        <f>tblComponents[Product_Family]</f>
        <v>Powertrain</v>
      </c>
      <c r="D157" t="str">
        <f>tblComponents[Category]</f>
        <v>Metal</v>
      </c>
      <c r="E157" t="str">
        <f>tblComponents[Sourcing_Type]</f>
        <v>Make</v>
      </c>
      <c r="F157" t="str">
        <f>tblComponents[Criticality]</f>
        <v>High</v>
      </c>
      <c r="G157">
        <f>tblComponents[Monthly_Demand]</f>
        <v>1210</v>
      </c>
      <c r="H157">
        <f>tblComponents[Demand_Growth_Rate]</f>
        <v>9.0859731837114696E-2</v>
      </c>
      <c r="I157">
        <f>tblComponents[Forecast_Demand]</f>
        <v>1320</v>
      </c>
      <c r="J157">
        <f>tblComponents[Annual_Demand]</f>
        <v>88160</v>
      </c>
      <c r="K157">
        <f>tblComponents[Demand_Variability]</f>
        <v>8.7300000000000003E-2</v>
      </c>
      <c r="L157">
        <f t="shared" si="2"/>
        <v>110</v>
      </c>
    </row>
    <row r="158" spans="1:12" x14ac:dyDescent="0.35">
      <c r="A158" s="8" t="str">
        <f>tblComponents[Component_ID]</f>
        <v>C157</v>
      </c>
      <c r="B158" s="8" t="str">
        <f>tblComponents[Component_Name]</f>
        <v>Component 157</v>
      </c>
      <c r="C158" t="str">
        <f>tblComponents[Product_Family]</f>
        <v>Electrical Systems</v>
      </c>
      <c r="D158" t="str">
        <f>tblComponents[Category]</f>
        <v>Metal</v>
      </c>
      <c r="E158" t="str">
        <f>tblComponents[Sourcing_Type]</f>
        <v>Make</v>
      </c>
      <c r="F158" t="str">
        <f>tblComponents[Criticality]</f>
        <v>Medium</v>
      </c>
      <c r="G158">
        <f>tblComponents[Monthly_Demand]</f>
        <v>2290</v>
      </c>
      <c r="H158">
        <f>tblComponents[Demand_Growth_Rate]</f>
        <v>0.1008621483453445</v>
      </c>
      <c r="I158">
        <f>tblComponents[Forecast_Demand]</f>
        <v>2521</v>
      </c>
      <c r="J158">
        <f>tblComponents[Annual_Demand]</f>
        <v>42564</v>
      </c>
      <c r="K158">
        <f>tblComponents[Demand_Variability]</f>
        <v>0.1104</v>
      </c>
      <c r="L158">
        <f t="shared" si="2"/>
        <v>231</v>
      </c>
    </row>
    <row r="159" spans="1:12" x14ac:dyDescent="0.35">
      <c r="A159" s="8" t="str">
        <f>tblComponents[Component_ID]</f>
        <v>C158</v>
      </c>
      <c r="B159" s="8" t="str">
        <f>tblComponents[Component_Name]</f>
        <v>Component 158</v>
      </c>
      <c r="C159" t="str">
        <f>tblComponents[Product_Family]</f>
        <v>Electrical Systems</v>
      </c>
      <c r="D159" t="str">
        <f>tblComponents[Category]</f>
        <v>Metal</v>
      </c>
      <c r="E159" t="str">
        <f>tblComponents[Sourcing_Type]</f>
        <v>Make</v>
      </c>
      <c r="F159" t="str">
        <f>tblComponents[Criticality]</f>
        <v>Low</v>
      </c>
      <c r="G159">
        <f>tblComponents[Monthly_Demand]</f>
        <v>953</v>
      </c>
      <c r="H159">
        <f>tblComponents[Demand_Growth_Rate]</f>
        <v>0.17855912898786749</v>
      </c>
      <c r="I159">
        <f>tblComponents[Forecast_Demand]</f>
        <v>1123</v>
      </c>
      <c r="J159">
        <f>tblComponents[Annual_Demand]</f>
        <v>43835</v>
      </c>
      <c r="K159">
        <f>tblComponents[Demand_Variability]</f>
        <v>0.1467</v>
      </c>
      <c r="L159">
        <f t="shared" si="2"/>
        <v>170</v>
      </c>
    </row>
    <row r="160" spans="1:12" x14ac:dyDescent="0.35">
      <c r="A160" s="8" t="str">
        <f>tblComponents[Component_ID]</f>
        <v>C159</v>
      </c>
      <c r="B160" s="8" t="str">
        <f>tblComponents[Component_Name]</f>
        <v>Component 159</v>
      </c>
      <c r="C160" t="str">
        <f>tblComponents[Product_Family]</f>
        <v>Powertrain</v>
      </c>
      <c r="D160" t="str">
        <f>tblComponents[Category]</f>
        <v>Metal</v>
      </c>
      <c r="E160" t="str">
        <f>tblComponents[Sourcing_Type]</f>
        <v>Make</v>
      </c>
      <c r="F160" t="str">
        <f>tblComponents[Criticality]</f>
        <v>High</v>
      </c>
      <c r="G160">
        <f>tblComponents[Monthly_Demand]</f>
        <v>542</v>
      </c>
      <c r="H160">
        <f>tblComponents[Demand_Growth_Rate]</f>
        <v>0.14122081538553211</v>
      </c>
      <c r="I160">
        <f>tblComponents[Forecast_Demand]</f>
        <v>619</v>
      </c>
      <c r="J160">
        <f>tblComponents[Annual_Demand]</f>
        <v>22697</v>
      </c>
      <c r="K160">
        <f>tblComponents[Demand_Variability]</f>
        <v>0.24110000000000001</v>
      </c>
      <c r="L160">
        <f t="shared" si="2"/>
        <v>77</v>
      </c>
    </row>
    <row r="161" spans="1:12" x14ac:dyDescent="0.35">
      <c r="A161" s="8" t="str">
        <f>tblComponents[Component_ID]</f>
        <v>C160</v>
      </c>
      <c r="B161" s="8" t="str">
        <f>tblComponents[Component_Name]</f>
        <v>Component 160</v>
      </c>
      <c r="C161" t="str">
        <f>tblComponents[Product_Family]</f>
        <v>Body &amp; Exterior</v>
      </c>
      <c r="D161" t="str">
        <f>tblComponents[Category]</f>
        <v>Electrical</v>
      </c>
      <c r="E161" t="str">
        <f>tblComponents[Sourcing_Type]</f>
        <v>Make</v>
      </c>
      <c r="F161" t="str">
        <f>tblComponents[Criticality]</f>
        <v>High</v>
      </c>
      <c r="G161">
        <f>tblComponents[Monthly_Demand]</f>
        <v>2838</v>
      </c>
      <c r="H161">
        <f>tblComponents[Demand_Growth_Rate]</f>
        <v>-3.2179932486209033E-2</v>
      </c>
      <c r="I161">
        <f>tblComponents[Forecast_Demand]</f>
        <v>2747</v>
      </c>
      <c r="J161">
        <f>tblComponents[Annual_Demand]</f>
        <v>71830</v>
      </c>
      <c r="K161">
        <f>tblComponents[Demand_Variability]</f>
        <v>0.104</v>
      </c>
      <c r="L161">
        <f t="shared" si="2"/>
        <v>-91</v>
      </c>
    </row>
    <row r="162" spans="1:12" x14ac:dyDescent="0.35">
      <c r="A162" s="8" t="str">
        <f>tblComponents[Component_ID]</f>
        <v>C161</v>
      </c>
      <c r="B162" s="8" t="str">
        <f>tblComponents[Component_Name]</f>
        <v>Component 161</v>
      </c>
      <c r="C162" t="str">
        <f>tblComponents[Product_Family]</f>
        <v>Body &amp; Exterior</v>
      </c>
      <c r="D162" t="str">
        <f>tblComponents[Category]</f>
        <v>Metal</v>
      </c>
      <c r="E162" t="str">
        <f>tblComponents[Sourcing_Type]</f>
        <v>Make</v>
      </c>
      <c r="F162" t="str">
        <f>tblComponents[Criticality]</f>
        <v>Medium</v>
      </c>
      <c r="G162">
        <f>tblComponents[Monthly_Demand]</f>
        <v>2357</v>
      </c>
      <c r="H162">
        <f>tblComponents[Demand_Growth_Rate]</f>
        <v>7.1467939796581406E-2</v>
      </c>
      <c r="I162">
        <f>tblComponents[Forecast_Demand]</f>
        <v>2525</v>
      </c>
      <c r="J162">
        <f>tblComponents[Annual_Demand]</f>
        <v>40234</v>
      </c>
      <c r="K162">
        <f>tblComponents[Demand_Variability]</f>
        <v>0.20979999999999999</v>
      </c>
      <c r="L162">
        <f t="shared" si="2"/>
        <v>168</v>
      </c>
    </row>
    <row r="163" spans="1:12" x14ac:dyDescent="0.35">
      <c r="A163" s="8" t="str">
        <f>tblComponents[Component_ID]</f>
        <v>C162</v>
      </c>
      <c r="B163" s="8" t="str">
        <f>tblComponents[Component_Name]</f>
        <v>Component 162</v>
      </c>
      <c r="C163" t="str">
        <f>tblComponents[Product_Family]</f>
        <v>Chassis</v>
      </c>
      <c r="D163" t="str">
        <f>tblComponents[Category]</f>
        <v>Metal</v>
      </c>
      <c r="E163" t="str">
        <f>tblComponents[Sourcing_Type]</f>
        <v>Make</v>
      </c>
      <c r="F163" t="str">
        <f>tblComponents[Criticality]</f>
        <v>Medium</v>
      </c>
      <c r="G163">
        <f>tblComponents[Monthly_Demand]</f>
        <v>919</v>
      </c>
      <c r="H163">
        <f>tblComponents[Demand_Growth_Rate]</f>
        <v>0.12940894647715739</v>
      </c>
      <c r="I163">
        <f>tblComponents[Forecast_Demand]</f>
        <v>1038</v>
      </c>
      <c r="J163">
        <f>tblComponents[Annual_Demand]</f>
        <v>22010</v>
      </c>
      <c r="K163">
        <f>tblComponents[Demand_Variability]</f>
        <v>9.8500000000000004E-2</v>
      </c>
      <c r="L163">
        <f t="shared" si="2"/>
        <v>119</v>
      </c>
    </row>
    <row r="164" spans="1:12" x14ac:dyDescent="0.35">
      <c r="A164" s="8" t="str">
        <f>tblComponents[Component_ID]</f>
        <v>C163</v>
      </c>
      <c r="B164" s="8" t="str">
        <f>tblComponents[Component_Name]</f>
        <v>Component 163</v>
      </c>
      <c r="C164" t="str">
        <f>tblComponents[Product_Family]</f>
        <v>Interior</v>
      </c>
      <c r="D164" t="str">
        <f>tblComponents[Category]</f>
        <v>Electrical</v>
      </c>
      <c r="E164" t="str">
        <f>tblComponents[Sourcing_Type]</f>
        <v>Make</v>
      </c>
      <c r="F164" t="str">
        <f>tblComponents[Criticality]</f>
        <v>High</v>
      </c>
      <c r="G164">
        <f>tblComponents[Monthly_Demand]</f>
        <v>138</v>
      </c>
      <c r="H164">
        <f>tblComponents[Demand_Growth_Rate]</f>
        <v>8.1290845916765039E-2</v>
      </c>
      <c r="I164">
        <f>tblComponents[Forecast_Demand]</f>
        <v>149</v>
      </c>
      <c r="J164">
        <f>tblComponents[Annual_Demand]</f>
        <v>23044</v>
      </c>
      <c r="K164">
        <f>tblComponents[Demand_Variability]</f>
        <v>0.24679999999999999</v>
      </c>
      <c r="L164">
        <f t="shared" si="2"/>
        <v>11</v>
      </c>
    </row>
    <row r="165" spans="1:12" x14ac:dyDescent="0.35">
      <c r="A165" s="8" t="str">
        <f>tblComponents[Component_ID]</f>
        <v>C164</v>
      </c>
      <c r="B165" s="8" t="str">
        <f>tblComponents[Component_Name]</f>
        <v>Component 164</v>
      </c>
      <c r="C165" t="str">
        <f>tblComponents[Product_Family]</f>
        <v>Powertrain</v>
      </c>
      <c r="D165" t="str">
        <f>tblComponents[Category]</f>
        <v>Metal</v>
      </c>
      <c r="E165" t="str">
        <f>tblComponents[Sourcing_Type]</f>
        <v>Make</v>
      </c>
      <c r="F165" t="str">
        <f>tblComponents[Criticality]</f>
        <v>Low</v>
      </c>
      <c r="G165">
        <f>tblComponents[Monthly_Demand]</f>
        <v>1274</v>
      </c>
      <c r="H165">
        <f>tblComponents[Demand_Growth_Rate]</f>
        <v>0.15393716087607021</v>
      </c>
      <c r="I165">
        <f>tblComponents[Forecast_Demand]</f>
        <v>1470</v>
      </c>
      <c r="J165">
        <f>tblComponents[Annual_Demand]</f>
        <v>41410</v>
      </c>
      <c r="K165">
        <f>tblComponents[Demand_Variability]</f>
        <v>0.1449</v>
      </c>
      <c r="L165">
        <f t="shared" si="2"/>
        <v>196</v>
      </c>
    </row>
    <row r="166" spans="1:12" x14ac:dyDescent="0.35">
      <c r="A166" s="8" t="str">
        <f>tblComponents[Component_ID]</f>
        <v>C165</v>
      </c>
      <c r="B166" s="8" t="str">
        <f>tblComponents[Component_Name]</f>
        <v>Component 165</v>
      </c>
      <c r="C166" t="str">
        <f>tblComponents[Product_Family]</f>
        <v>Electrical Systems</v>
      </c>
      <c r="D166" t="str">
        <f>tblComponents[Category]</f>
        <v>Metal</v>
      </c>
      <c r="E166" t="str">
        <f>tblComponents[Sourcing_Type]</f>
        <v>Make</v>
      </c>
      <c r="F166" t="str">
        <f>tblComponents[Criticality]</f>
        <v>Medium</v>
      </c>
      <c r="G166">
        <f>tblComponents[Monthly_Demand]</f>
        <v>719</v>
      </c>
      <c r="H166">
        <f>tblComponents[Demand_Growth_Rate]</f>
        <v>7.0199429872331159E-3</v>
      </c>
      <c r="I166">
        <f>tblComponents[Forecast_Demand]</f>
        <v>724</v>
      </c>
      <c r="J166">
        <f>tblComponents[Annual_Demand]</f>
        <v>91413</v>
      </c>
      <c r="K166">
        <f>tblComponents[Demand_Variability]</f>
        <v>0.21179999999999999</v>
      </c>
      <c r="L166">
        <f t="shared" si="2"/>
        <v>5</v>
      </c>
    </row>
    <row r="167" spans="1:12" x14ac:dyDescent="0.35">
      <c r="A167" s="8" t="str">
        <f>tblComponents[Component_ID]</f>
        <v>C166</v>
      </c>
      <c r="B167" s="8" t="str">
        <f>tblComponents[Component_Name]</f>
        <v>Component 166</v>
      </c>
      <c r="C167" t="str">
        <f>tblComponents[Product_Family]</f>
        <v>Electrical Systems</v>
      </c>
      <c r="D167" t="str">
        <f>tblComponents[Category]</f>
        <v>Metal</v>
      </c>
      <c r="E167" t="str">
        <f>tblComponents[Sourcing_Type]</f>
        <v>Make</v>
      </c>
      <c r="F167" t="str">
        <f>tblComponents[Criticality]</f>
        <v>Low</v>
      </c>
      <c r="G167">
        <f>tblComponents[Monthly_Demand]</f>
        <v>653</v>
      </c>
      <c r="H167">
        <f>tblComponents[Demand_Growth_Rate]</f>
        <v>1.3911249452318071E-2</v>
      </c>
      <c r="I167">
        <f>tblComponents[Forecast_Demand]</f>
        <v>662</v>
      </c>
      <c r="J167">
        <f>tblComponents[Annual_Demand]</f>
        <v>6181</v>
      </c>
      <c r="K167">
        <f>tblComponents[Demand_Variability]</f>
        <v>0.13819999999999999</v>
      </c>
      <c r="L167">
        <f t="shared" si="2"/>
        <v>9</v>
      </c>
    </row>
    <row r="168" spans="1:12" x14ac:dyDescent="0.35">
      <c r="A168" s="8" t="str">
        <f>tblComponents[Component_ID]</f>
        <v>C167</v>
      </c>
      <c r="B168" s="8" t="str">
        <f>tblComponents[Component_Name]</f>
        <v>Component 167</v>
      </c>
      <c r="C168" t="str">
        <f>tblComponents[Product_Family]</f>
        <v>Body &amp; Exterior</v>
      </c>
      <c r="D168" t="str">
        <f>tblComponents[Category]</f>
        <v>Electrical</v>
      </c>
      <c r="E168" t="str">
        <f>tblComponents[Sourcing_Type]</f>
        <v>Make</v>
      </c>
      <c r="F168" t="str">
        <f>tblComponents[Criticality]</f>
        <v>Low</v>
      </c>
      <c r="G168">
        <f>tblComponents[Monthly_Demand]</f>
        <v>341</v>
      </c>
      <c r="H168">
        <f>tblComponents[Demand_Growth_Rate]</f>
        <v>-1.175404979285934E-2</v>
      </c>
      <c r="I168">
        <f>tblComponents[Forecast_Demand]</f>
        <v>337</v>
      </c>
      <c r="J168">
        <f>tblComponents[Annual_Demand]</f>
        <v>20581</v>
      </c>
      <c r="K168">
        <f>tblComponents[Demand_Variability]</f>
        <v>0.1867</v>
      </c>
      <c r="L168">
        <f t="shared" si="2"/>
        <v>-4</v>
      </c>
    </row>
    <row r="169" spans="1:12" x14ac:dyDescent="0.35">
      <c r="A169" s="8" t="str">
        <f>tblComponents[Component_ID]</f>
        <v>C168</v>
      </c>
      <c r="B169" s="8" t="str">
        <f>tblComponents[Component_Name]</f>
        <v>Component 168</v>
      </c>
      <c r="C169" t="str">
        <f>tblComponents[Product_Family]</f>
        <v>Interior</v>
      </c>
      <c r="D169" t="str">
        <f>tblComponents[Category]</f>
        <v>Metal</v>
      </c>
      <c r="E169" t="str">
        <f>tblComponents[Sourcing_Type]</f>
        <v>Make</v>
      </c>
      <c r="F169" t="str">
        <f>tblComponents[Criticality]</f>
        <v>High</v>
      </c>
      <c r="G169">
        <f>tblComponents[Monthly_Demand]</f>
        <v>918</v>
      </c>
      <c r="H169">
        <f>tblComponents[Demand_Growth_Rate]</f>
        <v>0.1017735090221952</v>
      </c>
      <c r="I169">
        <f>tblComponents[Forecast_Demand]</f>
        <v>1011</v>
      </c>
      <c r="J169">
        <f>tblComponents[Annual_Demand]</f>
        <v>49782</v>
      </c>
      <c r="K169">
        <f>tblComponents[Demand_Variability]</f>
        <v>0.11260000000000001</v>
      </c>
      <c r="L169">
        <f t="shared" si="2"/>
        <v>93</v>
      </c>
    </row>
    <row r="170" spans="1:12" x14ac:dyDescent="0.35">
      <c r="A170" s="8" t="str">
        <f>tblComponents[Component_ID]</f>
        <v>C169</v>
      </c>
      <c r="B170" s="8" t="str">
        <f>tblComponents[Component_Name]</f>
        <v>Component 169</v>
      </c>
      <c r="C170" t="str">
        <f>tblComponents[Product_Family]</f>
        <v>Chassis</v>
      </c>
      <c r="D170" t="str">
        <f>tblComponents[Category]</f>
        <v>Metal</v>
      </c>
      <c r="E170" t="str">
        <f>tblComponents[Sourcing_Type]</f>
        <v>Make</v>
      </c>
      <c r="F170" t="str">
        <f>tblComponents[Criticality]</f>
        <v>Medium</v>
      </c>
      <c r="G170">
        <f>tblComponents[Monthly_Demand]</f>
        <v>390</v>
      </c>
      <c r="H170">
        <f>tblComponents[Demand_Growth_Rate]</f>
        <v>9.9261729223922915E-2</v>
      </c>
      <c r="I170">
        <f>tblComponents[Forecast_Demand]</f>
        <v>429</v>
      </c>
      <c r="J170">
        <f>tblComponents[Annual_Demand]</f>
        <v>35173</v>
      </c>
      <c r="K170">
        <f>tblComponents[Demand_Variability]</f>
        <v>0.1048</v>
      </c>
      <c r="L170">
        <f t="shared" si="2"/>
        <v>39</v>
      </c>
    </row>
    <row r="171" spans="1:12" x14ac:dyDescent="0.35">
      <c r="A171" s="8" t="str">
        <f>tblComponents[Component_ID]</f>
        <v>C170</v>
      </c>
      <c r="B171" s="8" t="str">
        <f>tblComponents[Component_Name]</f>
        <v>Component 170</v>
      </c>
      <c r="C171" t="str">
        <f>tblComponents[Product_Family]</f>
        <v>Electrical Systems</v>
      </c>
      <c r="D171" t="str">
        <f>tblComponents[Category]</f>
        <v>Metal</v>
      </c>
      <c r="E171" t="str">
        <f>tblComponents[Sourcing_Type]</f>
        <v>Make</v>
      </c>
      <c r="F171" t="str">
        <f>tblComponents[Criticality]</f>
        <v>Critical</v>
      </c>
      <c r="G171">
        <f>tblComponents[Monthly_Demand]</f>
        <v>801</v>
      </c>
      <c r="H171">
        <f>tblComponents[Demand_Growth_Rate]</f>
        <v>-2.3972587653958419E-2</v>
      </c>
      <c r="I171">
        <f>tblComponents[Forecast_Demand]</f>
        <v>782</v>
      </c>
      <c r="J171">
        <f>tblComponents[Annual_Demand]</f>
        <v>27997</v>
      </c>
      <c r="K171">
        <f>tblComponents[Demand_Variability]</f>
        <v>0.23949999999999999</v>
      </c>
      <c r="L171">
        <f t="shared" si="2"/>
        <v>-19</v>
      </c>
    </row>
    <row r="172" spans="1:12" x14ac:dyDescent="0.35">
      <c r="A172" s="8" t="str">
        <f>tblComponents[Component_ID]</f>
        <v>C171</v>
      </c>
      <c r="B172" s="8" t="str">
        <f>tblComponents[Component_Name]</f>
        <v>Component 171</v>
      </c>
      <c r="C172" t="str">
        <f>tblComponents[Product_Family]</f>
        <v>Electrical Systems</v>
      </c>
      <c r="D172" t="str">
        <f>tblComponents[Category]</f>
        <v>Metal</v>
      </c>
      <c r="E172" t="str">
        <f>tblComponents[Sourcing_Type]</f>
        <v>Make</v>
      </c>
      <c r="F172" t="str">
        <f>tblComponents[Criticality]</f>
        <v>Critical</v>
      </c>
      <c r="G172">
        <f>tblComponents[Monthly_Demand]</f>
        <v>486</v>
      </c>
      <c r="H172">
        <f>tblComponents[Demand_Growth_Rate]</f>
        <v>5.0296978509745668E-2</v>
      </c>
      <c r="I172">
        <f>tblComponents[Forecast_Demand]</f>
        <v>510</v>
      </c>
      <c r="J172">
        <f>tblComponents[Annual_Demand]</f>
        <v>86889</v>
      </c>
      <c r="K172">
        <f>tblComponents[Demand_Variability]</f>
        <v>0.23599999999999999</v>
      </c>
      <c r="L172">
        <f t="shared" si="2"/>
        <v>24</v>
      </c>
    </row>
    <row r="173" spans="1:12" x14ac:dyDescent="0.35">
      <c r="A173" s="8" t="str">
        <f>tblComponents[Component_ID]</f>
        <v>C172</v>
      </c>
      <c r="B173" s="8" t="str">
        <f>tblComponents[Component_Name]</f>
        <v>Component 172</v>
      </c>
      <c r="C173" t="str">
        <f>tblComponents[Product_Family]</f>
        <v>Chassis</v>
      </c>
      <c r="D173" t="str">
        <f>tblComponents[Category]</f>
        <v>Electrical</v>
      </c>
      <c r="E173" t="str">
        <f>tblComponents[Sourcing_Type]</f>
        <v>Make</v>
      </c>
      <c r="F173" t="str">
        <f>tblComponents[Criticality]</f>
        <v>Low</v>
      </c>
      <c r="G173">
        <f>tblComponents[Monthly_Demand]</f>
        <v>927</v>
      </c>
      <c r="H173">
        <f>tblComponents[Demand_Growth_Rate]</f>
        <v>8.4280204776082529E-3</v>
      </c>
      <c r="I173">
        <f>tblComponents[Forecast_Demand]</f>
        <v>935</v>
      </c>
      <c r="J173">
        <f>tblComponents[Annual_Demand]</f>
        <v>22148</v>
      </c>
      <c r="K173">
        <f>tblComponents[Demand_Variability]</f>
        <v>0.23089999999999999</v>
      </c>
      <c r="L173">
        <f t="shared" si="2"/>
        <v>8</v>
      </c>
    </row>
    <row r="174" spans="1:12" x14ac:dyDescent="0.35">
      <c r="A174" s="8" t="str">
        <f>tblComponents[Component_ID]</f>
        <v>C173</v>
      </c>
      <c r="B174" s="8" t="str">
        <f>tblComponents[Component_Name]</f>
        <v>Component 173</v>
      </c>
      <c r="C174" t="str">
        <f>tblComponents[Product_Family]</f>
        <v>Interior</v>
      </c>
      <c r="D174" t="str">
        <f>tblComponents[Category]</f>
        <v>Electrical</v>
      </c>
      <c r="E174" t="str">
        <f>tblComponents[Sourcing_Type]</f>
        <v>Make</v>
      </c>
      <c r="F174" t="str">
        <f>tblComponents[Criticality]</f>
        <v>High</v>
      </c>
      <c r="G174">
        <f>tblComponents[Monthly_Demand]</f>
        <v>1337</v>
      </c>
      <c r="H174">
        <f>tblComponents[Demand_Growth_Rate]</f>
        <v>-3.6915281053372932E-2</v>
      </c>
      <c r="I174">
        <f>tblComponents[Forecast_Demand]</f>
        <v>1288</v>
      </c>
      <c r="J174">
        <f>tblComponents[Annual_Demand]</f>
        <v>33748</v>
      </c>
      <c r="K174">
        <f>tblComponents[Demand_Variability]</f>
        <v>0.18629999999999999</v>
      </c>
      <c r="L174">
        <f t="shared" si="2"/>
        <v>-49</v>
      </c>
    </row>
    <row r="175" spans="1:12" x14ac:dyDescent="0.35">
      <c r="A175" s="8" t="str">
        <f>tblComponents[Component_ID]</f>
        <v>C174</v>
      </c>
      <c r="B175" s="8" t="str">
        <f>tblComponents[Component_Name]</f>
        <v>Component 174</v>
      </c>
      <c r="C175" t="str">
        <f>tblComponents[Product_Family]</f>
        <v>Chassis</v>
      </c>
      <c r="D175" t="str">
        <f>tblComponents[Category]</f>
        <v>Electrical</v>
      </c>
      <c r="E175" t="str">
        <f>tblComponents[Sourcing_Type]</f>
        <v>Make</v>
      </c>
      <c r="F175" t="str">
        <f>tblComponents[Criticality]</f>
        <v>High</v>
      </c>
      <c r="G175">
        <f>tblComponents[Monthly_Demand]</f>
        <v>941</v>
      </c>
      <c r="H175">
        <f>tblComponents[Demand_Growth_Rate]</f>
        <v>0.18940632112634501</v>
      </c>
      <c r="I175">
        <f>tblComponents[Forecast_Demand]</f>
        <v>1119</v>
      </c>
      <c r="J175">
        <f>tblComponents[Annual_Demand]</f>
        <v>29022</v>
      </c>
      <c r="K175">
        <f>tblComponents[Demand_Variability]</f>
        <v>0.21740000000000001</v>
      </c>
      <c r="L175">
        <f t="shared" si="2"/>
        <v>178</v>
      </c>
    </row>
    <row r="176" spans="1:12" x14ac:dyDescent="0.35">
      <c r="A176" s="8" t="str">
        <f>tblComponents[Component_ID]</f>
        <v>C175</v>
      </c>
      <c r="B176" s="8" t="str">
        <f>tblComponents[Component_Name]</f>
        <v>Component 175</v>
      </c>
      <c r="C176" t="str">
        <f>tblComponents[Product_Family]</f>
        <v>Body &amp; Exterior</v>
      </c>
      <c r="D176" t="str">
        <f>tblComponents[Category]</f>
        <v>Metal</v>
      </c>
      <c r="E176" t="str">
        <f>tblComponents[Sourcing_Type]</f>
        <v>Make</v>
      </c>
      <c r="F176" t="str">
        <f>tblComponents[Criticality]</f>
        <v>Critical</v>
      </c>
      <c r="G176">
        <f>tblComponents[Monthly_Demand]</f>
        <v>1411</v>
      </c>
      <c r="H176">
        <f>tblComponents[Demand_Growth_Rate]</f>
        <v>-4.9690830060147642E-2</v>
      </c>
      <c r="I176">
        <f>tblComponents[Forecast_Demand]</f>
        <v>1341</v>
      </c>
      <c r="J176">
        <f>tblComponents[Annual_Demand]</f>
        <v>35013</v>
      </c>
      <c r="K176">
        <f>tblComponents[Demand_Variability]</f>
        <v>9.1700000000000004E-2</v>
      </c>
      <c r="L176">
        <f t="shared" si="2"/>
        <v>-70</v>
      </c>
    </row>
    <row r="177" spans="1:12" x14ac:dyDescent="0.35">
      <c r="A177" s="8" t="str">
        <f>tblComponents[Component_ID]</f>
        <v>C176</v>
      </c>
      <c r="B177" s="8" t="str">
        <f>tblComponents[Component_Name]</f>
        <v>Component 176</v>
      </c>
      <c r="C177" t="str">
        <f>tblComponents[Product_Family]</f>
        <v>Interior</v>
      </c>
      <c r="D177" t="str">
        <f>tblComponents[Category]</f>
        <v>Metal</v>
      </c>
      <c r="E177" t="str">
        <f>tblComponents[Sourcing_Type]</f>
        <v>Make</v>
      </c>
      <c r="F177" t="str">
        <f>tblComponents[Criticality]</f>
        <v>High</v>
      </c>
      <c r="G177">
        <f>tblComponents[Monthly_Demand]</f>
        <v>217</v>
      </c>
      <c r="H177">
        <f>tblComponents[Demand_Growth_Rate]</f>
        <v>0.19812087553959379</v>
      </c>
      <c r="I177">
        <f>tblComponents[Forecast_Demand]</f>
        <v>260</v>
      </c>
      <c r="J177">
        <f>tblComponents[Annual_Demand]</f>
        <v>53687</v>
      </c>
      <c r="K177">
        <f>tblComponents[Demand_Variability]</f>
        <v>0.13689999999999999</v>
      </c>
      <c r="L177">
        <f t="shared" si="2"/>
        <v>43</v>
      </c>
    </row>
    <row r="178" spans="1:12" x14ac:dyDescent="0.35">
      <c r="A178" s="8" t="str">
        <f>tblComponents[Component_ID]</f>
        <v>C177</v>
      </c>
      <c r="B178" s="8" t="str">
        <f>tblComponents[Component_Name]</f>
        <v>Component 177</v>
      </c>
      <c r="C178" t="str">
        <f>tblComponents[Product_Family]</f>
        <v>Electrical Systems</v>
      </c>
      <c r="D178" t="str">
        <f>tblComponents[Category]</f>
        <v>Electrical</v>
      </c>
      <c r="E178" t="str">
        <f>tblComponents[Sourcing_Type]</f>
        <v>Make</v>
      </c>
      <c r="F178" t="str">
        <f>tblComponents[Criticality]</f>
        <v>Medium</v>
      </c>
      <c r="G178">
        <f>tblComponents[Monthly_Demand]</f>
        <v>2766</v>
      </c>
      <c r="H178">
        <f>tblComponents[Demand_Growth_Rate]</f>
        <v>0.1661715480083851</v>
      </c>
      <c r="I178">
        <f>tblComponents[Forecast_Demand]</f>
        <v>3226</v>
      </c>
      <c r="J178">
        <f>tblComponents[Annual_Demand]</f>
        <v>30886</v>
      </c>
      <c r="K178">
        <f>tblComponents[Demand_Variability]</f>
        <v>0.1333</v>
      </c>
      <c r="L178">
        <f t="shared" si="2"/>
        <v>460</v>
      </c>
    </row>
    <row r="179" spans="1:12" x14ac:dyDescent="0.35">
      <c r="A179" s="8" t="str">
        <f>tblComponents[Component_ID]</f>
        <v>C178</v>
      </c>
      <c r="B179" s="8" t="str">
        <f>tblComponents[Component_Name]</f>
        <v>Component 178</v>
      </c>
      <c r="C179" t="str">
        <f>tblComponents[Product_Family]</f>
        <v>Electrical Systems</v>
      </c>
      <c r="D179" t="str">
        <f>tblComponents[Category]</f>
        <v>Metal</v>
      </c>
      <c r="E179" t="str">
        <f>tblComponents[Sourcing_Type]</f>
        <v>Make</v>
      </c>
      <c r="F179" t="str">
        <f>tblComponents[Criticality]</f>
        <v>High</v>
      </c>
      <c r="G179">
        <f>tblComponents[Monthly_Demand]</f>
        <v>1248</v>
      </c>
      <c r="H179">
        <f>tblComponents[Demand_Growth_Rate]</f>
        <v>4.0034101867879771E-2</v>
      </c>
      <c r="I179">
        <f>tblComponents[Forecast_Demand]</f>
        <v>1298</v>
      </c>
      <c r="J179">
        <f>tblComponents[Annual_Demand]</f>
        <v>34992</v>
      </c>
      <c r="K179">
        <f>tblComponents[Demand_Variability]</f>
        <v>0.18809999999999999</v>
      </c>
      <c r="L179">
        <f t="shared" si="2"/>
        <v>50</v>
      </c>
    </row>
    <row r="180" spans="1:12" x14ac:dyDescent="0.35">
      <c r="A180" s="8" t="str">
        <f>tblComponents[Component_ID]</f>
        <v>C179</v>
      </c>
      <c r="B180" s="8" t="str">
        <f>tblComponents[Component_Name]</f>
        <v>Component 179</v>
      </c>
      <c r="C180" t="str">
        <f>tblComponents[Product_Family]</f>
        <v>Interior</v>
      </c>
      <c r="D180" t="str">
        <f>tblComponents[Category]</f>
        <v>Metal</v>
      </c>
      <c r="E180" t="str">
        <f>tblComponents[Sourcing_Type]</f>
        <v>Make</v>
      </c>
      <c r="F180" t="str">
        <f>tblComponents[Criticality]</f>
        <v>Medium</v>
      </c>
      <c r="G180">
        <f>tblComponents[Monthly_Demand]</f>
        <v>695</v>
      </c>
      <c r="H180">
        <f>tblComponents[Demand_Growth_Rate]</f>
        <v>0.168334165430962</v>
      </c>
      <c r="I180">
        <f>tblComponents[Forecast_Demand]</f>
        <v>812</v>
      </c>
      <c r="J180">
        <f>tblComponents[Annual_Demand]</f>
        <v>31961</v>
      </c>
      <c r="K180">
        <f>tblComponents[Demand_Variability]</f>
        <v>0.14050000000000001</v>
      </c>
      <c r="L180">
        <f t="shared" si="2"/>
        <v>117</v>
      </c>
    </row>
    <row r="181" spans="1:12" x14ac:dyDescent="0.35">
      <c r="A181" s="8" t="str">
        <f>tblComponents[Component_ID]</f>
        <v>C180</v>
      </c>
      <c r="B181" s="8" t="str">
        <f>tblComponents[Component_Name]</f>
        <v>Component 180</v>
      </c>
      <c r="C181" t="str">
        <f>tblComponents[Product_Family]</f>
        <v>Body &amp; Exterior</v>
      </c>
      <c r="D181" t="str">
        <f>tblComponents[Category]</f>
        <v>Metal</v>
      </c>
      <c r="E181" t="str">
        <f>tblComponents[Sourcing_Type]</f>
        <v>Make</v>
      </c>
      <c r="F181" t="str">
        <f>tblComponents[Criticality]</f>
        <v>Medium</v>
      </c>
      <c r="G181">
        <f>tblComponents[Monthly_Demand]</f>
        <v>1060</v>
      </c>
      <c r="H181">
        <f>tblComponents[Demand_Growth_Rate]</f>
        <v>-2.090840052863098E-2</v>
      </c>
      <c r="I181">
        <f>tblComponents[Forecast_Demand]</f>
        <v>1038</v>
      </c>
      <c r="J181">
        <f>tblComponents[Annual_Demand]</f>
        <v>21638</v>
      </c>
      <c r="K181">
        <f>tblComponents[Demand_Variability]</f>
        <v>0.1052</v>
      </c>
      <c r="L181">
        <f t="shared" si="2"/>
        <v>-22</v>
      </c>
    </row>
    <row r="182" spans="1:12" x14ac:dyDescent="0.35">
      <c r="A182" s="8" t="str">
        <f>tblComponents[Component_ID]</f>
        <v>C181</v>
      </c>
      <c r="B182" s="8" t="str">
        <f>tblComponents[Component_Name]</f>
        <v>Component 181</v>
      </c>
      <c r="C182" t="str">
        <f>tblComponents[Product_Family]</f>
        <v>Chassis</v>
      </c>
      <c r="D182" t="str">
        <f>tblComponents[Category]</f>
        <v>Electrical</v>
      </c>
      <c r="E182" t="str">
        <f>tblComponents[Sourcing_Type]</f>
        <v>Make</v>
      </c>
      <c r="F182" t="str">
        <f>tblComponents[Criticality]</f>
        <v>Low</v>
      </c>
      <c r="G182">
        <f>tblComponents[Monthly_Demand]</f>
        <v>113</v>
      </c>
      <c r="H182">
        <f>tblComponents[Demand_Growth_Rate]</f>
        <v>-2.9770179237186958E-2</v>
      </c>
      <c r="I182">
        <f>tblComponents[Forecast_Demand]</f>
        <v>110</v>
      </c>
      <c r="J182">
        <f>tblComponents[Annual_Demand]</f>
        <v>22065</v>
      </c>
      <c r="K182">
        <f>tblComponents[Demand_Variability]</f>
        <v>0.18140000000000001</v>
      </c>
      <c r="L182">
        <f t="shared" si="2"/>
        <v>-3</v>
      </c>
    </row>
    <row r="183" spans="1:12" x14ac:dyDescent="0.35">
      <c r="A183" s="8" t="str">
        <f>tblComponents[Component_ID]</f>
        <v>C182</v>
      </c>
      <c r="B183" s="8" t="str">
        <f>tblComponents[Component_Name]</f>
        <v>Component 182</v>
      </c>
      <c r="C183" t="str">
        <f>tblComponents[Product_Family]</f>
        <v>Powertrain</v>
      </c>
      <c r="D183" t="str">
        <f>tblComponents[Category]</f>
        <v>Electrical</v>
      </c>
      <c r="E183" t="str">
        <f>tblComponents[Sourcing_Type]</f>
        <v>Make</v>
      </c>
      <c r="F183" t="str">
        <f>tblComponents[Criticality]</f>
        <v>Low</v>
      </c>
      <c r="G183">
        <f>tblComponents[Monthly_Demand]</f>
        <v>1036</v>
      </c>
      <c r="H183">
        <f>tblComponents[Demand_Growth_Rate]</f>
        <v>9.3790837624156229E-2</v>
      </c>
      <c r="I183">
        <f>tblComponents[Forecast_Demand]</f>
        <v>1133</v>
      </c>
      <c r="J183">
        <f>tblComponents[Annual_Demand]</f>
        <v>85755</v>
      </c>
      <c r="K183">
        <f>tblComponents[Demand_Variability]</f>
        <v>0.21840000000000001</v>
      </c>
      <c r="L183">
        <f t="shared" si="2"/>
        <v>97</v>
      </c>
    </row>
    <row r="184" spans="1:12" x14ac:dyDescent="0.35">
      <c r="A184" s="8" t="str">
        <f>tblComponents[Component_ID]</f>
        <v>C183</v>
      </c>
      <c r="B184" s="8" t="str">
        <f>tblComponents[Component_Name]</f>
        <v>Component 183</v>
      </c>
      <c r="C184" t="str">
        <f>tblComponents[Product_Family]</f>
        <v>Chassis</v>
      </c>
      <c r="D184" t="str">
        <f>tblComponents[Category]</f>
        <v>Electrical</v>
      </c>
      <c r="E184" t="str">
        <f>tblComponents[Sourcing_Type]</f>
        <v>Make</v>
      </c>
      <c r="F184" t="str">
        <f>tblComponents[Criticality]</f>
        <v>Low</v>
      </c>
      <c r="G184">
        <f>tblComponents[Monthly_Demand]</f>
        <v>486</v>
      </c>
      <c r="H184">
        <f>tblComponents[Demand_Growth_Rate]</f>
        <v>0.18819938190032359</v>
      </c>
      <c r="I184">
        <f>tblComponents[Forecast_Demand]</f>
        <v>577</v>
      </c>
      <c r="J184">
        <f>tblComponents[Annual_Demand]</f>
        <v>43255</v>
      </c>
      <c r="K184">
        <f>tblComponents[Demand_Variability]</f>
        <v>0.14499999999999999</v>
      </c>
      <c r="L184">
        <f t="shared" si="2"/>
        <v>91</v>
      </c>
    </row>
    <row r="185" spans="1:12" x14ac:dyDescent="0.35">
      <c r="A185" s="8" t="str">
        <f>tblComponents[Component_ID]</f>
        <v>C184</v>
      </c>
      <c r="B185" s="8" t="str">
        <f>tblComponents[Component_Name]</f>
        <v>Component 184</v>
      </c>
      <c r="C185" t="str">
        <f>tblComponents[Product_Family]</f>
        <v>Body &amp; Exterior</v>
      </c>
      <c r="D185" t="str">
        <f>tblComponents[Category]</f>
        <v>Metal</v>
      </c>
      <c r="E185" t="str">
        <f>tblComponents[Sourcing_Type]</f>
        <v>Make</v>
      </c>
      <c r="F185" t="str">
        <f>tblComponents[Criticality]</f>
        <v>Medium</v>
      </c>
      <c r="G185">
        <f>tblComponents[Monthly_Demand]</f>
        <v>672</v>
      </c>
      <c r="H185">
        <f>tblComponents[Demand_Growth_Rate]</f>
        <v>8.7382383973754238E-2</v>
      </c>
      <c r="I185">
        <f>tblComponents[Forecast_Demand]</f>
        <v>731</v>
      </c>
      <c r="J185">
        <f>tblComponents[Annual_Demand]</f>
        <v>58116</v>
      </c>
      <c r="K185">
        <f>tblComponents[Demand_Variability]</f>
        <v>0.10249999999999999</v>
      </c>
      <c r="L185">
        <f t="shared" si="2"/>
        <v>59</v>
      </c>
    </row>
    <row r="186" spans="1:12" x14ac:dyDescent="0.35">
      <c r="A186" s="8" t="str">
        <f>tblComponents[Component_ID]</f>
        <v>C185</v>
      </c>
      <c r="B186" s="8" t="str">
        <f>tblComponents[Component_Name]</f>
        <v>Component 185</v>
      </c>
      <c r="C186" t="str">
        <f>tblComponents[Product_Family]</f>
        <v>Chassis</v>
      </c>
      <c r="D186" t="str">
        <f>tblComponents[Category]</f>
        <v>Metal</v>
      </c>
      <c r="E186" t="str">
        <f>tblComponents[Sourcing_Type]</f>
        <v>Make</v>
      </c>
      <c r="F186" t="str">
        <f>tblComponents[Criticality]</f>
        <v>Medium</v>
      </c>
      <c r="G186">
        <f>tblComponents[Monthly_Demand]</f>
        <v>1389</v>
      </c>
      <c r="H186">
        <f>tblComponents[Demand_Growth_Rate]</f>
        <v>-4.9916873469877651E-2</v>
      </c>
      <c r="I186">
        <f>tblComponents[Forecast_Demand]</f>
        <v>1320</v>
      </c>
      <c r="J186">
        <f>tblComponents[Annual_Demand]</f>
        <v>51634</v>
      </c>
      <c r="K186">
        <f>tblComponents[Demand_Variability]</f>
        <v>0.1134</v>
      </c>
      <c r="L186">
        <f t="shared" si="2"/>
        <v>-69</v>
      </c>
    </row>
    <row r="187" spans="1:12" x14ac:dyDescent="0.35">
      <c r="A187" s="8" t="str">
        <f>tblComponents[Component_ID]</f>
        <v>C186</v>
      </c>
      <c r="B187" s="8" t="str">
        <f>tblComponents[Component_Name]</f>
        <v>Component 186</v>
      </c>
      <c r="C187" t="str">
        <f>tblComponents[Product_Family]</f>
        <v>Electrical Systems</v>
      </c>
      <c r="D187" t="str">
        <f>tblComponents[Category]</f>
        <v>Metal</v>
      </c>
      <c r="E187" t="str">
        <f>tblComponents[Sourcing_Type]</f>
        <v>Make</v>
      </c>
      <c r="F187" t="str">
        <f>tblComponents[Criticality]</f>
        <v>Medium</v>
      </c>
      <c r="G187">
        <f>tblComponents[Monthly_Demand]</f>
        <v>1344</v>
      </c>
      <c r="H187">
        <f>tblComponents[Demand_Growth_Rate]</f>
        <v>-3.5459051123631062E-2</v>
      </c>
      <c r="I187">
        <f>tblComponents[Forecast_Demand]</f>
        <v>1296</v>
      </c>
      <c r="J187">
        <f>tblComponents[Annual_Demand]</f>
        <v>31755</v>
      </c>
      <c r="K187">
        <f>tblComponents[Demand_Variability]</f>
        <v>0.12039999999999999</v>
      </c>
      <c r="L187">
        <f t="shared" si="2"/>
        <v>-48</v>
      </c>
    </row>
    <row r="188" spans="1:12" x14ac:dyDescent="0.35">
      <c r="A188" s="8" t="str">
        <f>tblComponents[Component_ID]</f>
        <v>C187</v>
      </c>
      <c r="B188" s="8" t="str">
        <f>tblComponents[Component_Name]</f>
        <v>Component 187</v>
      </c>
      <c r="C188" t="str">
        <f>tblComponents[Product_Family]</f>
        <v>Powertrain</v>
      </c>
      <c r="D188" t="str">
        <f>tblComponents[Category]</f>
        <v>Electrical</v>
      </c>
      <c r="E188" t="str">
        <f>tblComponents[Sourcing_Type]</f>
        <v>Make</v>
      </c>
      <c r="F188" t="str">
        <f>tblComponents[Criticality]</f>
        <v>High</v>
      </c>
      <c r="G188">
        <f>tblComponents[Monthly_Demand]</f>
        <v>2352</v>
      </c>
      <c r="H188">
        <f>tblComponents[Demand_Growth_Rate]</f>
        <v>0.14567401018603729</v>
      </c>
      <c r="I188">
        <f>tblComponents[Forecast_Demand]</f>
        <v>2695</v>
      </c>
      <c r="J188">
        <f>tblComponents[Annual_Demand]</f>
        <v>14562</v>
      </c>
      <c r="K188">
        <f>tblComponents[Demand_Variability]</f>
        <v>0.13100000000000001</v>
      </c>
      <c r="L188">
        <f t="shared" si="2"/>
        <v>343</v>
      </c>
    </row>
    <row r="189" spans="1:12" x14ac:dyDescent="0.35">
      <c r="A189" s="8" t="str">
        <f>tblComponents[Component_ID]</f>
        <v>C188</v>
      </c>
      <c r="B189" s="8" t="str">
        <f>tblComponents[Component_Name]</f>
        <v>Component 188</v>
      </c>
      <c r="C189" t="str">
        <f>tblComponents[Product_Family]</f>
        <v>Powertrain</v>
      </c>
      <c r="D189" t="str">
        <f>tblComponents[Category]</f>
        <v>Electrical</v>
      </c>
      <c r="E189" t="str">
        <f>tblComponents[Sourcing_Type]</f>
        <v>Make</v>
      </c>
      <c r="F189" t="str">
        <f>tblComponents[Criticality]</f>
        <v>Medium</v>
      </c>
      <c r="G189">
        <f>tblComponents[Monthly_Demand]</f>
        <v>600</v>
      </c>
      <c r="H189">
        <f>tblComponents[Demand_Growth_Rate]</f>
        <v>0.1038048595577527</v>
      </c>
      <c r="I189">
        <f>tblComponents[Forecast_Demand]</f>
        <v>662</v>
      </c>
      <c r="J189">
        <f>tblComponents[Annual_Demand]</f>
        <v>37394</v>
      </c>
      <c r="K189">
        <f>tblComponents[Demand_Variability]</f>
        <v>0.1893</v>
      </c>
      <c r="L189">
        <f t="shared" si="2"/>
        <v>62</v>
      </c>
    </row>
    <row r="190" spans="1:12" x14ac:dyDescent="0.35">
      <c r="A190" s="8" t="str">
        <f>tblComponents[Component_ID]</f>
        <v>C189</v>
      </c>
      <c r="B190" s="8" t="str">
        <f>tblComponents[Component_Name]</f>
        <v>Component 189</v>
      </c>
      <c r="C190" t="str">
        <f>tblComponents[Product_Family]</f>
        <v>Electrical Systems</v>
      </c>
      <c r="D190" t="str">
        <f>tblComponents[Category]</f>
        <v>Metal</v>
      </c>
      <c r="E190" t="str">
        <f>tblComponents[Sourcing_Type]</f>
        <v>Make</v>
      </c>
      <c r="F190" t="str">
        <f>tblComponents[Criticality]</f>
        <v>High</v>
      </c>
      <c r="G190">
        <f>tblComponents[Monthly_Demand]</f>
        <v>161</v>
      </c>
      <c r="H190">
        <f>tblComponents[Demand_Growth_Rate]</f>
        <v>0.1135189488429995</v>
      </c>
      <c r="I190">
        <f>tblComponents[Forecast_Demand]</f>
        <v>179</v>
      </c>
      <c r="J190">
        <f>tblComponents[Annual_Demand]</f>
        <v>17253</v>
      </c>
      <c r="K190">
        <f>tblComponents[Demand_Variability]</f>
        <v>0.1822</v>
      </c>
      <c r="L190">
        <f t="shared" si="2"/>
        <v>18</v>
      </c>
    </row>
    <row r="191" spans="1:12" x14ac:dyDescent="0.35">
      <c r="A191" s="8" t="str">
        <f>tblComponents[Component_ID]</f>
        <v>C190</v>
      </c>
      <c r="B191" s="8" t="str">
        <f>tblComponents[Component_Name]</f>
        <v>Component 190</v>
      </c>
      <c r="C191" t="str">
        <f>tblComponents[Product_Family]</f>
        <v>Electrical Systems</v>
      </c>
      <c r="D191" t="str">
        <f>tblComponents[Category]</f>
        <v>Metal</v>
      </c>
      <c r="E191" t="str">
        <f>tblComponents[Sourcing_Type]</f>
        <v>Make</v>
      </c>
      <c r="F191" t="str">
        <f>tblComponents[Criticality]</f>
        <v>Medium</v>
      </c>
      <c r="G191">
        <f>tblComponents[Monthly_Demand]</f>
        <v>282</v>
      </c>
      <c r="H191">
        <f>tblComponents[Demand_Growth_Rate]</f>
        <v>5.4038499544940367E-2</v>
      </c>
      <c r="I191">
        <f>tblComponents[Forecast_Demand]</f>
        <v>297</v>
      </c>
      <c r="J191">
        <f>tblComponents[Annual_Demand]</f>
        <v>73919</v>
      </c>
      <c r="K191">
        <f>tblComponents[Demand_Variability]</f>
        <v>0.1983</v>
      </c>
      <c r="L191">
        <f t="shared" si="2"/>
        <v>15</v>
      </c>
    </row>
    <row r="192" spans="1:12" x14ac:dyDescent="0.35">
      <c r="A192" s="8" t="str">
        <f>tblComponents[Component_ID]</f>
        <v>C191</v>
      </c>
      <c r="B192" s="8" t="str">
        <f>tblComponents[Component_Name]</f>
        <v>Component 191</v>
      </c>
      <c r="C192" t="str">
        <f>tblComponents[Product_Family]</f>
        <v>Powertrain</v>
      </c>
      <c r="D192" t="str">
        <f>tblComponents[Category]</f>
        <v>Metal</v>
      </c>
      <c r="E192" t="str">
        <f>tblComponents[Sourcing_Type]</f>
        <v>Make</v>
      </c>
      <c r="F192" t="str">
        <f>tblComponents[Criticality]</f>
        <v>High</v>
      </c>
      <c r="G192">
        <f>tblComponents[Monthly_Demand]</f>
        <v>564</v>
      </c>
      <c r="H192">
        <f>tblComponents[Demand_Growth_Rate]</f>
        <v>3.0875098727868439E-2</v>
      </c>
      <c r="I192">
        <f>tblComponents[Forecast_Demand]</f>
        <v>581</v>
      </c>
      <c r="J192">
        <f>tblComponents[Annual_Demand]</f>
        <v>15864</v>
      </c>
      <c r="K192">
        <f>tblComponents[Demand_Variability]</f>
        <v>0.1416</v>
      </c>
      <c r="L192">
        <f t="shared" si="2"/>
        <v>17</v>
      </c>
    </row>
    <row r="193" spans="1:12" x14ac:dyDescent="0.35">
      <c r="A193" s="8" t="str">
        <f>tblComponents[Component_ID]</f>
        <v>C192</v>
      </c>
      <c r="B193" s="8" t="str">
        <f>tblComponents[Component_Name]</f>
        <v>Component 192</v>
      </c>
      <c r="C193" t="str">
        <f>tblComponents[Product_Family]</f>
        <v>Electrical Systems</v>
      </c>
      <c r="D193" t="str">
        <f>tblComponents[Category]</f>
        <v>Metal</v>
      </c>
      <c r="E193" t="str">
        <f>tblComponents[Sourcing_Type]</f>
        <v>Make</v>
      </c>
      <c r="F193" t="str">
        <f>tblComponents[Criticality]</f>
        <v>Critical</v>
      </c>
      <c r="G193">
        <f>tblComponents[Monthly_Demand]</f>
        <v>996</v>
      </c>
      <c r="H193">
        <f>tblComponents[Demand_Growth_Rate]</f>
        <v>8.6989872243423236E-2</v>
      </c>
      <c r="I193">
        <f>tblComponents[Forecast_Demand]</f>
        <v>1083</v>
      </c>
      <c r="J193">
        <f>tblComponents[Annual_Demand]</f>
        <v>35698</v>
      </c>
      <c r="K193">
        <f>tblComponents[Demand_Variability]</f>
        <v>0.22009999999999999</v>
      </c>
      <c r="L193">
        <f t="shared" si="2"/>
        <v>87</v>
      </c>
    </row>
    <row r="194" spans="1:12" x14ac:dyDescent="0.35">
      <c r="A194" s="8" t="str">
        <f>tblComponents[Component_ID]</f>
        <v>C193</v>
      </c>
      <c r="B194" s="8" t="str">
        <f>tblComponents[Component_Name]</f>
        <v>Component 193</v>
      </c>
      <c r="C194" t="str">
        <f>tblComponents[Product_Family]</f>
        <v>Interior</v>
      </c>
      <c r="D194" t="str">
        <f>tblComponents[Category]</f>
        <v>Metal</v>
      </c>
      <c r="E194" t="str">
        <f>tblComponents[Sourcing_Type]</f>
        <v>Make</v>
      </c>
      <c r="F194" t="str">
        <f>tblComponents[Criticality]</f>
        <v>High</v>
      </c>
      <c r="G194">
        <f>tblComponents[Monthly_Demand]</f>
        <v>1263</v>
      </c>
      <c r="H194">
        <f>tblComponents[Demand_Growth_Rate]</f>
        <v>0.11292766197774209</v>
      </c>
      <c r="I194">
        <f>tblComponents[Forecast_Demand]</f>
        <v>1406</v>
      </c>
      <c r="J194">
        <f>tblComponents[Annual_Demand]</f>
        <v>55222</v>
      </c>
      <c r="K194">
        <f>tblComponents[Demand_Variability]</f>
        <v>0.1147</v>
      </c>
      <c r="L194">
        <f t="shared" si="2"/>
        <v>143</v>
      </c>
    </row>
    <row r="195" spans="1:12" x14ac:dyDescent="0.35">
      <c r="A195" s="8" t="str">
        <f>tblComponents[Component_ID]</f>
        <v>C194</v>
      </c>
      <c r="B195" s="8" t="str">
        <f>tblComponents[Component_Name]</f>
        <v>Component 194</v>
      </c>
      <c r="C195" t="str">
        <f>tblComponents[Product_Family]</f>
        <v>Electrical Systems</v>
      </c>
      <c r="D195" t="str">
        <f>tblComponents[Category]</f>
        <v>Electrical</v>
      </c>
      <c r="E195" t="str">
        <f>tblComponents[Sourcing_Type]</f>
        <v>Make</v>
      </c>
      <c r="F195" t="str">
        <f>tblComponents[Criticality]</f>
        <v>Low</v>
      </c>
      <c r="G195">
        <f>tblComponents[Monthly_Demand]</f>
        <v>1191</v>
      </c>
      <c r="H195">
        <f>tblComponents[Demand_Growth_Rate]</f>
        <v>0.14672584656382379</v>
      </c>
      <c r="I195">
        <f>tblComponents[Forecast_Demand]</f>
        <v>1366</v>
      </c>
      <c r="J195">
        <f>tblComponents[Annual_Demand]</f>
        <v>28666</v>
      </c>
      <c r="K195">
        <f>tblComponents[Demand_Variability]</f>
        <v>0.15970000000000001</v>
      </c>
      <c r="L195">
        <f t="shared" ref="L195:L258" si="3">I195-G195</f>
        <v>175</v>
      </c>
    </row>
    <row r="196" spans="1:12" x14ac:dyDescent="0.35">
      <c r="A196" s="8" t="str">
        <f>tblComponents[Component_ID]</f>
        <v>C195</v>
      </c>
      <c r="B196" s="8" t="str">
        <f>tblComponents[Component_Name]</f>
        <v>Component 195</v>
      </c>
      <c r="C196" t="str">
        <f>tblComponents[Product_Family]</f>
        <v>Body &amp; Exterior</v>
      </c>
      <c r="D196" t="str">
        <f>tblComponents[Category]</f>
        <v>Metal</v>
      </c>
      <c r="E196" t="str">
        <f>tblComponents[Sourcing_Type]</f>
        <v>Make</v>
      </c>
      <c r="F196" t="str">
        <f>tblComponents[Criticality]</f>
        <v>Low</v>
      </c>
      <c r="G196">
        <f>tblComponents[Monthly_Demand]</f>
        <v>2979</v>
      </c>
      <c r="H196">
        <f>tblComponents[Demand_Growth_Rate]</f>
        <v>0.1452926059467298</v>
      </c>
      <c r="I196">
        <f>tblComponents[Forecast_Demand]</f>
        <v>3412</v>
      </c>
      <c r="J196">
        <f>tblComponents[Annual_Demand]</f>
        <v>61349</v>
      </c>
      <c r="K196">
        <f>tblComponents[Demand_Variability]</f>
        <v>0.2162</v>
      </c>
      <c r="L196">
        <f t="shared" si="3"/>
        <v>433</v>
      </c>
    </row>
    <row r="197" spans="1:12" x14ac:dyDescent="0.35">
      <c r="A197" s="8" t="str">
        <f>tblComponents[Component_ID]</f>
        <v>C196</v>
      </c>
      <c r="B197" s="8" t="str">
        <f>tblComponents[Component_Name]</f>
        <v>Component 196</v>
      </c>
      <c r="C197" t="str">
        <f>tblComponents[Product_Family]</f>
        <v>Electrical Systems</v>
      </c>
      <c r="D197" t="str">
        <f>tblComponents[Category]</f>
        <v>Metal</v>
      </c>
      <c r="E197" t="str">
        <f>tblComponents[Sourcing_Type]</f>
        <v>Make</v>
      </c>
      <c r="F197" t="str">
        <f>tblComponents[Criticality]</f>
        <v>High</v>
      </c>
      <c r="G197">
        <f>tblComponents[Monthly_Demand]</f>
        <v>442</v>
      </c>
      <c r="H197">
        <f>tblComponents[Demand_Growth_Rate]</f>
        <v>7.9602005486301017E-2</v>
      </c>
      <c r="I197">
        <f>tblComponents[Forecast_Demand]</f>
        <v>477</v>
      </c>
      <c r="J197">
        <f>tblComponents[Annual_Demand]</f>
        <v>52997</v>
      </c>
      <c r="K197">
        <f>tblComponents[Demand_Variability]</f>
        <v>0.1106</v>
      </c>
      <c r="L197">
        <f t="shared" si="3"/>
        <v>35</v>
      </c>
    </row>
    <row r="198" spans="1:12" x14ac:dyDescent="0.35">
      <c r="A198" s="8" t="str">
        <f>tblComponents[Component_ID]</f>
        <v>C197</v>
      </c>
      <c r="B198" s="8" t="str">
        <f>tblComponents[Component_Name]</f>
        <v>Component 197</v>
      </c>
      <c r="C198" t="str">
        <f>tblComponents[Product_Family]</f>
        <v>Body &amp; Exterior</v>
      </c>
      <c r="D198" t="str">
        <f>tblComponents[Category]</f>
        <v>Metal</v>
      </c>
      <c r="E198" t="str">
        <f>tblComponents[Sourcing_Type]</f>
        <v>Make</v>
      </c>
      <c r="F198" t="str">
        <f>tblComponents[Criticality]</f>
        <v>Critical</v>
      </c>
      <c r="G198">
        <f>tblComponents[Monthly_Demand]</f>
        <v>1042</v>
      </c>
      <c r="H198">
        <f>tblComponents[Demand_Growth_Rate]</f>
        <v>0.1147588835509202</v>
      </c>
      <c r="I198">
        <f>tblComponents[Forecast_Demand]</f>
        <v>1162</v>
      </c>
      <c r="J198">
        <f>tblComponents[Annual_Demand]</f>
        <v>31309</v>
      </c>
      <c r="K198">
        <f>tblComponents[Demand_Variability]</f>
        <v>9.8699999999999996E-2</v>
      </c>
      <c r="L198">
        <f t="shared" si="3"/>
        <v>120</v>
      </c>
    </row>
    <row r="199" spans="1:12" x14ac:dyDescent="0.35">
      <c r="A199" s="8" t="str">
        <f>tblComponents[Component_ID]</f>
        <v>C198</v>
      </c>
      <c r="B199" s="8" t="str">
        <f>tblComponents[Component_Name]</f>
        <v>Component 198</v>
      </c>
      <c r="C199" t="str">
        <f>tblComponents[Product_Family]</f>
        <v>Powertrain</v>
      </c>
      <c r="D199" t="str">
        <f>tblComponents[Category]</f>
        <v>Metal</v>
      </c>
      <c r="E199" t="str">
        <f>tblComponents[Sourcing_Type]</f>
        <v>Make</v>
      </c>
      <c r="F199" t="str">
        <f>tblComponents[Criticality]</f>
        <v>Medium</v>
      </c>
      <c r="G199">
        <f>tblComponents[Monthly_Demand]</f>
        <v>727</v>
      </c>
      <c r="H199">
        <f>tblComponents[Demand_Growth_Rate]</f>
        <v>3.7425807436462392E-2</v>
      </c>
      <c r="I199">
        <f>tblComponents[Forecast_Demand]</f>
        <v>754</v>
      </c>
      <c r="J199">
        <f>tblComponents[Annual_Demand]</f>
        <v>19054</v>
      </c>
      <c r="K199">
        <f>tblComponents[Demand_Variability]</f>
        <v>0.23019999999999999</v>
      </c>
      <c r="L199">
        <f t="shared" si="3"/>
        <v>27</v>
      </c>
    </row>
    <row r="200" spans="1:12" x14ac:dyDescent="0.35">
      <c r="A200" s="8" t="str">
        <f>tblComponents[Component_ID]</f>
        <v>C199</v>
      </c>
      <c r="B200" s="8" t="str">
        <f>tblComponents[Component_Name]</f>
        <v>Component 199</v>
      </c>
      <c r="C200" t="str">
        <f>tblComponents[Product_Family]</f>
        <v>Body &amp; Exterior</v>
      </c>
      <c r="D200" t="str">
        <f>tblComponents[Category]</f>
        <v>Metal</v>
      </c>
      <c r="E200" t="str">
        <f>tblComponents[Sourcing_Type]</f>
        <v>Make</v>
      </c>
      <c r="F200" t="str">
        <f>tblComponents[Criticality]</f>
        <v>Critical</v>
      </c>
      <c r="G200">
        <f>tblComponents[Monthly_Demand]</f>
        <v>851</v>
      </c>
      <c r="H200">
        <f>tblComponents[Demand_Growth_Rate]</f>
        <v>-3.2821791870433062E-2</v>
      </c>
      <c r="I200">
        <f>tblComponents[Forecast_Demand]</f>
        <v>823</v>
      </c>
      <c r="J200">
        <f>tblComponents[Annual_Demand]</f>
        <v>38002</v>
      </c>
      <c r="K200">
        <f>tblComponents[Demand_Variability]</f>
        <v>0.13830000000000001</v>
      </c>
      <c r="L200">
        <f t="shared" si="3"/>
        <v>-28</v>
      </c>
    </row>
    <row r="201" spans="1:12" x14ac:dyDescent="0.35">
      <c r="A201" s="8" t="str">
        <f>tblComponents[Component_ID]</f>
        <v>C200</v>
      </c>
      <c r="B201" s="8" t="str">
        <f>tblComponents[Component_Name]</f>
        <v>Component 200</v>
      </c>
      <c r="C201" t="str">
        <f>tblComponents[Product_Family]</f>
        <v>Powertrain</v>
      </c>
      <c r="D201" t="str">
        <f>tblComponents[Category]</f>
        <v>Metal</v>
      </c>
      <c r="E201" t="str">
        <f>tblComponents[Sourcing_Type]</f>
        <v>Make</v>
      </c>
      <c r="F201" t="str">
        <f>tblComponents[Criticality]</f>
        <v>Medium</v>
      </c>
      <c r="G201">
        <f>tblComponents[Monthly_Demand]</f>
        <v>828</v>
      </c>
      <c r="H201">
        <f>tblComponents[Demand_Growth_Rate]</f>
        <v>4.5484909913223973E-2</v>
      </c>
      <c r="I201">
        <f>tblComponents[Forecast_Demand]</f>
        <v>866</v>
      </c>
      <c r="J201">
        <f>tblComponents[Annual_Demand]</f>
        <v>17021</v>
      </c>
      <c r="K201">
        <f>tblComponents[Demand_Variability]</f>
        <v>0.1963</v>
      </c>
      <c r="L201">
        <f t="shared" si="3"/>
        <v>38</v>
      </c>
    </row>
    <row r="202" spans="1:12" x14ac:dyDescent="0.35">
      <c r="A202" s="8" t="str">
        <f>tblComponents[Component_ID]</f>
        <v>C201</v>
      </c>
      <c r="B202" s="8" t="str">
        <f>tblComponents[Component_Name]</f>
        <v>Component 201</v>
      </c>
      <c r="C202" t="str">
        <f>tblComponents[Product_Family]</f>
        <v>Powertrain</v>
      </c>
      <c r="D202" t="str">
        <f>tblComponents[Category]</f>
        <v>Electrical</v>
      </c>
      <c r="E202" t="str">
        <f>tblComponents[Sourcing_Type]</f>
        <v>Make</v>
      </c>
      <c r="F202" t="str">
        <f>tblComponents[Criticality]</f>
        <v>Medium</v>
      </c>
      <c r="G202">
        <f>tblComponents[Monthly_Demand]</f>
        <v>689</v>
      </c>
      <c r="H202">
        <f>tblComponents[Demand_Growth_Rate]</f>
        <v>0.1739536493429705</v>
      </c>
      <c r="I202">
        <f>tblComponents[Forecast_Demand]</f>
        <v>809</v>
      </c>
      <c r="J202">
        <f>tblComponents[Annual_Demand]</f>
        <v>37778</v>
      </c>
      <c r="K202">
        <f>tblComponents[Demand_Variability]</f>
        <v>8.43E-2</v>
      </c>
      <c r="L202">
        <f t="shared" si="3"/>
        <v>120</v>
      </c>
    </row>
    <row r="203" spans="1:12" x14ac:dyDescent="0.35">
      <c r="A203" s="8" t="str">
        <f>tblComponents[Component_ID]</f>
        <v>C202</v>
      </c>
      <c r="B203" s="8" t="str">
        <f>tblComponents[Component_Name]</f>
        <v>Component 202</v>
      </c>
      <c r="C203" t="str">
        <f>tblComponents[Product_Family]</f>
        <v>Powertrain</v>
      </c>
      <c r="D203" t="str">
        <f>tblComponents[Category]</f>
        <v>Metal</v>
      </c>
      <c r="E203" t="str">
        <f>tblComponents[Sourcing_Type]</f>
        <v>Make</v>
      </c>
      <c r="F203" t="str">
        <f>tblComponents[Criticality]</f>
        <v>Medium</v>
      </c>
      <c r="G203">
        <f>tblComponents[Monthly_Demand]</f>
        <v>499</v>
      </c>
      <c r="H203">
        <f>tblComponents[Demand_Growth_Rate]</f>
        <v>0.1529424470225344</v>
      </c>
      <c r="I203">
        <f>tblComponents[Forecast_Demand]</f>
        <v>575</v>
      </c>
      <c r="J203">
        <f>tblComponents[Annual_Demand]</f>
        <v>40703</v>
      </c>
      <c r="K203">
        <f>tblComponents[Demand_Variability]</f>
        <v>0.1973</v>
      </c>
      <c r="L203">
        <f t="shared" si="3"/>
        <v>76</v>
      </c>
    </row>
    <row r="204" spans="1:12" x14ac:dyDescent="0.35">
      <c r="A204" s="8" t="str">
        <f>tblComponents[Component_ID]</f>
        <v>C203</v>
      </c>
      <c r="B204" s="8" t="str">
        <f>tblComponents[Component_Name]</f>
        <v>Component 203</v>
      </c>
      <c r="C204" t="str">
        <f>tblComponents[Product_Family]</f>
        <v>Powertrain</v>
      </c>
      <c r="D204" t="str">
        <f>tblComponents[Category]</f>
        <v>Metal</v>
      </c>
      <c r="E204" t="str">
        <f>tblComponents[Sourcing_Type]</f>
        <v>Make</v>
      </c>
      <c r="F204" t="str">
        <f>tblComponents[Criticality]</f>
        <v>High</v>
      </c>
      <c r="G204">
        <f>tblComponents[Monthly_Demand]</f>
        <v>1326</v>
      </c>
      <c r="H204">
        <f>tblComponents[Demand_Growth_Rate]</f>
        <v>8.7522985114539001E-2</v>
      </c>
      <c r="I204">
        <f>tblComponents[Forecast_Demand]</f>
        <v>1442</v>
      </c>
      <c r="J204">
        <f>tblComponents[Annual_Demand]</f>
        <v>16664</v>
      </c>
      <c r="K204">
        <f>tblComponents[Demand_Variability]</f>
        <v>0.13370000000000001</v>
      </c>
      <c r="L204">
        <f t="shared" si="3"/>
        <v>116</v>
      </c>
    </row>
    <row r="205" spans="1:12" x14ac:dyDescent="0.35">
      <c r="A205" s="8" t="str">
        <f>tblComponents[Component_ID]</f>
        <v>C204</v>
      </c>
      <c r="B205" s="8" t="str">
        <f>tblComponents[Component_Name]</f>
        <v>Component 204</v>
      </c>
      <c r="C205" t="str">
        <f>tblComponents[Product_Family]</f>
        <v>Powertrain</v>
      </c>
      <c r="D205" t="str">
        <f>tblComponents[Category]</f>
        <v>Metal</v>
      </c>
      <c r="E205" t="str">
        <f>tblComponents[Sourcing_Type]</f>
        <v>Make</v>
      </c>
      <c r="F205" t="str">
        <f>tblComponents[Criticality]</f>
        <v>Medium</v>
      </c>
      <c r="G205">
        <f>tblComponents[Monthly_Demand]</f>
        <v>612</v>
      </c>
      <c r="H205">
        <f>tblComponents[Demand_Growth_Rate]</f>
        <v>0.1114527031638015</v>
      </c>
      <c r="I205">
        <f>tblComponents[Forecast_Demand]</f>
        <v>680</v>
      </c>
      <c r="J205">
        <f>tblComponents[Annual_Demand]</f>
        <v>13219</v>
      </c>
      <c r="K205">
        <f>tblComponents[Demand_Variability]</f>
        <v>8.9499999999999996E-2</v>
      </c>
      <c r="L205">
        <f t="shared" si="3"/>
        <v>68</v>
      </c>
    </row>
    <row r="206" spans="1:12" x14ac:dyDescent="0.35">
      <c r="A206" s="8" t="str">
        <f>tblComponents[Component_ID]</f>
        <v>C205</v>
      </c>
      <c r="B206" s="8" t="str">
        <f>tblComponents[Component_Name]</f>
        <v>Component 205</v>
      </c>
      <c r="C206" t="str">
        <f>tblComponents[Product_Family]</f>
        <v>Body &amp; Exterior</v>
      </c>
      <c r="D206" t="str">
        <f>tblComponents[Category]</f>
        <v>Electrical</v>
      </c>
      <c r="E206" t="str">
        <f>tblComponents[Sourcing_Type]</f>
        <v>Make</v>
      </c>
      <c r="F206" t="str">
        <f>tblComponents[Criticality]</f>
        <v>Low</v>
      </c>
      <c r="G206">
        <f>tblComponents[Monthly_Demand]</f>
        <v>896</v>
      </c>
      <c r="H206">
        <f>tblComponents[Demand_Growth_Rate]</f>
        <v>5.2658428634321103E-3</v>
      </c>
      <c r="I206">
        <f>tblComponents[Forecast_Demand]</f>
        <v>901</v>
      </c>
      <c r="J206">
        <f>tblComponents[Annual_Demand]</f>
        <v>28464</v>
      </c>
      <c r="K206">
        <f>tblComponents[Demand_Variability]</f>
        <v>0.1837</v>
      </c>
      <c r="L206">
        <f t="shared" si="3"/>
        <v>5</v>
      </c>
    </row>
    <row r="207" spans="1:12" x14ac:dyDescent="0.35">
      <c r="A207" s="8" t="str">
        <f>tblComponents[Component_ID]</f>
        <v>C206</v>
      </c>
      <c r="B207" s="8" t="str">
        <f>tblComponents[Component_Name]</f>
        <v>Component 206</v>
      </c>
      <c r="C207" t="str">
        <f>tblComponents[Product_Family]</f>
        <v>Body &amp; Exterior</v>
      </c>
      <c r="D207" t="str">
        <f>tblComponents[Category]</f>
        <v>Metal</v>
      </c>
      <c r="E207" t="str">
        <f>tblComponents[Sourcing_Type]</f>
        <v>Make</v>
      </c>
      <c r="F207" t="str">
        <f>tblComponents[Criticality]</f>
        <v>Critical</v>
      </c>
      <c r="G207">
        <f>tblComponents[Monthly_Demand]</f>
        <v>1161</v>
      </c>
      <c r="H207">
        <f>tblComponents[Demand_Growth_Rate]</f>
        <v>0.19616743488112701</v>
      </c>
      <c r="I207">
        <f>tblComponents[Forecast_Demand]</f>
        <v>1389</v>
      </c>
      <c r="J207">
        <f>tblComponents[Annual_Demand]</f>
        <v>74724</v>
      </c>
      <c r="K207">
        <f>tblComponents[Demand_Variability]</f>
        <v>0.12089999999999999</v>
      </c>
      <c r="L207">
        <f t="shared" si="3"/>
        <v>228</v>
      </c>
    </row>
    <row r="208" spans="1:12" x14ac:dyDescent="0.35">
      <c r="A208" s="8" t="str">
        <f>tblComponents[Component_ID]</f>
        <v>C207</v>
      </c>
      <c r="B208" s="8" t="str">
        <f>tblComponents[Component_Name]</f>
        <v>Component 207</v>
      </c>
      <c r="C208" t="str">
        <f>tblComponents[Product_Family]</f>
        <v>Powertrain</v>
      </c>
      <c r="D208" t="str">
        <f>tblComponents[Category]</f>
        <v>Metal</v>
      </c>
      <c r="E208" t="str">
        <f>tblComponents[Sourcing_Type]</f>
        <v>Make</v>
      </c>
      <c r="F208" t="str">
        <f>tblComponents[Criticality]</f>
        <v>Medium</v>
      </c>
      <c r="G208">
        <f>tblComponents[Monthly_Demand]</f>
        <v>194</v>
      </c>
      <c r="H208">
        <f>tblComponents[Demand_Growth_Rate]</f>
        <v>7.2098532516234895E-2</v>
      </c>
      <c r="I208">
        <f>tblComponents[Forecast_Demand]</f>
        <v>208</v>
      </c>
      <c r="J208">
        <f>tblComponents[Annual_Demand]</f>
        <v>62299</v>
      </c>
      <c r="K208">
        <f>tblComponents[Demand_Variability]</f>
        <v>0.14580000000000001</v>
      </c>
      <c r="L208">
        <f t="shared" si="3"/>
        <v>14</v>
      </c>
    </row>
    <row r="209" spans="1:12" x14ac:dyDescent="0.35">
      <c r="A209" s="8" t="str">
        <f>tblComponents[Component_ID]</f>
        <v>C208</v>
      </c>
      <c r="B209" s="8" t="str">
        <f>tblComponents[Component_Name]</f>
        <v>Component 208</v>
      </c>
      <c r="C209" t="str">
        <f>tblComponents[Product_Family]</f>
        <v>Chassis</v>
      </c>
      <c r="D209" t="str">
        <f>tblComponents[Category]</f>
        <v>Metal</v>
      </c>
      <c r="E209" t="str">
        <f>tblComponents[Sourcing_Type]</f>
        <v>Make</v>
      </c>
      <c r="F209" t="str">
        <f>tblComponents[Criticality]</f>
        <v>Medium</v>
      </c>
      <c r="G209">
        <f>tblComponents[Monthly_Demand]</f>
        <v>1129</v>
      </c>
      <c r="H209">
        <f>tblComponents[Demand_Growth_Rate]</f>
        <v>9.1255498214754024E-2</v>
      </c>
      <c r="I209">
        <f>tblComponents[Forecast_Demand]</f>
        <v>1232</v>
      </c>
      <c r="J209">
        <f>tblComponents[Annual_Demand]</f>
        <v>29252</v>
      </c>
      <c r="K209">
        <f>tblComponents[Demand_Variability]</f>
        <v>9.3700000000000006E-2</v>
      </c>
      <c r="L209">
        <f t="shared" si="3"/>
        <v>103</v>
      </c>
    </row>
    <row r="210" spans="1:12" x14ac:dyDescent="0.35">
      <c r="A210" s="8" t="str">
        <f>tblComponents[Component_ID]</f>
        <v>C209</v>
      </c>
      <c r="B210" s="8" t="str">
        <f>tblComponents[Component_Name]</f>
        <v>Component 209</v>
      </c>
      <c r="C210" t="str">
        <f>tblComponents[Product_Family]</f>
        <v>Interior</v>
      </c>
      <c r="D210" t="str">
        <f>tblComponents[Category]</f>
        <v>Electrical</v>
      </c>
      <c r="E210" t="str">
        <f>tblComponents[Sourcing_Type]</f>
        <v>Make</v>
      </c>
      <c r="F210" t="str">
        <f>tblComponents[Criticality]</f>
        <v>High</v>
      </c>
      <c r="G210">
        <f>tblComponents[Monthly_Demand]</f>
        <v>1155</v>
      </c>
      <c r="H210">
        <f>tblComponents[Demand_Growth_Rate]</f>
        <v>0.1529380542164275</v>
      </c>
      <c r="I210">
        <f>tblComponents[Forecast_Demand]</f>
        <v>1332</v>
      </c>
      <c r="J210">
        <f>tblComponents[Annual_Demand]</f>
        <v>36316</v>
      </c>
      <c r="K210">
        <f>tblComponents[Demand_Variability]</f>
        <v>0.105</v>
      </c>
      <c r="L210">
        <f t="shared" si="3"/>
        <v>177</v>
      </c>
    </row>
    <row r="211" spans="1:12" x14ac:dyDescent="0.35">
      <c r="A211" s="8" t="str">
        <f>tblComponents[Component_ID]</f>
        <v>C210</v>
      </c>
      <c r="B211" s="8" t="str">
        <f>tblComponents[Component_Name]</f>
        <v>Component 210</v>
      </c>
      <c r="C211" t="str">
        <f>tblComponents[Product_Family]</f>
        <v>Interior</v>
      </c>
      <c r="D211" t="str">
        <f>tblComponents[Category]</f>
        <v>Metal</v>
      </c>
      <c r="E211" t="str">
        <f>tblComponents[Sourcing_Type]</f>
        <v>Make</v>
      </c>
      <c r="F211" t="str">
        <f>tblComponents[Criticality]</f>
        <v>Low</v>
      </c>
      <c r="G211">
        <f>tblComponents[Monthly_Demand]</f>
        <v>972</v>
      </c>
      <c r="H211">
        <f>tblComponents[Demand_Growth_Rate]</f>
        <v>8.8771237325571559E-2</v>
      </c>
      <c r="I211">
        <f>tblComponents[Forecast_Demand]</f>
        <v>1058</v>
      </c>
      <c r="J211">
        <f>tblComponents[Annual_Demand]</f>
        <v>48782</v>
      </c>
      <c r="K211">
        <f>tblComponents[Demand_Variability]</f>
        <v>0.13070000000000001</v>
      </c>
      <c r="L211">
        <f t="shared" si="3"/>
        <v>86</v>
      </c>
    </row>
    <row r="212" spans="1:12" x14ac:dyDescent="0.35">
      <c r="A212" s="8" t="str">
        <f>tblComponents[Component_ID]</f>
        <v>C211</v>
      </c>
      <c r="B212" s="8" t="str">
        <f>tblComponents[Component_Name]</f>
        <v>Component 211</v>
      </c>
      <c r="C212" t="str">
        <f>tblComponents[Product_Family]</f>
        <v>Electrical Systems</v>
      </c>
      <c r="D212" t="str">
        <f>tblComponents[Category]</f>
        <v>Metal</v>
      </c>
      <c r="E212" t="str">
        <f>tblComponents[Sourcing_Type]</f>
        <v>Make</v>
      </c>
      <c r="F212" t="str">
        <f>tblComponents[Criticality]</f>
        <v>Medium</v>
      </c>
      <c r="G212">
        <f>tblComponents[Monthly_Demand]</f>
        <v>1097</v>
      </c>
      <c r="H212">
        <f>tblComponents[Demand_Growth_Rate]</f>
        <v>0.16201194778269301</v>
      </c>
      <c r="I212">
        <f>tblComponents[Forecast_Demand]</f>
        <v>1275</v>
      </c>
      <c r="J212">
        <f>tblComponents[Annual_Demand]</f>
        <v>34162</v>
      </c>
      <c r="K212">
        <f>tblComponents[Demand_Variability]</f>
        <v>9.5299999999999996E-2</v>
      </c>
      <c r="L212">
        <f t="shared" si="3"/>
        <v>178</v>
      </c>
    </row>
    <row r="213" spans="1:12" x14ac:dyDescent="0.35">
      <c r="A213" s="8" t="str">
        <f>tblComponents[Component_ID]</f>
        <v>C212</v>
      </c>
      <c r="B213" s="8" t="str">
        <f>tblComponents[Component_Name]</f>
        <v>Component 212</v>
      </c>
      <c r="C213" t="str">
        <f>tblComponents[Product_Family]</f>
        <v>Body &amp; Exterior</v>
      </c>
      <c r="D213" t="str">
        <f>tblComponents[Category]</f>
        <v>Metal</v>
      </c>
      <c r="E213" t="str">
        <f>tblComponents[Sourcing_Type]</f>
        <v>Make</v>
      </c>
      <c r="F213" t="str">
        <f>tblComponents[Criticality]</f>
        <v>Medium</v>
      </c>
      <c r="G213">
        <f>tblComponents[Monthly_Demand]</f>
        <v>1411</v>
      </c>
      <c r="H213">
        <f>tblComponents[Demand_Growth_Rate]</f>
        <v>-1.277798741688883E-2</v>
      </c>
      <c r="I213">
        <f>tblComponents[Forecast_Demand]</f>
        <v>1393</v>
      </c>
      <c r="J213">
        <f>tblComponents[Annual_Demand]</f>
        <v>30960</v>
      </c>
      <c r="K213">
        <f>tblComponents[Demand_Variability]</f>
        <v>0.23480000000000001</v>
      </c>
      <c r="L213">
        <f t="shared" si="3"/>
        <v>-18</v>
      </c>
    </row>
    <row r="214" spans="1:12" x14ac:dyDescent="0.35">
      <c r="A214" s="8" t="str">
        <f>tblComponents[Component_ID]</f>
        <v>C213</v>
      </c>
      <c r="B214" s="8" t="str">
        <f>tblComponents[Component_Name]</f>
        <v>Component 213</v>
      </c>
      <c r="C214" t="str">
        <f>tblComponents[Product_Family]</f>
        <v>Interior</v>
      </c>
      <c r="D214" t="str">
        <f>tblComponents[Category]</f>
        <v>Electrical</v>
      </c>
      <c r="E214" t="str">
        <f>tblComponents[Sourcing_Type]</f>
        <v>Make</v>
      </c>
      <c r="F214" t="str">
        <f>tblComponents[Criticality]</f>
        <v>Medium</v>
      </c>
      <c r="G214">
        <f>tblComponents[Monthly_Demand]</f>
        <v>123</v>
      </c>
      <c r="H214">
        <f>tblComponents[Demand_Growth_Rate]</f>
        <v>4.3022744228026349E-3</v>
      </c>
      <c r="I214">
        <f>tblComponents[Forecast_Demand]</f>
        <v>124</v>
      </c>
      <c r="J214">
        <f>tblComponents[Annual_Demand]</f>
        <v>45791</v>
      </c>
      <c r="K214">
        <f>tblComponents[Demand_Variability]</f>
        <v>8.1000000000000003E-2</v>
      </c>
      <c r="L214">
        <f t="shared" si="3"/>
        <v>1</v>
      </c>
    </row>
    <row r="215" spans="1:12" x14ac:dyDescent="0.35">
      <c r="A215" s="8" t="str">
        <f>tblComponents[Component_ID]</f>
        <v>C214</v>
      </c>
      <c r="B215" s="8" t="str">
        <f>tblComponents[Component_Name]</f>
        <v>Component 214</v>
      </c>
      <c r="C215" t="str">
        <f>tblComponents[Product_Family]</f>
        <v>Body &amp; Exterior</v>
      </c>
      <c r="D215" t="str">
        <f>tblComponents[Category]</f>
        <v>Metal</v>
      </c>
      <c r="E215" t="str">
        <f>tblComponents[Sourcing_Type]</f>
        <v>Make</v>
      </c>
      <c r="F215" t="str">
        <f>tblComponents[Criticality]</f>
        <v>Critical</v>
      </c>
      <c r="G215">
        <f>tblComponents[Monthly_Demand]</f>
        <v>1187</v>
      </c>
      <c r="H215">
        <f>tblComponents[Demand_Growth_Rate]</f>
        <v>0.1485493328192711</v>
      </c>
      <c r="I215">
        <f>tblComponents[Forecast_Demand]</f>
        <v>1363</v>
      </c>
      <c r="J215">
        <f>tblComponents[Annual_Demand]</f>
        <v>56177</v>
      </c>
      <c r="K215">
        <f>tblComponents[Demand_Variability]</f>
        <v>0.1623</v>
      </c>
      <c r="L215">
        <f t="shared" si="3"/>
        <v>176</v>
      </c>
    </row>
    <row r="216" spans="1:12" x14ac:dyDescent="0.35">
      <c r="A216" s="8" t="str">
        <f>tblComponents[Component_ID]</f>
        <v>C215</v>
      </c>
      <c r="B216" s="8" t="str">
        <f>tblComponents[Component_Name]</f>
        <v>Component 215</v>
      </c>
      <c r="C216" t="str">
        <f>tblComponents[Product_Family]</f>
        <v>Electrical Systems</v>
      </c>
      <c r="D216" t="str">
        <f>tblComponents[Category]</f>
        <v>Metal</v>
      </c>
      <c r="E216" t="str">
        <f>tblComponents[Sourcing_Type]</f>
        <v>Make</v>
      </c>
      <c r="F216" t="str">
        <f>tblComponents[Criticality]</f>
        <v>Critical</v>
      </c>
      <c r="G216">
        <f>tblComponents[Monthly_Demand]</f>
        <v>554</v>
      </c>
      <c r="H216">
        <f>tblComponents[Demand_Growth_Rate]</f>
        <v>0.12573586024466921</v>
      </c>
      <c r="I216">
        <f>tblComponents[Forecast_Demand]</f>
        <v>624</v>
      </c>
      <c r="J216">
        <f>tblComponents[Annual_Demand]</f>
        <v>40216</v>
      </c>
      <c r="K216">
        <f>tblComponents[Demand_Variability]</f>
        <v>0.10100000000000001</v>
      </c>
      <c r="L216">
        <f t="shared" si="3"/>
        <v>70</v>
      </c>
    </row>
    <row r="217" spans="1:12" x14ac:dyDescent="0.35">
      <c r="A217" s="8" t="str">
        <f>tblComponents[Component_ID]</f>
        <v>C216</v>
      </c>
      <c r="B217" s="8" t="str">
        <f>tblComponents[Component_Name]</f>
        <v>Component 216</v>
      </c>
      <c r="C217" t="str">
        <f>tblComponents[Product_Family]</f>
        <v>Electrical Systems</v>
      </c>
      <c r="D217" t="str">
        <f>tblComponents[Category]</f>
        <v>Metal</v>
      </c>
      <c r="E217" t="str">
        <f>tblComponents[Sourcing_Type]</f>
        <v>Make</v>
      </c>
      <c r="F217" t="str">
        <f>tblComponents[Criticality]</f>
        <v>Critical</v>
      </c>
      <c r="G217">
        <f>tblComponents[Monthly_Demand]</f>
        <v>818</v>
      </c>
      <c r="H217">
        <f>tblComponents[Demand_Growth_Rate]</f>
        <v>-3.0735430216417212E-2</v>
      </c>
      <c r="I217">
        <f>tblComponents[Forecast_Demand]</f>
        <v>793</v>
      </c>
      <c r="J217">
        <f>tblComponents[Annual_Demand]</f>
        <v>47467</v>
      </c>
      <c r="K217">
        <f>tblComponents[Demand_Variability]</f>
        <v>0.1323</v>
      </c>
      <c r="L217">
        <f t="shared" si="3"/>
        <v>-25</v>
      </c>
    </row>
    <row r="218" spans="1:12" x14ac:dyDescent="0.35">
      <c r="A218" s="8" t="str">
        <f>tblComponents[Component_ID]</f>
        <v>C217</v>
      </c>
      <c r="B218" s="8" t="str">
        <f>tblComponents[Component_Name]</f>
        <v>Component 217</v>
      </c>
      <c r="C218" t="str">
        <f>tblComponents[Product_Family]</f>
        <v>Chassis</v>
      </c>
      <c r="D218" t="str">
        <f>tblComponents[Category]</f>
        <v>Electrical</v>
      </c>
      <c r="E218" t="str">
        <f>tblComponents[Sourcing_Type]</f>
        <v>Make</v>
      </c>
      <c r="F218" t="str">
        <f>tblComponents[Criticality]</f>
        <v>Medium</v>
      </c>
      <c r="G218">
        <f>tblComponents[Monthly_Demand]</f>
        <v>931</v>
      </c>
      <c r="H218">
        <f>tblComponents[Demand_Growth_Rate]</f>
        <v>4.3365649036043348E-2</v>
      </c>
      <c r="I218">
        <f>tblComponents[Forecast_Demand]</f>
        <v>971</v>
      </c>
      <c r="J218">
        <f>tblComponents[Annual_Demand]</f>
        <v>22754</v>
      </c>
      <c r="K218">
        <f>tblComponents[Demand_Variability]</f>
        <v>0.2374</v>
      </c>
      <c r="L218">
        <f t="shared" si="3"/>
        <v>40</v>
      </c>
    </row>
    <row r="219" spans="1:12" x14ac:dyDescent="0.35">
      <c r="A219" s="8" t="str">
        <f>tblComponents[Component_ID]</f>
        <v>C218</v>
      </c>
      <c r="B219" s="8" t="str">
        <f>tblComponents[Component_Name]</f>
        <v>Component 218</v>
      </c>
      <c r="C219" t="str">
        <f>tblComponents[Product_Family]</f>
        <v>Body &amp; Exterior</v>
      </c>
      <c r="D219" t="str">
        <f>tblComponents[Category]</f>
        <v>Metal</v>
      </c>
      <c r="E219" t="str">
        <f>tblComponents[Sourcing_Type]</f>
        <v>Make</v>
      </c>
      <c r="F219" t="str">
        <f>tblComponents[Criticality]</f>
        <v>Critical</v>
      </c>
      <c r="G219">
        <f>tblComponents[Monthly_Demand]</f>
        <v>402</v>
      </c>
      <c r="H219">
        <f>tblComponents[Demand_Growth_Rate]</f>
        <v>0.19958687784823739</v>
      </c>
      <c r="I219">
        <f>tblComponents[Forecast_Demand]</f>
        <v>482</v>
      </c>
      <c r="J219">
        <f>tblComponents[Annual_Demand]</f>
        <v>19078</v>
      </c>
      <c r="K219">
        <f>tblComponents[Demand_Variability]</f>
        <v>0.1075</v>
      </c>
      <c r="L219">
        <f t="shared" si="3"/>
        <v>80</v>
      </c>
    </row>
    <row r="220" spans="1:12" x14ac:dyDescent="0.35">
      <c r="A220" s="8" t="str">
        <f>tblComponents[Component_ID]</f>
        <v>C219</v>
      </c>
      <c r="B220" s="8" t="str">
        <f>tblComponents[Component_Name]</f>
        <v>Component 219</v>
      </c>
      <c r="C220" t="str">
        <f>tblComponents[Product_Family]</f>
        <v>Body &amp; Exterior</v>
      </c>
      <c r="D220" t="str">
        <f>tblComponents[Category]</f>
        <v>Metal</v>
      </c>
      <c r="E220" t="str">
        <f>tblComponents[Sourcing_Type]</f>
        <v>Make</v>
      </c>
      <c r="F220" t="str">
        <f>tblComponents[Criticality]</f>
        <v>Medium</v>
      </c>
      <c r="G220">
        <f>tblComponents[Monthly_Demand]</f>
        <v>2733</v>
      </c>
      <c r="H220">
        <f>tblComponents[Demand_Growth_Rate]</f>
        <v>0.1977816079553259</v>
      </c>
      <c r="I220">
        <f>tblComponents[Forecast_Demand]</f>
        <v>3274</v>
      </c>
      <c r="J220">
        <f>tblComponents[Annual_Demand]</f>
        <v>27853</v>
      </c>
      <c r="K220">
        <f>tblComponents[Demand_Variability]</f>
        <v>0.2442</v>
      </c>
      <c r="L220">
        <f t="shared" si="3"/>
        <v>541</v>
      </c>
    </row>
    <row r="221" spans="1:12" x14ac:dyDescent="0.35">
      <c r="A221" s="8" t="str">
        <f>tblComponents[Component_ID]</f>
        <v>C220</v>
      </c>
      <c r="B221" s="8" t="str">
        <f>tblComponents[Component_Name]</f>
        <v>Component 220</v>
      </c>
      <c r="C221" t="str">
        <f>tblComponents[Product_Family]</f>
        <v>Body &amp; Exterior</v>
      </c>
      <c r="D221" t="str">
        <f>tblComponents[Category]</f>
        <v>Electrical</v>
      </c>
      <c r="E221" t="str">
        <f>tblComponents[Sourcing_Type]</f>
        <v>Make</v>
      </c>
      <c r="F221" t="str">
        <f>tblComponents[Criticality]</f>
        <v>Medium</v>
      </c>
      <c r="G221">
        <f>tblComponents[Monthly_Demand]</f>
        <v>358</v>
      </c>
      <c r="H221">
        <f>tblComponents[Demand_Growth_Rate]</f>
        <v>-4.3450822866983797E-2</v>
      </c>
      <c r="I221">
        <f>tblComponents[Forecast_Demand]</f>
        <v>342</v>
      </c>
      <c r="J221">
        <f>tblComponents[Annual_Demand]</f>
        <v>96163</v>
      </c>
      <c r="K221">
        <f>tblComponents[Demand_Variability]</f>
        <v>0.115</v>
      </c>
      <c r="L221">
        <f t="shared" si="3"/>
        <v>-16</v>
      </c>
    </row>
    <row r="222" spans="1:12" x14ac:dyDescent="0.35">
      <c r="A222" s="8" t="str">
        <f>tblComponents[Component_ID]</f>
        <v>C221</v>
      </c>
      <c r="B222" s="8" t="str">
        <f>tblComponents[Component_Name]</f>
        <v>Component 221</v>
      </c>
      <c r="C222" t="str">
        <f>tblComponents[Product_Family]</f>
        <v>Body &amp; Exterior</v>
      </c>
      <c r="D222" t="str">
        <f>tblComponents[Category]</f>
        <v>Metal</v>
      </c>
      <c r="E222" t="str">
        <f>tblComponents[Sourcing_Type]</f>
        <v>Make</v>
      </c>
      <c r="F222" t="str">
        <f>tblComponents[Criticality]</f>
        <v>High</v>
      </c>
      <c r="G222">
        <f>tblComponents[Monthly_Demand]</f>
        <v>134</v>
      </c>
      <c r="H222">
        <f>tblComponents[Demand_Growth_Rate]</f>
        <v>5.7414203184733767E-2</v>
      </c>
      <c r="I222">
        <f>tblComponents[Forecast_Demand]</f>
        <v>142</v>
      </c>
      <c r="J222">
        <f>tblComponents[Annual_Demand]</f>
        <v>29389</v>
      </c>
      <c r="K222">
        <f>tblComponents[Demand_Variability]</f>
        <v>0.20610000000000001</v>
      </c>
      <c r="L222">
        <f t="shared" si="3"/>
        <v>8</v>
      </c>
    </row>
    <row r="223" spans="1:12" x14ac:dyDescent="0.35">
      <c r="A223" s="8" t="str">
        <f>tblComponents[Component_ID]</f>
        <v>C222</v>
      </c>
      <c r="B223" s="8" t="str">
        <f>tblComponents[Component_Name]</f>
        <v>Component 222</v>
      </c>
      <c r="C223" t="str">
        <f>tblComponents[Product_Family]</f>
        <v>Interior</v>
      </c>
      <c r="D223" t="str">
        <f>tblComponents[Category]</f>
        <v>Metal</v>
      </c>
      <c r="E223" t="str">
        <f>tblComponents[Sourcing_Type]</f>
        <v>Make</v>
      </c>
      <c r="F223" t="str">
        <f>tblComponents[Criticality]</f>
        <v>Medium</v>
      </c>
      <c r="G223">
        <f>tblComponents[Monthly_Demand]</f>
        <v>1081</v>
      </c>
      <c r="H223">
        <f>tblComponents[Demand_Growth_Rate]</f>
        <v>0.1077926614891766</v>
      </c>
      <c r="I223">
        <f>tblComponents[Forecast_Demand]</f>
        <v>1198</v>
      </c>
      <c r="J223">
        <f>tblComponents[Annual_Demand]</f>
        <v>6378</v>
      </c>
      <c r="K223">
        <f>tblComponents[Demand_Variability]</f>
        <v>0.1729</v>
      </c>
      <c r="L223">
        <f t="shared" si="3"/>
        <v>117</v>
      </c>
    </row>
    <row r="224" spans="1:12" x14ac:dyDescent="0.35">
      <c r="A224" s="8" t="str">
        <f>tblComponents[Component_ID]</f>
        <v>C223</v>
      </c>
      <c r="B224" s="8" t="str">
        <f>tblComponents[Component_Name]</f>
        <v>Component 223</v>
      </c>
      <c r="C224" t="str">
        <f>tblComponents[Product_Family]</f>
        <v>Interior</v>
      </c>
      <c r="D224" t="str">
        <f>tblComponents[Category]</f>
        <v>Electrical</v>
      </c>
      <c r="E224" t="str">
        <f>tblComponents[Sourcing_Type]</f>
        <v>Make</v>
      </c>
      <c r="F224" t="str">
        <f>tblComponents[Criticality]</f>
        <v>Critical</v>
      </c>
      <c r="G224">
        <f>tblComponents[Monthly_Demand]</f>
        <v>1685</v>
      </c>
      <c r="H224">
        <f>tblComponents[Demand_Growth_Rate]</f>
        <v>0.1025562873694103</v>
      </c>
      <c r="I224">
        <f>tblComponents[Forecast_Demand]</f>
        <v>1858</v>
      </c>
      <c r="J224">
        <f>tblComponents[Annual_Demand]</f>
        <v>17575</v>
      </c>
      <c r="K224">
        <f>tblComponents[Demand_Variability]</f>
        <v>0.23039999999999999</v>
      </c>
      <c r="L224">
        <f t="shared" si="3"/>
        <v>173</v>
      </c>
    </row>
    <row r="225" spans="1:12" x14ac:dyDescent="0.35">
      <c r="A225" s="8" t="str">
        <f>tblComponents[Component_ID]</f>
        <v>C224</v>
      </c>
      <c r="B225" s="8" t="str">
        <f>tblComponents[Component_Name]</f>
        <v>Component 224</v>
      </c>
      <c r="C225" t="str">
        <f>tblComponents[Product_Family]</f>
        <v>Body &amp; Exterior</v>
      </c>
      <c r="D225" t="str">
        <f>tblComponents[Category]</f>
        <v>Electrical</v>
      </c>
      <c r="E225" t="str">
        <f>tblComponents[Sourcing_Type]</f>
        <v>Make</v>
      </c>
      <c r="F225" t="str">
        <f>tblComponents[Criticality]</f>
        <v>Critical</v>
      </c>
      <c r="G225">
        <f>tblComponents[Monthly_Demand]</f>
        <v>1413</v>
      </c>
      <c r="H225">
        <f>tblComponents[Demand_Growth_Rate]</f>
        <v>-4.0928094346624463E-2</v>
      </c>
      <c r="I225">
        <f>tblComponents[Forecast_Demand]</f>
        <v>1355</v>
      </c>
      <c r="J225">
        <f>tblComponents[Annual_Demand]</f>
        <v>10650</v>
      </c>
      <c r="K225">
        <f>tblComponents[Demand_Variability]</f>
        <v>0.17419999999999999</v>
      </c>
      <c r="L225">
        <f t="shared" si="3"/>
        <v>-58</v>
      </c>
    </row>
    <row r="226" spans="1:12" x14ac:dyDescent="0.35">
      <c r="A226" s="8" t="str">
        <f>tblComponents[Component_ID]</f>
        <v>C225</v>
      </c>
      <c r="B226" s="8" t="str">
        <f>tblComponents[Component_Name]</f>
        <v>Component 225</v>
      </c>
      <c r="C226" t="str">
        <f>tblComponents[Product_Family]</f>
        <v>Chassis</v>
      </c>
      <c r="D226" t="str">
        <f>tblComponents[Category]</f>
        <v>Electrical</v>
      </c>
      <c r="E226" t="str">
        <f>tblComponents[Sourcing_Type]</f>
        <v>Make</v>
      </c>
      <c r="F226" t="str">
        <f>tblComponents[Criticality]</f>
        <v>Medium</v>
      </c>
      <c r="G226">
        <f>tblComponents[Monthly_Demand]</f>
        <v>1228</v>
      </c>
      <c r="H226">
        <f>tblComponents[Demand_Growth_Rate]</f>
        <v>0.14417763923879531</v>
      </c>
      <c r="I226">
        <f>tblComponents[Forecast_Demand]</f>
        <v>1405</v>
      </c>
      <c r="J226">
        <f>tblComponents[Annual_Demand]</f>
        <v>17433</v>
      </c>
      <c r="K226">
        <f>tblComponents[Demand_Variability]</f>
        <v>0.1709</v>
      </c>
      <c r="L226">
        <f t="shared" si="3"/>
        <v>177</v>
      </c>
    </row>
    <row r="227" spans="1:12" x14ac:dyDescent="0.35">
      <c r="A227" s="8" t="str">
        <f>tblComponents[Component_ID]</f>
        <v>C226</v>
      </c>
      <c r="B227" s="8" t="str">
        <f>tblComponents[Component_Name]</f>
        <v>Component 226</v>
      </c>
      <c r="C227" t="str">
        <f>tblComponents[Product_Family]</f>
        <v>Electrical Systems</v>
      </c>
      <c r="D227" t="str">
        <f>tblComponents[Category]</f>
        <v>Metal</v>
      </c>
      <c r="E227" t="str">
        <f>tblComponents[Sourcing_Type]</f>
        <v>Make</v>
      </c>
      <c r="F227" t="str">
        <f>tblComponents[Criticality]</f>
        <v>Low</v>
      </c>
      <c r="G227">
        <f>tblComponents[Monthly_Demand]</f>
        <v>1195</v>
      </c>
      <c r="H227">
        <f>tblComponents[Demand_Growth_Rate]</f>
        <v>2.8797380274339739E-2</v>
      </c>
      <c r="I227">
        <f>tblComponents[Forecast_Demand]</f>
        <v>1229</v>
      </c>
      <c r="J227">
        <f>tblComponents[Annual_Demand]</f>
        <v>70953</v>
      </c>
      <c r="K227">
        <f>tblComponents[Demand_Variability]</f>
        <v>0.1132</v>
      </c>
      <c r="L227">
        <f t="shared" si="3"/>
        <v>34</v>
      </c>
    </row>
    <row r="228" spans="1:12" x14ac:dyDescent="0.35">
      <c r="A228" s="8" t="str">
        <f>tblComponents[Component_ID]</f>
        <v>C227</v>
      </c>
      <c r="B228" s="8" t="str">
        <f>tblComponents[Component_Name]</f>
        <v>Component 227</v>
      </c>
      <c r="C228" t="str">
        <f>tblComponents[Product_Family]</f>
        <v>Powertrain</v>
      </c>
      <c r="D228" t="str">
        <f>tblComponents[Category]</f>
        <v>Metal</v>
      </c>
      <c r="E228" t="str">
        <f>tblComponents[Sourcing_Type]</f>
        <v>Make</v>
      </c>
      <c r="F228" t="str">
        <f>tblComponents[Criticality]</f>
        <v>Medium</v>
      </c>
      <c r="G228">
        <f>tblComponents[Monthly_Demand]</f>
        <v>1943</v>
      </c>
      <c r="H228">
        <f>tblComponents[Demand_Growth_Rate]</f>
        <v>0.184205615508273</v>
      </c>
      <c r="I228">
        <f>tblComponents[Forecast_Demand]</f>
        <v>2301</v>
      </c>
      <c r="J228">
        <f>tblComponents[Annual_Demand]</f>
        <v>33624</v>
      </c>
      <c r="K228">
        <f>tblComponents[Demand_Variability]</f>
        <v>0.10829999999999999</v>
      </c>
      <c r="L228">
        <f t="shared" si="3"/>
        <v>358</v>
      </c>
    </row>
    <row r="229" spans="1:12" x14ac:dyDescent="0.35">
      <c r="A229" s="8" t="str">
        <f>tblComponents[Component_ID]</f>
        <v>C228</v>
      </c>
      <c r="B229" s="8" t="str">
        <f>tblComponents[Component_Name]</f>
        <v>Component 228</v>
      </c>
      <c r="C229" t="str">
        <f>tblComponents[Product_Family]</f>
        <v>Chassis</v>
      </c>
      <c r="D229" t="str">
        <f>tblComponents[Category]</f>
        <v>Metal</v>
      </c>
      <c r="E229" t="str">
        <f>tblComponents[Sourcing_Type]</f>
        <v>Make</v>
      </c>
      <c r="F229" t="str">
        <f>tblComponents[Criticality]</f>
        <v>Low</v>
      </c>
      <c r="G229">
        <f>tblComponents[Monthly_Demand]</f>
        <v>630</v>
      </c>
      <c r="H229">
        <f>tblComponents[Demand_Growth_Rate]</f>
        <v>0.13128893188777871</v>
      </c>
      <c r="I229">
        <f>tblComponents[Forecast_Demand]</f>
        <v>713</v>
      </c>
      <c r="J229">
        <f>tblComponents[Annual_Demand]</f>
        <v>35350</v>
      </c>
      <c r="K229">
        <f>tblComponents[Demand_Variability]</f>
        <v>0.23580000000000001</v>
      </c>
      <c r="L229">
        <f t="shared" si="3"/>
        <v>83</v>
      </c>
    </row>
    <row r="230" spans="1:12" x14ac:dyDescent="0.35">
      <c r="A230" s="8" t="str">
        <f>tblComponents[Component_ID]</f>
        <v>C229</v>
      </c>
      <c r="B230" s="8" t="str">
        <f>tblComponents[Component_Name]</f>
        <v>Component 229</v>
      </c>
      <c r="C230" t="str">
        <f>tblComponents[Product_Family]</f>
        <v>Chassis</v>
      </c>
      <c r="D230" t="str">
        <f>tblComponents[Category]</f>
        <v>Metal</v>
      </c>
      <c r="E230" t="str">
        <f>tblComponents[Sourcing_Type]</f>
        <v>Make</v>
      </c>
      <c r="F230" t="str">
        <f>tblComponents[Criticality]</f>
        <v>Low</v>
      </c>
      <c r="G230">
        <f>tblComponents[Monthly_Demand]</f>
        <v>1160</v>
      </c>
      <c r="H230">
        <f>tblComponents[Demand_Growth_Rate]</f>
        <v>-1.218829281626636E-2</v>
      </c>
      <c r="I230">
        <f>tblComponents[Forecast_Demand]</f>
        <v>1146</v>
      </c>
      <c r="J230">
        <f>tblComponents[Annual_Demand]</f>
        <v>11487</v>
      </c>
      <c r="K230">
        <f>tblComponents[Demand_Variability]</f>
        <v>0.13569999999999999</v>
      </c>
      <c r="L230">
        <f t="shared" si="3"/>
        <v>-14</v>
      </c>
    </row>
    <row r="231" spans="1:12" x14ac:dyDescent="0.35">
      <c r="A231" s="8" t="str">
        <f>tblComponents[Component_ID]</f>
        <v>C230</v>
      </c>
      <c r="B231" s="8" t="str">
        <f>tblComponents[Component_Name]</f>
        <v>Component 230</v>
      </c>
      <c r="C231" t="str">
        <f>tblComponents[Product_Family]</f>
        <v>Chassis</v>
      </c>
      <c r="D231" t="str">
        <f>tblComponents[Category]</f>
        <v>Electrical</v>
      </c>
      <c r="E231" t="str">
        <f>tblComponents[Sourcing_Type]</f>
        <v>Make</v>
      </c>
      <c r="F231" t="str">
        <f>tblComponents[Criticality]</f>
        <v>Medium</v>
      </c>
      <c r="G231">
        <f>tblComponents[Monthly_Demand]</f>
        <v>2377</v>
      </c>
      <c r="H231">
        <f>tblComponents[Demand_Growth_Rate]</f>
        <v>5.0994469081637059E-2</v>
      </c>
      <c r="I231">
        <f>tblComponents[Forecast_Demand]</f>
        <v>2498</v>
      </c>
      <c r="J231">
        <f>tblComponents[Annual_Demand]</f>
        <v>38988</v>
      </c>
      <c r="K231">
        <f>tblComponents[Demand_Variability]</f>
        <v>0.14330000000000001</v>
      </c>
      <c r="L231">
        <f t="shared" si="3"/>
        <v>121</v>
      </c>
    </row>
    <row r="232" spans="1:12" x14ac:dyDescent="0.35">
      <c r="A232" s="8" t="str">
        <f>tblComponents[Component_ID]</f>
        <v>C231</v>
      </c>
      <c r="B232" s="8" t="str">
        <f>tblComponents[Component_Name]</f>
        <v>Component 231</v>
      </c>
      <c r="C232" t="str">
        <f>tblComponents[Product_Family]</f>
        <v>Body &amp; Exterior</v>
      </c>
      <c r="D232" t="str">
        <f>tblComponents[Category]</f>
        <v>Metal</v>
      </c>
      <c r="E232" t="str">
        <f>tblComponents[Sourcing_Type]</f>
        <v>Make</v>
      </c>
      <c r="F232" t="str">
        <f>tblComponents[Criticality]</f>
        <v>High</v>
      </c>
      <c r="G232">
        <f>tblComponents[Monthly_Demand]</f>
        <v>429</v>
      </c>
      <c r="H232">
        <f>tblComponents[Demand_Growth_Rate]</f>
        <v>-8.5563649591810648E-3</v>
      </c>
      <c r="I232">
        <f>tblComponents[Forecast_Demand]</f>
        <v>425</v>
      </c>
      <c r="J232">
        <f>tblComponents[Annual_Demand]</f>
        <v>30470</v>
      </c>
      <c r="K232">
        <f>tblComponents[Demand_Variability]</f>
        <v>0.2092</v>
      </c>
      <c r="L232">
        <f t="shared" si="3"/>
        <v>-4</v>
      </c>
    </row>
    <row r="233" spans="1:12" x14ac:dyDescent="0.35">
      <c r="A233" s="8" t="str">
        <f>tblComponents[Component_ID]</f>
        <v>C232</v>
      </c>
      <c r="B233" s="8" t="str">
        <f>tblComponents[Component_Name]</f>
        <v>Component 232</v>
      </c>
      <c r="C233" t="str">
        <f>tblComponents[Product_Family]</f>
        <v>Interior</v>
      </c>
      <c r="D233" t="str">
        <f>tblComponents[Category]</f>
        <v>Electrical</v>
      </c>
      <c r="E233" t="str">
        <f>tblComponents[Sourcing_Type]</f>
        <v>Make</v>
      </c>
      <c r="F233" t="str">
        <f>tblComponents[Criticality]</f>
        <v>Medium</v>
      </c>
      <c r="G233">
        <f>tblComponents[Monthly_Demand]</f>
        <v>585</v>
      </c>
      <c r="H233">
        <f>tblComponents[Demand_Growth_Rate]</f>
        <v>2.2646889951588769E-2</v>
      </c>
      <c r="I233">
        <f>tblComponents[Forecast_Demand]</f>
        <v>598</v>
      </c>
      <c r="J233">
        <f>tblComponents[Annual_Demand]</f>
        <v>39704</v>
      </c>
      <c r="K233">
        <f>tblComponents[Demand_Variability]</f>
        <v>0.1376</v>
      </c>
      <c r="L233">
        <f t="shared" si="3"/>
        <v>13</v>
      </c>
    </row>
    <row r="234" spans="1:12" x14ac:dyDescent="0.35">
      <c r="A234" s="8" t="str">
        <f>tblComponents[Component_ID]</f>
        <v>C233</v>
      </c>
      <c r="B234" s="8" t="str">
        <f>tblComponents[Component_Name]</f>
        <v>Component 233</v>
      </c>
      <c r="C234" t="str">
        <f>tblComponents[Product_Family]</f>
        <v>Powertrain</v>
      </c>
      <c r="D234" t="str">
        <f>tblComponents[Category]</f>
        <v>Metal</v>
      </c>
      <c r="E234" t="str">
        <f>tblComponents[Sourcing_Type]</f>
        <v>Make</v>
      </c>
      <c r="F234" t="str">
        <f>tblComponents[Criticality]</f>
        <v>Medium</v>
      </c>
      <c r="G234">
        <f>tblComponents[Monthly_Demand]</f>
        <v>531</v>
      </c>
      <c r="H234">
        <f>tblComponents[Demand_Growth_Rate]</f>
        <v>1.4655208722009689E-2</v>
      </c>
      <c r="I234">
        <f>tblComponents[Forecast_Demand]</f>
        <v>539</v>
      </c>
      <c r="J234">
        <f>tblComponents[Annual_Demand]</f>
        <v>9248</v>
      </c>
      <c r="K234">
        <f>tblComponents[Demand_Variability]</f>
        <v>0.2419</v>
      </c>
      <c r="L234">
        <f t="shared" si="3"/>
        <v>8</v>
      </c>
    </row>
    <row r="235" spans="1:12" x14ac:dyDescent="0.35">
      <c r="A235" s="8" t="str">
        <f>tblComponents[Component_ID]</f>
        <v>C234</v>
      </c>
      <c r="B235" s="8" t="str">
        <f>tblComponents[Component_Name]</f>
        <v>Component 234</v>
      </c>
      <c r="C235" t="str">
        <f>tblComponents[Product_Family]</f>
        <v>Chassis</v>
      </c>
      <c r="D235" t="str">
        <f>tblComponents[Category]</f>
        <v>Electrical</v>
      </c>
      <c r="E235" t="str">
        <f>tblComponents[Sourcing_Type]</f>
        <v>Make</v>
      </c>
      <c r="F235" t="str">
        <f>tblComponents[Criticality]</f>
        <v>High</v>
      </c>
      <c r="G235">
        <f>tblComponents[Monthly_Demand]</f>
        <v>313</v>
      </c>
      <c r="H235">
        <f>tblComponents[Demand_Growth_Rate]</f>
        <v>-9.5950471785321428E-3</v>
      </c>
      <c r="I235">
        <f>tblComponents[Forecast_Demand]</f>
        <v>310</v>
      </c>
      <c r="J235">
        <f>tblComponents[Annual_Demand]</f>
        <v>44377</v>
      </c>
      <c r="K235">
        <f>tblComponents[Demand_Variability]</f>
        <v>0.2054</v>
      </c>
      <c r="L235">
        <f t="shared" si="3"/>
        <v>-3</v>
      </c>
    </row>
    <row r="236" spans="1:12" x14ac:dyDescent="0.35">
      <c r="A236" s="8" t="str">
        <f>tblComponents[Component_ID]</f>
        <v>C235</v>
      </c>
      <c r="B236" s="8" t="str">
        <f>tblComponents[Component_Name]</f>
        <v>Component 235</v>
      </c>
      <c r="C236" t="str">
        <f>tblComponents[Product_Family]</f>
        <v>Interior</v>
      </c>
      <c r="D236" t="str">
        <f>tblComponents[Category]</f>
        <v>Metal</v>
      </c>
      <c r="E236" t="str">
        <f>tblComponents[Sourcing_Type]</f>
        <v>Make</v>
      </c>
      <c r="F236" t="str">
        <f>tblComponents[Criticality]</f>
        <v>Medium</v>
      </c>
      <c r="G236">
        <f>tblComponents[Monthly_Demand]</f>
        <v>1259</v>
      </c>
      <c r="H236">
        <f>tblComponents[Demand_Growth_Rate]</f>
        <v>6.5982844203083188E-2</v>
      </c>
      <c r="I236">
        <f>tblComponents[Forecast_Demand]</f>
        <v>1342</v>
      </c>
      <c r="J236">
        <f>tblComponents[Annual_Demand]</f>
        <v>43572</v>
      </c>
      <c r="K236">
        <f>tblComponents[Demand_Variability]</f>
        <v>0.18160000000000001</v>
      </c>
      <c r="L236">
        <f t="shared" si="3"/>
        <v>83</v>
      </c>
    </row>
    <row r="237" spans="1:12" x14ac:dyDescent="0.35">
      <c r="A237" s="8" t="str">
        <f>tblComponents[Component_ID]</f>
        <v>C236</v>
      </c>
      <c r="B237" s="8" t="str">
        <f>tblComponents[Component_Name]</f>
        <v>Component 236</v>
      </c>
      <c r="C237" t="str">
        <f>tblComponents[Product_Family]</f>
        <v>Electrical Systems</v>
      </c>
      <c r="D237" t="str">
        <f>tblComponents[Category]</f>
        <v>Metal</v>
      </c>
      <c r="E237" t="str">
        <f>tblComponents[Sourcing_Type]</f>
        <v>Make</v>
      </c>
      <c r="F237" t="str">
        <f>tblComponents[Criticality]</f>
        <v>Medium</v>
      </c>
      <c r="G237">
        <f>tblComponents[Monthly_Demand]</f>
        <v>277</v>
      </c>
      <c r="H237">
        <f>tblComponents[Demand_Growth_Rate]</f>
        <v>-2.6648007006176099E-2</v>
      </c>
      <c r="I237">
        <f>tblComponents[Forecast_Demand]</f>
        <v>270</v>
      </c>
      <c r="J237">
        <f>tblComponents[Annual_Demand]</f>
        <v>65440</v>
      </c>
      <c r="K237">
        <f>tblComponents[Demand_Variability]</f>
        <v>0.2298</v>
      </c>
      <c r="L237">
        <f t="shared" si="3"/>
        <v>-7</v>
      </c>
    </row>
    <row r="238" spans="1:12" x14ac:dyDescent="0.35">
      <c r="A238" s="8" t="str">
        <f>tblComponents[Component_ID]</f>
        <v>C237</v>
      </c>
      <c r="B238" s="8" t="str">
        <f>tblComponents[Component_Name]</f>
        <v>Component 237</v>
      </c>
      <c r="C238" t="str">
        <f>tblComponents[Product_Family]</f>
        <v>Powertrain</v>
      </c>
      <c r="D238" t="str">
        <f>tblComponents[Category]</f>
        <v>Metal</v>
      </c>
      <c r="E238" t="str">
        <f>tblComponents[Sourcing_Type]</f>
        <v>Make</v>
      </c>
      <c r="F238" t="str">
        <f>tblComponents[Criticality]</f>
        <v>Medium</v>
      </c>
      <c r="G238">
        <f>tblComponents[Monthly_Demand]</f>
        <v>184</v>
      </c>
      <c r="H238">
        <f>tblComponents[Demand_Growth_Rate]</f>
        <v>2.808727547137839E-2</v>
      </c>
      <c r="I238">
        <f>tblComponents[Forecast_Demand]</f>
        <v>189</v>
      </c>
      <c r="J238">
        <f>tblComponents[Annual_Demand]</f>
        <v>86683</v>
      </c>
      <c r="K238">
        <f>tblComponents[Demand_Variability]</f>
        <v>8.8400000000000006E-2</v>
      </c>
      <c r="L238">
        <f t="shared" si="3"/>
        <v>5</v>
      </c>
    </row>
    <row r="239" spans="1:12" x14ac:dyDescent="0.35">
      <c r="A239" s="8" t="str">
        <f>tblComponents[Component_ID]</f>
        <v>C238</v>
      </c>
      <c r="B239" s="8" t="str">
        <f>tblComponents[Component_Name]</f>
        <v>Component 238</v>
      </c>
      <c r="C239" t="str">
        <f>tblComponents[Product_Family]</f>
        <v>Powertrain</v>
      </c>
      <c r="D239" t="str">
        <f>tblComponents[Category]</f>
        <v>Electrical</v>
      </c>
      <c r="E239" t="str">
        <f>tblComponents[Sourcing_Type]</f>
        <v>Make</v>
      </c>
      <c r="F239" t="str">
        <f>tblComponents[Criticality]</f>
        <v>Medium</v>
      </c>
      <c r="G239">
        <f>tblComponents[Monthly_Demand]</f>
        <v>885</v>
      </c>
      <c r="H239">
        <f>tblComponents[Demand_Growth_Rate]</f>
        <v>2.9190419266881661E-2</v>
      </c>
      <c r="I239">
        <f>tblComponents[Forecast_Demand]</f>
        <v>911</v>
      </c>
      <c r="J239">
        <f>tblComponents[Annual_Demand]</f>
        <v>49844</v>
      </c>
      <c r="K239">
        <f>tblComponents[Demand_Variability]</f>
        <v>0.1237</v>
      </c>
      <c r="L239">
        <f t="shared" si="3"/>
        <v>26</v>
      </c>
    </row>
    <row r="240" spans="1:12" x14ac:dyDescent="0.35">
      <c r="A240" s="8" t="str">
        <f>tblComponents[Component_ID]</f>
        <v>C239</v>
      </c>
      <c r="B240" s="8" t="str">
        <f>tblComponents[Component_Name]</f>
        <v>Component 239</v>
      </c>
      <c r="C240" t="str">
        <f>tblComponents[Product_Family]</f>
        <v>Interior</v>
      </c>
      <c r="D240" t="str">
        <f>tblComponents[Category]</f>
        <v>Metal</v>
      </c>
      <c r="E240" t="str">
        <f>tblComponents[Sourcing_Type]</f>
        <v>Make</v>
      </c>
      <c r="F240" t="str">
        <f>tblComponents[Criticality]</f>
        <v>High</v>
      </c>
      <c r="G240">
        <f>tblComponents[Monthly_Demand]</f>
        <v>1019</v>
      </c>
      <c r="H240">
        <f>tblComponents[Demand_Growth_Rate]</f>
        <v>0.17349742750196759</v>
      </c>
      <c r="I240">
        <f>tblComponents[Forecast_Demand]</f>
        <v>1196</v>
      </c>
      <c r="J240">
        <f>tblComponents[Annual_Demand]</f>
        <v>19226</v>
      </c>
      <c r="K240">
        <f>tblComponents[Demand_Variability]</f>
        <v>0.15909999999999999</v>
      </c>
      <c r="L240">
        <f t="shared" si="3"/>
        <v>177</v>
      </c>
    </row>
    <row r="241" spans="1:12" x14ac:dyDescent="0.35">
      <c r="A241" s="8" t="str">
        <f>tblComponents[Component_ID]</f>
        <v>C240</v>
      </c>
      <c r="B241" s="8" t="str">
        <f>tblComponents[Component_Name]</f>
        <v>Component 240</v>
      </c>
      <c r="C241" t="str">
        <f>tblComponents[Product_Family]</f>
        <v>Powertrain</v>
      </c>
      <c r="D241" t="str">
        <f>tblComponents[Category]</f>
        <v>Metal</v>
      </c>
      <c r="E241" t="str">
        <f>tblComponents[Sourcing_Type]</f>
        <v>Make</v>
      </c>
      <c r="F241" t="str">
        <f>tblComponents[Criticality]</f>
        <v>Critical</v>
      </c>
      <c r="G241">
        <f>tblComponents[Monthly_Demand]</f>
        <v>111</v>
      </c>
      <c r="H241">
        <f>tblComponents[Demand_Growth_Rate]</f>
        <v>0.13493258302138519</v>
      </c>
      <c r="I241">
        <f>tblComponents[Forecast_Demand]</f>
        <v>126</v>
      </c>
      <c r="J241">
        <f>tblComponents[Annual_Demand]</f>
        <v>18744</v>
      </c>
      <c r="K241">
        <f>tblComponents[Demand_Variability]</f>
        <v>0.1186</v>
      </c>
      <c r="L241">
        <f t="shared" si="3"/>
        <v>15</v>
      </c>
    </row>
    <row r="242" spans="1:12" x14ac:dyDescent="0.35">
      <c r="A242" s="8" t="str">
        <f>tblComponents[Component_ID]</f>
        <v>C241</v>
      </c>
      <c r="B242" s="8" t="str">
        <f>tblComponents[Component_Name]</f>
        <v>Component 241</v>
      </c>
      <c r="C242" t="str">
        <f>tblComponents[Product_Family]</f>
        <v>Interior</v>
      </c>
      <c r="D242" t="str">
        <f>tblComponents[Category]</f>
        <v>Metal</v>
      </c>
      <c r="E242" t="str">
        <f>tblComponents[Sourcing_Type]</f>
        <v>Make</v>
      </c>
      <c r="F242" t="str">
        <f>tblComponents[Criticality]</f>
        <v>Medium</v>
      </c>
      <c r="G242">
        <f>tblComponents[Monthly_Demand]</f>
        <v>1423</v>
      </c>
      <c r="H242">
        <f>tblComponents[Demand_Growth_Rate]</f>
        <v>0.17048193957616101</v>
      </c>
      <c r="I242">
        <f>tblComponents[Forecast_Demand]</f>
        <v>1666</v>
      </c>
      <c r="J242">
        <f>tblComponents[Annual_Demand]</f>
        <v>43026</v>
      </c>
      <c r="K242">
        <f>tblComponents[Demand_Variability]</f>
        <v>0.20649999999999999</v>
      </c>
      <c r="L242">
        <f t="shared" si="3"/>
        <v>243</v>
      </c>
    </row>
    <row r="243" spans="1:12" x14ac:dyDescent="0.35">
      <c r="A243" s="8" t="str">
        <f>tblComponents[Component_ID]</f>
        <v>C242</v>
      </c>
      <c r="B243" s="8" t="str">
        <f>tblComponents[Component_Name]</f>
        <v>Component 242</v>
      </c>
      <c r="C243" t="str">
        <f>tblComponents[Product_Family]</f>
        <v>Powertrain</v>
      </c>
      <c r="D243" t="str">
        <f>tblComponents[Category]</f>
        <v>Metal</v>
      </c>
      <c r="E243" t="str">
        <f>tblComponents[Sourcing_Type]</f>
        <v>Make</v>
      </c>
      <c r="F243" t="str">
        <f>tblComponents[Criticality]</f>
        <v>Medium</v>
      </c>
      <c r="G243">
        <f>tblComponents[Monthly_Demand]</f>
        <v>253</v>
      </c>
      <c r="H243">
        <f>tblComponents[Demand_Growth_Rate]</f>
        <v>-3.0148353839242619E-2</v>
      </c>
      <c r="I243">
        <f>tblComponents[Forecast_Demand]</f>
        <v>245</v>
      </c>
      <c r="J243">
        <f>tblComponents[Annual_Demand]</f>
        <v>20594</v>
      </c>
      <c r="K243">
        <f>tblComponents[Demand_Variability]</f>
        <v>0.23630000000000001</v>
      </c>
      <c r="L243">
        <f t="shared" si="3"/>
        <v>-8</v>
      </c>
    </row>
    <row r="244" spans="1:12" x14ac:dyDescent="0.35">
      <c r="A244" s="8" t="str">
        <f>tblComponents[Component_ID]</f>
        <v>C243</v>
      </c>
      <c r="B244" s="8" t="str">
        <f>tblComponents[Component_Name]</f>
        <v>Component 243</v>
      </c>
      <c r="C244" t="str">
        <f>tblComponents[Product_Family]</f>
        <v>Powertrain</v>
      </c>
      <c r="D244" t="str">
        <f>tblComponents[Category]</f>
        <v>Electrical</v>
      </c>
      <c r="E244" t="str">
        <f>tblComponents[Sourcing_Type]</f>
        <v>Make</v>
      </c>
      <c r="F244" t="str">
        <f>tblComponents[Criticality]</f>
        <v>Medium</v>
      </c>
      <c r="G244">
        <f>tblComponents[Monthly_Demand]</f>
        <v>476</v>
      </c>
      <c r="H244">
        <f>tblComponents[Demand_Growth_Rate]</f>
        <v>6.7791974733203655E-2</v>
      </c>
      <c r="I244">
        <f>tblComponents[Forecast_Demand]</f>
        <v>508</v>
      </c>
      <c r="J244">
        <f>tblComponents[Annual_Demand]</f>
        <v>12349</v>
      </c>
      <c r="K244">
        <f>tblComponents[Demand_Variability]</f>
        <v>0.152</v>
      </c>
      <c r="L244">
        <f t="shared" si="3"/>
        <v>32</v>
      </c>
    </row>
    <row r="245" spans="1:12" x14ac:dyDescent="0.35">
      <c r="A245" s="8" t="str">
        <f>tblComponents[Component_ID]</f>
        <v>C244</v>
      </c>
      <c r="B245" s="8" t="str">
        <f>tblComponents[Component_Name]</f>
        <v>Component 244</v>
      </c>
      <c r="C245" t="str">
        <f>tblComponents[Product_Family]</f>
        <v>Electrical Systems</v>
      </c>
      <c r="D245" t="str">
        <f>tblComponents[Category]</f>
        <v>Metal</v>
      </c>
      <c r="E245" t="str">
        <f>tblComponents[Sourcing_Type]</f>
        <v>Make</v>
      </c>
      <c r="F245" t="str">
        <f>tblComponents[Criticality]</f>
        <v>Low</v>
      </c>
      <c r="G245">
        <f>tblComponents[Monthly_Demand]</f>
        <v>1485</v>
      </c>
      <c r="H245">
        <f>tblComponents[Demand_Growth_Rate]</f>
        <v>1.1084985196616531E-2</v>
      </c>
      <c r="I245">
        <f>tblComponents[Forecast_Demand]</f>
        <v>1501</v>
      </c>
      <c r="J245">
        <f>tblComponents[Annual_Demand]</f>
        <v>22371</v>
      </c>
      <c r="K245">
        <f>tblComponents[Demand_Variability]</f>
        <v>0.13819999999999999</v>
      </c>
      <c r="L245">
        <f t="shared" si="3"/>
        <v>16</v>
      </c>
    </row>
    <row r="246" spans="1:12" x14ac:dyDescent="0.35">
      <c r="A246" s="8" t="str">
        <f>tblComponents[Component_ID]</f>
        <v>C245</v>
      </c>
      <c r="B246" s="8" t="str">
        <f>tblComponents[Component_Name]</f>
        <v>Component 245</v>
      </c>
      <c r="C246" t="str">
        <f>tblComponents[Product_Family]</f>
        <v>Powertrain</v>
      </c>
      <c r="D246" t="str">
        <f>tblComponents[Category]</f>
        <v>Electrical</v>
      </c>
      <c r="E246" t="str">
        <f>tblComponents[Sourcing_Type]</f>
        <v>Make</v>
      </c>
      <c r="F246" t="str">
        <f>tblComponents[Criticality]</f>
        <v>Low</v>
      </c>
      <c r="G246">
        <f>tblComponents[Monthly_Demand]</f>
        <v>437</v>
      </c>
      <c r="H246">
        <f>tblComponents[Demand_Growth_Rate]</f>
        <v>0.1372065842408266</v>
      </c>
      <c r="I246">
        <f>tblComponents[Forecast_Demand]</f>
        <v>497</v>
      </c>
      <c r="J246">
        <f>tblComponents[Annual_Demand]</f>
        <v>33028</v>
      </c>
      <c r="K246">
        <f>tblComponents[Demand_Variability]</f>
        <v>0.24349999999999999</v>
      </c>
      <c r="L246">
        <f t="shared" si="3"/>
        <v>60</v>
      </c>
    </row>
    <row r="247" spans="1:12" x14ac:dyDescent="0.35">
      <c r="A247" s="8" t="str">
        <f>tblComponents[Component_ID]</f>
        <v>C246</v>
      </c>
      <c r="B247" s="8" t="str">
        <f>tblComponents[Component_Name]</f>
        <v>Component 246</v>
      </c>
      <c r="C247" t="str">
        <f>tblComponents[Product_Family]</f>
        <v>Electrical Systems</v>
      </c>
      <c r="D247" t="str">
        <f>tblComponents[Category]</f>
        <v>Metal</v>
      </c>
      <c r="E247" t="str">
        <f>tblComponents[Sourcing_Type]</f>
        <v>Make</v>
      </c>
      <c r="F247" t="str">
        <f>tblComponents[Criticality]</f>
        <v>Medium</v>
      </c>
      <c r="G247">
        <f>tblComponents[Monthly_Demand]</f>
        <v>388</v>
      </c>
      <c r="H247">
        <f>tblComponents[Demand_Growth_Rate]</f>
        <v>-1.8433814608874319E-2</v>
      </c>
      <c r="I247">
        <f>tblComponents[Forecast_Demand]</f>
        <v>381</v>
      </c>
      <c r="J247">
        <f>tblComponents[Annual_Demand]</f>
        <v>28593</v>
      </c>
      <c r="K247">
        <f>tblComponents[Demand_Variability]</f>
        <v>0.15559999999999999</v>
      </c>
      <c r="L247">
        <f t="shared" si="3"/>
        <v>-7</v>
      </c>
    </row>
    <row r="248" spans="1:12" x14ac:dyDescent="0.35">
      <c r="A248" s="8" t="str">
        <f>tblComponents[Component_ID]</f>
        <v>C247</v>
      </c>
      <c r="B248" s="8" t="str">
        <f>tblComponents[Component_Name]</f>
        <v>Component 247</v>
      </c>
      <c r="C248" t="str">
        <f>tblComponents[Product_Family]</f>
        <v>Chassis</v>
      </c>
      <c r="D248" t="str">
        <f>tblComponents[Category]</f>
        <v>Electrical</v>
      </c>
      <c r="E248" t="str">
        <f>tblComponents[Sourcing_Type]</f>
        <v>Make</v>
      </c>
      <c r="F248" t="str">
        <f>tblComponents[Criticality]</f>
        <v>High</v>
      </c>
      <c r="G248">
        <f>tblComponents[Monthly_Demand]</f>
        <v>223</v>
      </c>
      <c r="H248">
        <f>tblComponents[Demand_Growth_Rate]</f>
        <v>0.1979356542919597</v>
      </c>
      <c r="I248">
        <f>tblComponents[Forecast_Demand]</f>
        <v>267</v>
      </c>
      <c r="J248">
        <f>tblComponents[Annual_Demand]</f>
        <v>40377</v>
      </c>
      <c r="K248">
        <f>tblComponents[Demand_Variability]</f>
        <v>0.16309999999999999</v>
      </c>
      <c r="L248">
        <f t="shared" si="3"/>
        <v>44</v>
      </c>
    </row>
    <row r="249" spans="1:12" x14ac:dyDescent="0.35">
      <c r="A249" s="8" t="str">
        <f>tblComponents[Component_ID]</f>
        <v>C248</v>
      </c>
      <c r="B249" s="8" t="str">
        <f>tblComponents[Component_Name]</f>
        <v>Component 248</v>
      </c>
      <c r="C249" t="str">
        <f>tblComponents[Product_Family]</f>
        <v>Powertrain</v>
      </c>
      <c r="D249" t="str">
        <f>tblComponents[Category]</f>
        <v>Metal</v>
      </c>
      <c r="E249" t="str">
        <f>tblComponents[Sourcing_Type]</f>
        <v>Make</v>
      </c>
      <c r="F249" t="str">
        <f>tblComponents[Criticality]</f>
        <v>High</v>
      </c>
      <c r="G249">
        <f>tblComponents[Monthly_Demand]</f>
        <v>1032</v>
      </c>
      <c r="H249">
        <f>tblComponents[Demand_Growth_Rate]</f>
        <v>-4.1702661359393448E-2</v>
      </c>
      <c r="I249">
        <f>tblComponents[Forecast_Demand]</f>
        <v>989</v>
      </c>
      <c r="J249">
        <f>tblComponents[Annual_Demand]</f>
        <v>23255</v>
      </c>
      <c r="K249">
        <f>tblComponents[Demand_Variability]</f>
        <v>0.13980000000000001</v>
      </c>
      <c r="L249">
        <f t="shared" si="3"/>
        <v>-43</v>
      </c>
    </row>
    <row r="250" spans="1:12" x14ac:dyDescent="0.35">
      <c r="A250" s="8" t="str">
        <f>tblComponents[Component_ID]</f>
        <v>C249</v>
      </c>
      <c r="B250" s="8" t="str">
        <f>tblComponents[Component_Name]</f>
        <v>Component 249</v>
      </c>
      <c r="C250" t="str">
        <f>tblComponents[Product_Family]</f>
        <v>Body &amp; Exterior</v>
      </c>
      <c r="D250" t="str">
        <f>tblComponents[Category]</f>
        <v>Electrical</v>
      </c>
      <c r="E250" t="str">
        <f>tblComponents[Sourcing_Type]</f>
        <v>Make</v>
      </c>
      <c r="F250" t="str">
        <f>tblComponents[Criticality]</f>
        <v>Medium</v>
      </c>
      <c r="G250">
        <f>tblComponents[Monthly_Demand]</f>
        <v>432</v>
      </c>
      <c r="H250">
        <f>tblComponents[Demand_Growth_Rate]</f>
        <v>0.17471184704506179</v>
      </c>
      <c r="I250">
        <f>tblComponents[Forecast_Demand]</f>
        <v>507</v>
      </c>
      <c r="J250">
        <f>tblComponents[Annual_Demand]</f>
        <v>29299</v>
      </c>
      <c r="K250">
        <f>tblComponents[Demand_Variability]</f>
        <v>0.2346</v>
      </c>
      <c r="L250">
        <f t="shared" si="3"/>
        <v>75</v>
      </c>
    </row>
    <row r="251" spans="1:12" x14ac:dyDescent="0.35">
      <c r="A251" s="8" t="str">
        <f>tblComponents[Component_ID]</f>
        <v>C250</v>
      </c>
      <c r="B251" s="8" t="str">
        <f>tblComponents[Component_Name]</f>
        <v>Component 250</v>
      </c>
      <c r="C251" t="str">
        <f>tblComponents[Product_Family]</f>
        <v>Interior</v>
      </c>
      <c r="D251" t="str">
        <f>tblComponents[Category]</f>
        <v>Metal</v>
      </c>
      <c r="E251" t="str">
        <f>tblComponents[Sourcing_Type]</f>
        <v>Make</v>
      </c>
      <c r="F251" t="str">
        <f>tblComponents[Criticality]</f>
        <v>Medium</v>
      </c>
      <c r="G251">
        <f>tblComponents[Monthly_Demand]</f>
        <v>641</v>
      </c>
      <c r="H251">
        <f>tblComponents[Demand_Growth_Rate]</f>
        <v>0.1661409023806675</v>
      </c>
      <c r="I251">
        <f>tblComponents[Forecast_Demand]</f>
        <v>747</v>
      </c>
      <c r="J251">
        <f>tblComponents[Annual_Demand]</f>
        <v>63776</v>
      </c>
      <c r="K251">
        <f>tblComponents[Demand_Variability]</f>
        <v>0.1767</v>
      </c>
      <c r="L251">
        <f t="shared" si="3"/>
        <v>106</v>
      </c>
    </row>
    <row r="252" spans="1:12" x14ac:dyDescent="0.35">
      <c r="A252" s="8" t="str">
        <f>tblComponents[Component_ID]</f>
        <v>C251</v>
      </c>
      <c r="B252" s="8" t="str">
        <f>tblComponents[Component_Name]</f>
        <v>Component 251</v>
      </c>
      <c r="C252" t="str">
        <f>tblComponents[Product_Family]</f>
        <v>Chassis</v>
      </c>
      <c r="D252" t="str">
        <f>tblComponents[Category]</f>
        <v>Electrical</v>
      </c>
      <c r="E252" t="str">
        <f>tblComponents[Sourcing_Type]</f>
        <v>Make</v>
      </c>
      <c r="F252" t="str">
        <f>tblComponents[Criticality]</f>
        <v>Medium</v>
      </c>
      <c r="G252">
        <f>tblComponents[Monthly_Demand]</f>
        <v>1855</v>
      </c>
      <c r="H252">
        <f>tblComponents[Demand_Growth_Rate]</f>
        <v>-4.3206245977288962E-2</v>
      </c>
      <c r="I252">
        <f>tblComponents[Forecast_Demand]</f>
        <v>1775</v>
      </c>
      <c r="J252">
        <f>tblComponents[Annual_Demand]</f>
        <v>33783</v>
      </c>
      <c r="K252">
        <f>tblComponents[Demand_Variability]</f>
        <v>0.20960000000000001</v>
      </c>
      <c r="L252">
        <f t="shared" si="3"/>
        <v>-80</v>
      </c>
    </row>
    <row r="253" spans="1:12" x14ac:dyDescent="0.35">
      <c r="A253" s="8" t="str">
        <f>tblComponents[Component_ID]</f>
        <v>C252</v>
      </c>
      <c r="B253" s="8" t="str">
        <f>tblComponents[Component_Name]</f>
        <v>Component 252</v>
      </c>
      <c r="C253" t="str">
        <f>tblComponents[Product_Family]</f>
        <v>Powertrain</v>
      </c>
      <c r="D253" t="str">
        <f>tblComponents[Category]</f>
        <v>Electrical</v>
      </c>
      <c r="E253" t="str">
        <f>tblComponents[Sourcing_Type]</f>
        <v>Make</v>
      </c>
      <c r="F253" t="str">
        <f>tblComponents[Criticality]</f>
        <v>Low</v>
      </c>
      <c r="G253">
        <f>tblComponents[Monthly_Demand]</f>
        <v>783</v>
      </c>
      <c r="H253">
        <f>tblComponents[Demand_Growth_Rate]</f>
        <v>-4.5498361099886378E-2</v>
      </c>
      <c r="I253">
        <f>tblComponents[Forecast_Demand]</f>
        <v>747</v>
      </c>
      <c r="J253">
        <f>tblComponents[Annual_Demand]</f>
        <v>26905</v>
      </c>
      <c r="K253">
        <f>tblComponents[Demand_Variability]</f>
        <v>0.218</v>
      </c>
      <c r="L253">
        <f t="shared" si="3"/>
        <v>-36</v>
      </c>
    </row>
    <row r="254" spans="1:12" x14ac:dyDescent="0.35">
      <c r="A254" s="8" t="str">
        <f>tblComponents[Component_ID]</f>
        <v>C253</v>
      </c>
      <c r="B254" s="8" t="str">
        <f>tblComponents[Component_Name]</f>
        <v>Component 253</v>
      </c>
      <c r="C254" t="str">
        <f>tblComponents[Product_Family]</f>
        <v>Body &amp; Exterior</v>
      </c>
      <c r="D254" t="str">
        <f>tblComponents[Category]</f>
        <v>Metal</v>
      </c>
      <c r="E254" t="str">
        <f>tblComponents[Sourcing_Type]</f>
        <v>Make</v>
      </c>
      <c r="F254" t="str">
        <f>tblComponents[Criticality]</f>
        <v>High</v>
      </c>
      <c r="G254">
        <f>tblComponents[Monthly_Demand]</f>
        <v>497</v>
      </c>
      <c r="H254">
        <f>tblComponents[Demand_Growth_Rate]</f>
        <v>4.6107957208267741E-3</v>
      </c>
      <c r="I254">
        <f>tblComponents[Forecast_Demand]</f>
        <v>499</v>
      </c>
      <c r="J254">
        <f>tblComponents[Annual_Demand]</f>
        <v>20905</v>
      </c>
      <c r="K254">
        <f>tblComponents[Demand_Variability]</f>
        <v>0.1381</v>
      </c>
      <c r="L254">
        <f t="shared" si="3"/>
        <v>2</v>
      </c>
    </row>
    <row r="255" spans="1:12" x14ac:dyDescent="0.35">
      <c r="A255" s="8" t="str">
        <f>tblComponents[Component_ID]</f>
        <v>C254</v>
      </c>
      <c r="B255" s="8" t="str">
        <f>tblComponents[Component_Name]</f>
        <v>Component 254</v>
      </c>
      <c r="C255" t="str">
        <f>tblComponents[Product_Family]</f>
        <v>Powertrain</v>
      </c>
      <c r="D255" t="str">
        <f>tblComponents[Category]</f>
        <v>Metal</v>
      </c>
      <c r="E255" t="str">
        <f>tblComponents[Sourcing_Type]</f>
        <v>Make</v>
      </c>
      <c r="F255" t="str">
        <f>tblComponents[Criticality]</f>
        <v>Medium</v>
      </c>
      <c r="G255">
        <f>tblComponents[Monthly_Demand]</f>
        <v>1153</v>
      </c>
      <c r="H255">
        <f>tblComponents[Demand_Growth_Rate]</f>
        <v>9.95893710744397E-2</v>
      </c>
      <c r="I255">
        <f>tblComponents[Forecast_Demand]</f>
        <v>1268</v>
      </c>
      <c r="J255">
        <f>tblComponents[Annual_Demand]</f>
        <v>85161</v>
      </c>
      <c r="K255">
        <f>tblComponents[Demand_Variability]</f>
        <v>0.1537</v>
      </c>
      <c r="L255">
        <f t="shared" si="3"/>
        <v>115</v>
      </c>
    </row>
    <row r="256" spans="1:12" x14ac:dyDescent="0.35">
      <c r="A256" s="8" t="str">
        <f>tblComponents[Component_ID]</f>
        <v>C255</v>
      </c>
      <c r="B256" s="8" t="str">
        <f>tblComponents[Component_Name]</f>
        <v>Component 255</v>
      </c>
      <c r="C256" t="str">
        <f>tblComponents[Product_Family]</f>
        <v>Chassis</v>
      </c>
      <c r="D256" t="str">
        <f>tblComponents[Category]</f>
        <v>Electrical</v>
      </c>
      <c r="E256" t="str">
        <f>tblComponents[Sourcing_Type]</f>
        <v>Make</v>
      </c>
      <c r="F256" t="str">
        <f>tblComponents[Criticality]</f>
        <v>Low</v>
      </c>
      <c r="G256">
        <f>tblComponents[Monthly_Demand]</f>
        <v>460</v>
      </c>
      <c r="H256">
        <f>tblComponents[Demand_Growth_Rate]</f>
        <v>3.2602000968943459E-2</v>
      </c>
      <c r="I256">
        <f>tblComponents[Forecast_Demand]</f>
        <v>475</v>
      </c>
      <c r="J256">
        <f>tblComponents[Annual_Demand]</f>
        <v>90652</v>
      </c>
      <c r="K256">
        <f>tblComponents[Demand_Variability]</f>
        <v>0.22420000000000001</v>
      </c>
      <c r="L256">
        <f t="shared" si="3"/>
        <v>15</v>
      </c>
    </row>
    <row r="257" spans="1:12" x14ac:dyDescent="0.35">
      <c r="A257" s="8" t="str">
        <f>tblComponents[Component_ID]</f>
        <v>C256</v>
      </c>
      <c r="B257" s="8" t="str">
        <f>tblComponents[Component_Name]</f>
        <v>Component 256</v>
      </c>
      <c r="C257" t="str">
        <f>tblComponents[Product_Family]</f>
        <v>Interior</v>
      </c>
      <c r="D257" t="str">
        <f>tblComponents[Category]</f>
        <v>Electrical</v>
      </c>
      <c r="E257" t="str">
        <f>tblComponents[Sourcing_Type]</f>
        <v>Make</v>
      </c>
      <c r="F257" t="str">
        <f>tblComponents[Criticality]</f>
        <v>Low</v>
      </c>
      <c r="G257">
        <f>tblComponents[Monthly_Demand]</f>
        <v>767</v>
      </c>
      <c r="H257">
        <f>tblComponents[Demand_Growth_Rate]</f>
        <v>9.5701708770872404E-2</v>
      </c>
      <c r="I257">
        <f>tblComponents[Forecast_Demand]</f>
        <v>840</v>
      </c>
      <c r="J257">
        <f>tblComponents[Annual_Demand]</f>
        <v>32883</v>
      </c>
      <c r="K257">
        <f>tblComponents[Demand_Variability]</f>
        <v>0.14180000000000001</v>
      </c>
      <c r="L257">
        <f t="shared" si="3"/>
        <v>73</v>
      </c>
    </row>
    <row r="258" spans="1:12" x14ac:dyDescent="0.35">
      <c r="A258" s="8" t="str">
        <f>tblComponents[Component_ID]</f>
        <v>C257</v>
      </c>
      <c r="B258" s="8" t="str">
        <f>tblComponents[Component_Name]</f>
        <v>Component 257</v>
      </c>
      <c r="C258" t="str">
        <f>tblComponents[Product_Family]</f>
        <v>Interior</v>
      </c>
      <c r="D258" t="str">
        <f>tblComponents[Category]</f>
        <v>Metal</v>
      </c>
      <c r="E258" t="str">
        <f>tblComponents[Sourcing_Type]</f>
        <v>Make</v>
      </c>
      <c r="F258" t="str">
        <f>tblComponents[Criticality]</f>
        <v>Low</v>
      </c>
      <c r="G258">
        <f>tblComponents[Monthly_Demand]</f>
        <v>1428</v>
      </c>
      <c r="H258">
        <f>tblComponents[Demand_Growth_Rate]</f>
        <v>0.13439143727320671</v>
      </c>
      <c r="I258">
        <f>tblComponents[Forecast_Demand]</f>
        <v>1620</v>
      </c>
      <c r="J258">
        <f>tblComponents[Annual_Demand]</f>
        <v>50922</v>
      </c>
      <c r="K258">
        <f>tblComponents[Demand_Variability]</f>
        <v>0.215</v>
      </c>
      <c r="L258">
        <f t="shared" si="3"/>
        <v>192</v>
      </c>
    </row>
    <row r="259" spans="1:12" x14ac:dyDescent="0.35">
      <c r="A259" s="8" t="str">
        <f>tblComponents[Component_ID]</f>
        <v>C258</v>
      </c>
      <c r="B259" s="8" t="str">
        <f>tblComponents[Component_Name]</f>
        <v>Component 258</v>
      </c>
      <c r="C259" t="str">
        <f>tblComponents[Product_Family]</f>
        <v>Powertrain</v>
      </c>
      <c r="D259" t="str">
        <f>tblComponents[Category]</f>
        <v>Electrical</v>
      </c>
      <c r="E259" t="str">
        <f>tblComponents[Sourcing_Type]</f>
        <v>Make</v>
      </c>
      <c r="F259" t="str">
        <f>tblComponents[Criticality]</f>
        <v>Low</v>
      </c>
      <c r="G259">
        <f>tblComponents[Monthly_Demand]</f>
        <v>1342</v>
      </c>
      <c r="H259">
        <f>tblComponents[Demand_Growth_Rate]</f>
        <v>5.7606852580247538E-2</v>
      </c>
      <c r="I259">
        <f>tblComponents[Forecast_Demand]</f>
        <v>1419</v>
      </c>
      <c r="J259">
        <f>tblComponents[Annual_Demand]</f>
        <v>64028</v>
      </c>
      <c r="K259">
        <f>tblComponents[Demand_Variability]</f>
        <v>0.24</v>
      </c>
      <c r="L259">
        <f t="shared" ref="L259:L322" si="4">I259-G259</f>
        <v>77</v>
      </c>
    </row>
    <row r="260" spans="1:12" x14ac:dyDescent="0.35">
      <c r="A260" s="8" t="str">
        <f>tblComponents[Component_ID]</f>
        <v>C259</v>
      </c>
      <c r="B260" s="8" t="str">
        <f>tblComponents[Component_Name]</f>
        <v>Component 259</v>
      </c>
      <c r="C260" t="str">
        <f>tblComponents[Product_Family]</f>
        <v>Chassis</v>
      </c>
      <c r="D260" t="str">
        <f>tblComponents[Category]</f>
        <v>Electrical</v>
      </c>
      <c r="E260" t="str">
        <f>tblComponents[Sourcing_Type]</f>
        <v>Make</v>
      </c>
      <c r="F260" t="str">
        <f>tblComponents[Criticality]</f>
        <v>Low</v>
      </c>
      <c r="G260">
        <f>tblComponents[Monthly_Demand]</f>
        <v>731</v>
      </c>
      <c r="H260">
        <f>tblComponents[Demand_Growth_Rate]</f>
        <v>0.18702708004286059</v>
      </c>
      <c r="I260">
        <f>tblComponents[Forecast_Demand]</f>
        <v>868</v>
      </c>
      <c r="J260">
        <f>tblComponents[Annual_Demand]</f>
        <v>57932</v>
      </c>
      <c r="K260">
        <f>tblComponents[Demand_Variability]</f>
        <v>0.18590000000000001</v>
      </c>
      <c r="L260">
        <f t="shared" si="4"/>
        <v>137</v>
      </c>
    </row>
    <row r="261" spans="1:12" x14ac:dyDescent="0.35">
      <c r="A261" s="8" t="str">
        <f>tblComponents[Component_ID]</f>
        <v>C260</v>
      </c>
      <c r="B261" s="8" t="str">
        <f>tblComponents[Component_Name]</f>
        <v>Component 260</v>
      </c>
      <c r="C261" t="str">
        <f>tblComponents[Product_Family]</f>
        <v>Body &amp; Exterior</v>
      </c>
      <c r="D261" t="str">
        <f>tblComponents[Category]</f>
        <v>Electrical</v>
      </c>
      <c r="E261" t="str">
        <f>tblComponents[Sourcing_Type]</f>
        <v>Make</v>
      </c>
      <c r="F261" t="str">
        <f>tblComponents[Criticality]</f>
        <v>High</v>
      </c>
      <c r="G261">
        <f>tblComponents[Monthly_Demand]</f>
        <v>575</v>
      </c>
      <c r="H261">
        <f>tblComponents[Demand_Growth_Rate]</f>
        <v>7.19167671553161E-2</v>
      </c>
      <c r="I261">
        <f>tblComponents[Forecast_Demand]</f>
        <v>616</v>
      </c>
      <c r="J261">
        <f>tblComponents[Annual_Demand]</f>
        <v>25450</v>
      </c>
      <c r="K261">
        <f>tblComponents[Demand_Variability]</f>
        <v>0.20610000000000001</v>
      </c>
      <c r="L261">
        <f t="shared" si="4"/>
        <v>41</v>
      </c>
    </row>
    <row r="262" spans="1:12" x14ac:dyDescent="0.35">
      <c r="A262" s="8" t="str">
        <f>tblComponents[Component_ID]</f>
        <v>C261</v>
      </c>
      <c r="B262" s="8" t="str">
        <f>tblComponents[Component_Name]</f>
        <v>Component 261</v>
      </c>
      <c r="C262" t="str">
        <f>tblComponents[Product_Family]</f>
        <v>Interior</v>
      </c>
      <c r="D262" t="str">
        <f>tblComponents[Category]</f>
        <v>Electrical</v>
      </c>
      <c r="E262" t="str">
        <f>tblComponents[Sourcing_Type]</f>
        <v>Make</v>
      </c>
      <c r="F262" t="str">
        <f>tblComponents[Criticality]</f>
        <v>Medium</v>
      </c>
      <c r="G262">
        <f>tblComponents[Monthly_Demand]</f>
        <v>761</v>
      </c>
      <c r="H262">
        <f>tblComponents[Demand_Growth_Rate]</f>
        <v>0.1728700039058767</v>
      </c>
      <c r="I262">
        <f>tblComponents[Forecast_Demand]</f>
        <v>893</v>
      </c>
      <c r="J262">
        <f>tblComponents[Annual_Demand]</f>
        <v>35423</v>
      </c>
      <c r="K262">
        <f>tblComponents[Demand_Variability]</f>
        <v>0.21690000000000001</v>
      </c>
      <c r="L262">
        <f t="shared" si="4"/>
        <v>132</v>
      </c>
    </row>
    <row r="263" spans="1:12" x14ac:dyDescent="0.35">
      <c r="A263" s="8" t="str">
        <f>tblComponents[Component_ID]</f>
        <v>C262</v>
      </c>
      <c r="B263" s="8" t="str">
        <f>tblComponents[Component_Name]</f>
        <v>Component 262</v>
      </c>
      <c r="C263" t="str">
        <f>tblComponents[Product_Family]</f>
        <v>Powertrain</v>
      </c>
      <c r="D263" t="str">
        <f>tblComponents[Category]</f>
        <v>Electrical</v>
      </c>
      <c r="E263" t="str">
        <f>tblComponents[Sourcing_Type]</f>
        <v>Make</v>
      </c>
      <c r="F263" t="str">
        <f>tblComponents[Criticality]</f>
        <v>High</v>
      </c>
      <c r="G263">
        <f>tblComponents[Monthly_Demand]</f>
        <v>940</v>
      </c>
      <c r="H263">
        <f>tblComponents[Demand_Growth_Rate]</f>
        <v>3.2836751775762688E-2</v>
      </c>
      <c r="I263">
        <f>tblComponents[Forecast_Demand]</f>
        <v>971</v>
      </c>
      <c r="J263">
        <f>tblComponents[Annual_Demand]</f>
        <v>28400</v>
      </c>
      <c r="K263">
        <f>tblComponents[Demand_Variability]</f>
        <v>0.22370000000000001</v>
      </c>
      <c r="L263">
        <f t="shared" si="4"/>
        <v>31</v>
      </c>
    </row>
    <row r="264" spans="1:12" x14ac:dyDescent="0.35">
      <c r="A264" s="8" t="str">
        <f>tblComponents[Component_ID]</f>
        <v>C263</v>
      </c>
      <c r="B264" s="8" t="str">
        <f>tblComponents[Component_Name]</f>
        <v>Component 263</v>
      </c>
      <c r="C264" t="str">
        <f>tblComponents[Product_Family]</f>
        <v>Powertrain</v>
      </c>
      <c r="D264" t="str">
        <f>tblComponents[Category]</f>
        <v>Electrical</v>
      </c>
      <c r="E264" t="str">
        <f>tblComponents[Sourcing_Type]</f>
        <v>Make</v>
      </c>
      <c r="F264" t="str">
        <f>tblComponents[Criticality]</f>
        <v>High</v>
      </c>
      <c r="G264">
        <f>tblComponents[Monthly_Demand]</f>
        <v>1497</v>
      </c>
      <c r="H264">
        <f>tblComponents[Demand_Growth_Rate]</f>
        <v>0.16353399941262611</v>
      </c>
      <c r="I264">
        <f>tblComponents[Forecast_Demand]</f>
        <v>1742</v>
      </c>
      <c r="J264">
        <f>tblComponents[Annual_Demand]</f>
        <v>44011</v>
      </c>
      <c r="K264">
        <f>tblComponents[Demand_Variability]</f>
        <v>0.1472</v>
      </c>
      <c r="L264">
        <f t="shared" si="4"/>
        <v>245</v>
      </c>
    </row>
    <row r="265" spans="1:12" x14ac:dyDescent="0.35">
      <c r="A265" s="8" t="str">
        <f>tblComponents[Component_ID]</f>
        <v>C264</v>
      </c>
      <c r="B265" s="8" t="str">
        <f>tblComponents[Component_Name]</f>
        <v>Component 264</v>
      </c>
      <c r="C265" t="str">
        <f>tblComponents[Product_Family]</f>
        <v>Body &amp; Exterior</v>
      </c>
      <c r="D265" t="str">
        <f>tblComponents[Category]</f>
        <v>Electrical</v>
      </c>
      <c r="E265" t="str">
        <f>tblComponents[Sourcing_Type]</f>
        <v>Make</v>
      </c>
      <c r="F265" t="str">
        <f>tblComponents[Criticality]</f>
        <v>Medium</v>
      </c>
      <c r="G265">
        <f>tblComponents[Monthly_Demand]</f>
        <v>1203</v>
      </c>
      <c r="H265">
        <f>tblComponents[Demand_Growth_Rate]</f>
        <v>7.8166931489104099E-2</v>
      </c>
      <c r="I265">
        <f>tblComponents[Forecast_Demand]</f>
        <v>1297</v>
      </c>
      <c r="J265">
        <f>tblComponents[Annual_Demand]</f>
        <v>32866</v>
      </c>
      <c r="K265">
        <f>tblComponents[Demand_Variability]</f>
        <v>8.8700000000000001E-2</v>
      </c>
      <c r="L265">
        <f t="shared" si="4"/>
        <v>94</v>
      </c>
    </row>
    <row r="266" spans="1:12" x14ac:dyDescent="0.35">
      <c r="A266" s="8" t="str">
        <f>tblComponents[Component_ID]</f>
        <v>C265</v>
      </c>
      <c r="B266" s="8" t="str">
        <f>tblComponents[Component_Name]</f>
        <v>Component 265</v>
      </c>
      <c r="C266" t="str">
        <f>tblComponents[Product_Family]</f>
        <v>Interior</v>
      </c>
      <c r="D266" t="str">
        <f>tblComponents[Category]</f>
        <v>Metal</v>
      </c>
      <c r="E266" t="str">
        <f>tblComponents[Sourcing_Type]</f>
        <v>Make</v>
      </c>
      <c r="F266" t="str">
        <f>tblComponents[Criticality]</f>
        <v>Medium</v>
      </c>
      <c r="G266">
        <f>tblComponents[Monthly_Demand]</f>
        <v>1818</v>
      </c>
      <c r="H266">
        <f>tblComponents[Demand_Growth_Rate]</f>
        <v>0.16996566934029</v>
      </c>
      <c r="I266">
        <f>tblComponents[Forecast_Demand]</f>
        <v>2127</v>
      </c>
      <c r="J266">
        <f>tblComponents[Annual_Demand]</f>
        <v>35898</v>
      </c>
      <c r="K266">
        <f>tblComponents[Demand_Variability]</f>
        <v>0.14829999999999999</v>
      </c>
      <c r="L266">
        <f t="shared" si="4"/>
        <v>309</v>
      </c>
    </row>
    <row r="267" spans="1:12" x14ac:dyDescent="0.35">
      <c r="A267" s="8" t="str">
        <f>tblComponents[Component_ID]</f>
        <v>C266</v>
      </c>
      <c r="B267" s="8" t="str">
        <f>tblComponents[Component_Name]</f>
        <v>Component 266</v>
      </c>
      <c r="C267" t="str">
        <f>tblComponents[Product_Family]</f>
        <v>Powertrain</v>
      </c>
      <c r="D267" t="str">
        <f>tblComponents[Category]</f>
        <v>Electrical</v>
      </c>
      <c r="E267" t="str">
        <f>tblComponents[Sourcing_Type]</f>
        <v>Make</v>
      </c>
      <c r="F267" t="str">
        <f>tblComponents[Criticality]</f>
        <v>Medium</v>
      </c>
      <c r="G267">
        <f>tblComponents[Monthly_Demand]</f>
        <v>144</v>
      </c>
      <c r="H267">
        <f>tblComponents[Demand_Growth_Rate]</f>
        <v>4.8644018899411598E-2</v>
      </c>
      <c r="I267">
        <f>tblComponents[Forecast_Demand]</f>
        <v>151</v>
      </c>
      <c r="J267">
        <f>tblComponents[Annual_Demand]</f>
        <v>48395</v>
      </c>
      <c r="K267">
        <f>tblComponents[Demand_Variability]</f>
        <v>0.19450000000000001</v>
      </c>
      <c r="L267">
        <f t="shared" si="4"/>
        <v>7</v>
      </c>
    </row>
    <row r="268" spans="1:12" x14ac:dyDescent="0.35">
      <c r="A268" s="8" t="str">
        <f>tblComponents[Component_ID]</f>
        <v>C267</v>
      </c>
      <c r="B268" s="8" t="str">
        <f>tblComponents[Component_Name]</f>
        <v>Component 267</v>
      </c>
      <c r="C268" t="str">
        <f>tblComponents[Product_Family]</f>
        <v>Chassis</v>
      </c>
      <c r="D268" t="str">
        <f>tblComponents[Category]</f>
        <v>Electrical</v>
      </c>
      <c r="E268" t="str">
        <f>tblComponents[Sourcing_Type]</f>
        <v>Make</v>
      </c>
      <c r="F268" t="str">
        <f>tblComponents[Criticality]</f>
        <v>Medium</v>
      </c>
      <c r="G268">
        <f>tblComponents[Monthly_Demand]</f>
        <v>800</v>
      </c>
      <c r="H268">
        <f>tblComponents[Demand_Growth_Rate]</f>
        <v>0.1296073074546838</v>
      </c>
      <c r="I268">
        <f>tblComponents[Forecast_Demand]</f>
        <v>904</v>
      </c>
      <c r="J268">
        <f>tblComponents[Annual_Demand]</f>
        <v>40625</v>
      </c>
      <c r="K268">
        <f>tblComponents[Demand_Variability]</f>
        <v>0.15659999999999999</v>
      </c>
      <c r="L268">
        <f t="shared" si="4"/>
        <v>104</v>
      </c>
    </row>
    <row r="269" spans="1:12" x14ac:dyDescent="0.35">
      <c r="A269" s="8" t="str">
        <f>tblComponents[Component_ID]</f>
        <v>C268</v>
      </c>
      <c r="B269" s="8" t="str">
        <f>tblComponents[Component_Name]</f>
        <v>Component 268</v>
      </c>
      <c r="C269" t="str">
        <f>tblComponents[Product_Family]</f>
        <v>Body &amp; Exterior</v>
      </c>
      <c r="D269" t="str">
        <f>tblComponents[Category]</f>
        <v>Electrical</v>
      </c>
      <c r="E269" t="str">
        <f>tblComponents[Sourcing_Type]</f>
        <v>Make</v>
      </c>
      <c r="F269" t="str">
        <f>tblComponents[Criticality]</f>
        <v>Medium</v>
      </c>
      <c r="G269">
        <f>tblComponents[Monthly_Demand]</f>
        <v>276</v>
      </c>
      <c r="H269">
        <f>tblComponents[Demand_Growth_Rate]</f>
        <v>0.10094886323734691</v>
      </c>
      <c r="I269">
        <f>tblComponents[Forecast_Demand]</f>
        <v>304</v>
      </c>
      <c r="J269">
        <f>tblComponents[Annual_Demand]</f>
        <v>34006</v>
      </c>
      <c r="K269">
        <f>tblComponents[Demand_Variability]</f>
        <v>0.20730000000000001</v>
      </c>
      <c r="L269">
        <f t="shared" si="4"/>
        <v>28</v>
      </c>
    </row>
    <row r="270" spans="1:12" x14ac:dyDescent="0.35">
      <c r="A270" s="8" t="str">
        <f>tblComponents[Component_ID]</f>
        <v>C269</v>
      </c>
      <c r="B270" s="8" t="str">
        <f>tblComponents[Component_Name]</f>
        <v>Component 269</v>
      </c>
      <c r="C270" t="str">
        <f>tblComponents[Product_Family]</f>
        <v>Powertrain</v>
      </c>
      <c r="D270" t="str">
        <f>tblComponents[Category]</f>
        <v>Metal</v>
      </c>
      <c r="E270" t="str">
        <f>tblComponents[Sourcing_Type]</f>
        <v>Make</v>
      </c>
      <c r="F270" t="str">
        <f>tblComponents[Criticality]</f>
        <v>Medium</v>
      </c>
      <c r="G270">
        <f>tblComponents[Monthly_Demand]</f>
        <v>1411</v>
      </c>
      <c r="H270">
        <f>tblComponents[Demand_Growth_Rate]</f>
        <v>8.7395914180535897E-2</v>
      </c>
      <c r="I270">
        <f>tblComponents[Forecast_Demand]</f>
        <v>1534</v>
      </c>
      <c r="J270">
        <f>tblComponents[Annual_Demand]</f>
        <v>48066</v>
      </c>
      <c r="K270">
        <f>tblComponents[Demand_Variability]</f>
        <v>0.14069999999999999</v>
      </c>
      <c r="L270">
        <f t="shared" si="4"/>
        <v>123</v>
      </c>
    </row>
    <row r="271" spans="1:12" x14ac:dyDescent="0.35">
      <c r="A271" s="8" t="str">
        <f>tblComponents[Component_ID]</f>
        <v>C270</v>
      </c>
      <c r="B271" s="8" t="str">
        <f>tblComponents[Component_Name]</f>
        <v>Component 270</v>
      </c>
      <c r="C271" t="str">
        <f>tblComponents[Product_Family]</f>
        <v>Chassis</v>
      </c>
      <c r="D271" t="str">
        <f>tblComponents[Category]</f>
        <v>Metal</v>
      </c>
      <c r="E271" t="str">
        <f>tblComponents[Sourcing_Type]</f>
        <v>Make</v>
      </c>
      <c r="F271" t="str">
        <f>tblComponents[Criticality]</f>
        <v>Medium</v>
      </c>
      <c r="G271">
        <f>tblComponents[Monthly_Demand]</f>
        <v>701</v>
      </c>
      <c r="H271">
        <f>tblComponents[Demand_Growth_Rate]</f>
        <v>4.0479997709466239E-2</v>
      </c>
      <c r="I271">
        <f>tblComponents[Forecast_Demand]</f>
        <v>729</v>
      </c>
      <c r="J271">
        <f>tblComponents[Annual_Demand]</f>
        <v>48691</v>
      </c>
      <c r="K271">
        <f>tblComponents[Demand_Variability]</f>
        <v>0.18790000000000001</v>
      </c>
      <c r="L271">
        <f t="shared" si="4"/>
        <v>28</v>
      </c>
    </row>
    <row r="272" spans="1:12" x14ac:dyDescent="0.35">
      <c r="A272" s="8" t="str">
        <f>tblComponents[Component_ID]</f>
        <v>C271</v>
      </c>
      <c r="B272" s="8" t="str">
        <f>tblComponents[Component_Name]</f>
        <v>Component 271</v>
      </c>
      <c r="C272" t="str">
        <f>tblComponents[Product_Family]</f>
        <v>Powertrain</v>
      </c>
      <c r="D272" t="str">
        <f>tblComponents[Category]</f>
        <v>Electrical</v>
      </c>
      <c r="E272" t="str">
        <f>tblComponents[Sourcing_Type]</f>
        <v>Make</v>
      </c>
      <c r="F272" t="str">
        <f>tblComponents[Criticality]</f>
        <v>Medium</v>
      </c>
      <c r="G272">
        <f>tblComponents[Monthly_Demand]</f>
        <v>183</v>
      </c>
      <c r="H272">
        <f>tblComponents[Demand_Growth_Rate]</f>
        <v>0.1094692731659085</v>
      </c>
      <c r="I272">
        <f>tblComponents[Forecast_Demand]</f>
        <v>203</v>
      </c>
      <c r="J272">
        <f>tblComponents[Annual_Demand]</f>
        <v>28283</v>
      </c>
      <c r="K272">
        <f>tblComponents[Demand_Variability]</f>
        <v>0.11169999999999999</v>
      </c>
      <c r="L272">
        <f t="shared" si="4"/>
        <v>20</v>
      </c>
    </row>
    <row r="273" spans="1:12" x14ac:dyDescent="0.35">
      <c r="A273" s="8" t="str">
        <f>tblComponents[Component_ID]</f>
        <v>C272</v>
      </c>
      <c r="B273" s="8" t="str">
        <f>tblComponents[Component_Name]</f>
        <v>Component 272</v>
      </c>
      <c r="C273" t="str">
        <f>tblComponents[Product_Family]</f>
        <v>Electrical Systems</v>
      </c>
      <c r="D273" t="str">
        <f>tblComponents[Category]</f>
        <v>Electrical</v>
      </c>
      <c r="E273" t="str">
        <f>tblComponents[Sourcing_Type]</f>
        <v>Make</v>
      </c>
      <c r="F273" t="str">
        <f>tblComponents[Criticality]</f>
        <v>Low</v>
      </c>
      <c r="G273">
        <f>tblComponents[Monthly_Demand]</f>
        <v>767</v>
      </c>
      <c r="H273">
        <f>tblComponents[Demand_Growth_Rate]</f>
        <v>2.3760176913539061E-2</v>
      </c>
      <c r="I273">
        <f>tblComponents[Forecast_Demand]</f>
        <v>785</v>
      </c>
      <c r="J273">
        <f>tblComponents[Annual_Demand]</f>
        <v>29849</v>
      </c>
      <c r="K273">
        <f>tblComponents[Demand_Variability]</f>
        <v>0.2074</v>
      </c>
      <c r="L273">
        <f t="shared" si="4"/>
        <v>18</v>
      </c>
    </row>
    <row r="274" spans="1:12" x14ac:dyDescent="0.35">
      <c r="A274" s="8" t="str">
        <f>tblComponents[Component_ID]</f>
        <v>C273</v>
      </c>
      <c r="B274" s="8" t="str">
        <f>tblComponents[Component_Name]</f>
        <v>Component 273</v>
      </c>
      <c r="C274" t="str">
        <f>tblComponents[Product_Family]</f>
        <v>Electrical Systems</v>
      </c>
      <c r="D274" t="str">
        <f>tblComponents[Category]</f>
        <v>Metal</v>
      </c>
      <c r="E274" t="str">
        <f>tblComponents[Sourcing_Type]</f>
        <v>Make</v>
      </c>
      <c r="F274" t="str">
        <f>tblComponents[Criticality]</f>
        <v>Medium</v>
      </c>
      <c r="G274">
        <f>tblComponents[Monthly_Demand]</f>
        <v>778</v>
      </c>
      <c r="H274">
        <f>tblComponents[Demand_Growth_Rate]</f>
        <v>0.1541808006396361</v>
      </c>
      <c r="I274">
        <f>tblComponents[Forecast_Demand]</f>
        <v>898</v>
      </c>
      <c r="J274">
        <f>tblComponents[Annual_Demand]</f>
        <v>59631</v>
      </c>
      <c r="K274">
        <f>tblComponents[Demand_Variability]</f>
        <v>0.17280000000000001</v>
      </c>
      <c r="L274">
        <f t="shared" si="4"/>
        <v>120</v>
      </c>
    </row>
    <row r="275" spans="1:12" x14ac:dyDescent="0.35">
      <c r="A275" s="8" t="str">
        <f>tblComponents[Component_ID]</f>
        <v>C274</v>
      </c>
      <c r="B275" s="8" t="str">
        <f>tblComponents[Component_Name]</f>
        <v>Component 274</v>
      </c>
      <c r="C275" t="str">
        <f>tblComponents[Product_Family]</f>
        <v>Chassis</v>
      </c>
      <c r="D275" t="str">
        <f>tblComponents[Category]</f>
        <v>Electrical</v>
      </c>
      <c r="E275" t="str">
        <f>tblComponents[Sourcing_Type]</f>
        <v>Make</v>
      </c>
      <c r="F275" t="str">
        <f>tblComponents[Criticality]</f>
        <v>Critical</v>
      </c>
      <c r="G275">
        <f>tblComponents[Monthly_Demand]</f>
        <v>1497</v>
      </c>
      <c r="H275">
        <f>tblComponents[Demand_Growth_Rate]</f>
        <v>0.14724628998019831</v>
      </c>
      <c r="I275">
        <f>tblComponents[Forecast_Demand]</f>
        <v>1717</v>
      </c>
      <c r="J275">
        <f>tblComponents[Annual_Demand]</f>
        <v>54346</v>
      </c>
      <c r="K275">
        <f>tblComponents[Demand_Variability]</f>
        <v>0.1147</v>
      </c>
      <c r="L275">
        <f t="shared" si="4"/>
        <v>220</v>
      </c>
    </row>
    <row r="276" spans="1:12" x14ac:dyDescent="0.35">
      <c r="A276" s="8" t="str">
        <f>tblComponents[Component_ID]</f>
        <v>C275</v>
      </c>
      <c r="B276" s="8" t="str">
        <f>tblComponents[Component_Name]</f>
        <v>Component 275</v>
      </c>
      <c r="C276" t="str">
        <f>tblComponents[Product_Family]</f>
        <v>Body &amp; Exterior</v>
      </c>
      <c r="D276" t="str">
        <f>tblComponents[Category]</f>
        <v>Electrical</v>
      </c>
      <c r="E276" t="str">
        <f>tblComponents[Sourcing_Type]</f>
        <v>Make</v>
      </c>
      <c r="F276" t="str">
        <f>tblComponents[Criticality]</f>
        <v>Low</v>
      </c>
      <c r="G276">
        <f>tblComponents[Monthly_Demand]</f>
        <v>859</v>
      </c>
      <c r="H276">
        <f>tblComponents[Demand_Growth_Rate]</f>
        <v>0.1724130082543916</v>
      </c>
      <c r="I276">
        <f>tblComponents[Forecast_Demand]</f>
        <v>1007</v>
      </c>
      <c r="J276">
        <f>tblComponents[Annual_Demand]</f>
        <v>21862</v>
      </c>
      <c r="K276">
        <f>tblComponents[Demand_Variability]</f>
        <v>0.12959999999999999</v>
      </c>
      <c r="L276">
        <f t="shared" si="4"/>
        <v>148</v>
      </c>
    </row>
    <row r="277" spans="1:12" x14ac:dyDescent="0.35">
      <c r="A277" s="8" t="str">
        <f>tblComponents[Component_ID]</f>
        <v>C276</v>
      </c>
      <c r="B277" s="8" t="str">
        <f>tblComponents[Component_Name]</f>
        <v>Component 276</v>
      </c>
      <c r="C277" t="str">
        <f>tblComponents[Product_Family]</f>
        <v>Chassis</v>
      </c>
      <c r="D277" t="str">
        <f>tblComponents[Category]</f>
        <v>Metal</v>
      </c>
      <c r="E277" t="str">
        <f>tblComponents[Sourcing_Type]</f>
        <v>Make</v>
      </c>
      <c r="F277" t="str">
        <f>tblComponents[Criticality]</f>
        <v>Medium</v>
      </c>
      <c r="G277">
        <f>tblComponents[Monthly_Demand]</f>
        <v>1167</v>
      </c>
      <c r="H277">
        <f>tblComponents[Demand_Growth_Rate]</f>
        <v>5.7632334615551881E-2</v>
      </c>
      <c r="I277">
        <f>tblComponents[Forecast_Demand]</f>
        <v>1234</v>
      </c>
      <c r="J277">
        <f>tblComponents[Annual_Demand]</f>
        <v>27254</v>
      </c>
      <c r="K277">
        <f>tblComponents[Demand_Variability]</f>
        <v>0.20730000000000001</v>
      </c>
      <c r="L277">
        <f t="shared" si="4"/>
        <v>67</v>
      </c>
    </row>
    <row r="278" spans="1:12" x14ac:dyDescent="0.35">
      <c r="A278" s="8" t="str">
        <f>tblComponents[Component_ID]</f>
        <v>C277</v>
      </c>
      <c r="B278" s="8" t="str">
        <f>tblComponents[Component_Name]</f>
        <v>Component 277</v>
      </c>
      <c r="C278" t="str">
        <f>tblComponents[Product_Family]</f>
        <v>Interior</v>
      </c>
      <c r="D278" t="str">
        <f>tblComponents[Category]</f>
        <v>Metal</v>
      </c>
      <c r="E278" t="str">
        <f>tblComponents[Sourcing_Type]</f>
        <v>Make</v>
      </c>
      <c r="F278" t="str">
        <f>tblComponents[Criticality]</f>
        <v>Critical</v>
      </c>
      <c r="G278">
        <f>tblComponents[Monthly_Demand]</f>
        <v>1487</v>
      </c>
      <c r="H278">
        <f>tblComponents[Demand_Growth_Rate]</f>
        <v>-4.8322402423985007E-2</v>
      </c>
      <c r="I278">
        <f>tblComponents[Forecast_Demand]</f>
        <v>1415</v>
      </c>
      <c r="J278">
        <f>tblComponents[Annual_Demand]</f>
        <v>61417</v>
      </c>
      <c r="K278">
        <f>tblComponents[Demand_Variability]</f>
        <v>0.16200000000000001</v>
      </c>
      <c r="L278">
        <f t="shared" si="4"/>
        <v>-72</v>
      </c>
    </row>
    <row r="279" spans="1:12" x14ac:dyDescent="0.35">
      <c r="A279" s="8" t="str">
        <f>tblComponents[Component_ID]</f>
        <v>C278</v>
      </c>
      <c r="B279" s="8" t="str">
        <f>tblComponents[Component_Name]</f>
        <v>Component 278</v>
      </c>
      <c r="C279" t="str">
        <f>tblComponents[Product_Family]</f>
        <v>Body &amp; Exterior</v>
      </c>
      <c r="D279" t="str">
        <f>tblComponents[Category]</f>
        <v>Metal</v>
      </c>
      <c r="E279" t="str">
        <f>tblComponents[Sourcing_Type]</f>
        <v>Make</v>
      </c>
      <c r="F279" t="str">
        <f>tblComponents[Criticality]</f>
        <v>Low</v>
      </c>
      <c r="G279">
        <f>tblComponents[Monthly_Demand]</f>
        <v>1187</v>
      </c>
      <c r="H279">
        <f>tblComponents[Demand_Growth_Rate]</f>
        <v>4.4731385637475224E-3</v>
      </c>
      <c r="I279">
        <f>tblComponents[Forecast_Demand]</f>
        <v>1192</v>
      </c>
      <c r="J279">
        <f>tblComponents[Annual_Demand]</f>
        <v>95006</v>
      </c>
      <c r="K279">
        <f>tblComponents[Demand_Variability]</f>
        <v>0.1167</v>
      </c>
      <c r="L279">
        <f t="shared" si="4"/>
        <v>5</v>
      </c>
    </row>
    <row r="280" spans="1:12" x14ac:dyDescent="0.35">
      <c r="A280" s="8" t="str">
        <f>tblComponents[Component_ID]</f>
        <v>C279</v>
      </c>
      <c r="B280" s="8" t="str">
        <f>tblComponents[Component_Name]</f>
        <v>Component 279</v>
      </c>
      <c r="C280" t="str">
        <f>tblComponents[Product_Family]</f>
        <v>Electrical Systems</v>
      </c>
      <c r="D280" t="str">
        <f>tblComponents[Category]</f>
        <v>Electrical</v>
      </c>
      <c r="E280" t="str">
        <f>tblComponents[Sourcing_Type]</f>
        <v>Make</v>
      </c>
      <c r="F280" t="str">
        <f>tblComponents[Criticality]</f>
        <v>Medium</v>
      </c>
      <c r="G280">
        <f>tblComponents[Monthly_Demand]</f>
        <v>1442</v>
      </c>
      <c r="H280">
        <f>tblComponents[Demand_Growth_Rate]</f>
        <v>8.2978176631065839E-2</v>
      </c>
      <c r="I280">
        <f>tblComponents[Forecast_Demand]</f>
        <v>1562</v>
      </c>
      <c r="J280">
        <f>tblComponents[Annual_Demand]</f>
        <v>69454</v>
      </c>
      <c r="K280">
        <f>tblComponents[Demand_Variability]</f>
        <v>0.24440000000000001</v>
      </c>
      <c r="L280">
        <f t="shared" si="4"/>
        <v>120</v>
      </c>
    </row>
    <row r="281" spans="1:12" x14ac:dyDescent="0.35">
      <c r="A281" s="8" t="str">
        <f>tblComponents[Component_ID]</f>
        <v>C280</v>
      </c>
      <c r="B281" s="8" t="str">
        <f>tblComponents[Component_Name]</f>
        <v>Component 280</v>
      </c>
      <c r="C281" t="str">
        <f>tblComponents[Product_Family]</f>
        <v>Powertrain</v>
      </c>
      <c r="D281" t="str">
        <f>tblComponents[Category]</f>
        <v>Metal</v>
      </c>
      <c r="E281" t="str">
        <f>tblComponents[Sourcing_Type]</f>
        <v>Make</v>
      </c>
      <c r="F281" t="str">
        <f>tblComponents[Criticality]</f>
        <v>Medium</v>
      </c>
      <c r="G281">
        <f>tblComponents[Monthly_Demand]</f>
        <v>761</v>
      </c>
      <c r="H281">
        <f>tblComponents[Demand_Growth_Rate]</f>
        <v>0.13905340348754419</v>
      </c>
      <c r="I281">
        <f>tblComponents[Forecast_Demand]</f>
        <v>867</v>
      </c>
      <c r="J281">
        <f>tblComponents[Annual_Demand]</f>
        <v>18448</v>
      </c>
      <c r="K281">
        <f>tblComponents[Demand_Variability]</f>
        <v>0.2016</v>
      </c>
      <c r="L281">
        <f t="shared" si="4"/>
        <v>106</v>
      </c>
    </row>
    <row r="282" spans="1:12" x14ac:dyDescent="0.35">
      <c r="A282" s="8" t="str">
        <f>tblComponents[Component_ID]</f>
        <v>C281</v>
      </c>
      <c r="B282" s="8" t="str">
        <f>tblComponents[Component_Name]</f>
        <v>Component 281</v>
      </c>
      <c r="C282" t="str">
        <f>tblComponents[Product_Family]</f>
        <v>Chassis</v>
      </c>
      <c r="D282" t="str">
        <f>tblComponents[Category]</f>
        <v>Electrical</v>
      </c>
      <c r="E282" t="str">
        <f>tblComponents[Sourcing_Type]</f>
        <v>Make</v>
      </c>
      <c r="F282" t="str">
        <f>tblComponents[Criticality]</f>
        <v>Low</v>
      </c>
      <c r="G282">
        <f>tblComponents[Monthly_Demand]</f>
        <v>586</v>
      </c>
      <c r="H282">
        <f>tblComponents[Demand_Growth_Rate]</f>
        <v>6.1031928291437901E-2</v>
      </c>
      <c r="I282">
        <f>tblComponents[Forecast_Demand]</f>
        <v>622</v>
      </c>
      <c r="J282">
        <f>tblComponents[Annual_Demand]</f>
        <v>84710</v>
      </c>
      <c r="K282">
        <f>tblComponents[Demand_Variability]</f>
        <v>0.2427</v>
      </c>
      <c r="L282">
        <f t="shared" si="4"/>
        <v>36</v>
      </c>
    </row>
    <row r="283" spans="1:12" x14ac:dyDescent="0.35">
      <c r="A283" s="8" t="str">
        <f>tblComponents[Component_ID]</f>
        <v>C282</v>
      </c>
      <c r="B283" s="8" t="str">
        <f>tblComponents[Component_Name]</f>
        <v>Component 282</v>
      </c>
      <c r="C283" t="str">
        <f>tblComponents[Product_Family]</f>
        <v>Electrical Systems</v>
      </c>
      <c r="D283" t="str">
        <f>tblComponents[Category]</f>
        <v>Metal</v>
      </c>
      <c r="E283" t="str">
        <f>tblComponents[Sourcing_Type]</f>
        <v>Make</v>
      </c>
      <c r="F283" t="str">
        <f>tblComponents[Criticality]</f>
        <v>High</v>
      </c>
      <c r="G283">
        <f>tblComponents[Monthly_Demand]</f>
        <v>2759</v>
      </c>
      <c r="H283">
        <f>tblComponents[Demand_Growth_Rate]</f>
        <v>3.509677606362642E-2</v>
      </c>
      <c r="I283">
        <f>tblComponents[Forecast_Demand]</f>
        <v>2856</v>
      </c>
      <c r="J283">
        <f>tblComponents[Annual_Demand]</f>
        <v>57431</v>
      </c>
      <c r="K283">
        <f>tblComponents[Demand_Variability]</f>
        <v>0.15260000000000001</v>
      </c>
      <c r="L283">
        <f t="shared" si="4"/>
        <v>97</v>
      </c>
    </row>
    <row r="284" spans="1:12" x14ac:dyDescent="0.35">
      <c r="A284" s="8" t="str">
        <f>tblComponents[Component_ID]</f>
        <v>C283</v>
      </c>
      <c r="B284" s="8" t="str">
        <f>tblComponents[Component_Name]</f>
        <v>Component 283</v>
      </c>
      <c r="C284" t="str">
        <f>tblComponents[Product_Family]</f>
        <v>Powertrain</v>
      </c>
      <c r="D284" t="str">
        <f>tblComponents[Category]</f>
        <v>Metal</v>
      </c>
      <c r="E284" t="str">
        <f>tblComponents[Sourcing_Type]</f>
        <v>Make</v>
      </c>
      <c r="F284" t="str">
        <f>tblComponents[Criticality]</f>
        <v>Medium</v>
      </c>
      <c r="G284">
        <f>tblComponents[Monthly_Demand]</f>
        <v>486</v>
      </c>
      <c r="H284">
        <f>tblComponents[Demand_Growth_Rate]</f>
        <v>2.5583312337873431E-2</v>
      </c>
      <c r="I284">
        <f>tblComponents[Forecast_Demand]</f>
        <v>498</v>
      </c>
      <c r="J284">
        <f>tblComponents[Annual_Demand]</f>
        <v>48709</v>
      </c>
      <c r="K284">
        <f>tblComponents[Demand_Variability]</f>
        <v>0.1608</v>
      </c>
      <c r="L284">
        <f t="shared" si="4"/>
        <v>12</v>
      </c>
    </row>
    <row r="285" spans="1:12" x14ac:dyDescent="0.35">
      <c r="A285" s="8" t="str">
        <f>tblComponents[Component_ID]</f>
        <v>C284</v>
      </c>
      <c r="B285" s="8" t="str">
        <f>tblComponents[Component_Name]</f>
        <v>Component 284</v>
      </c>
      <c r="C285" t="str">
        <f>tblComponents[Product_Family]</f>
        <v>Powertrain</v>
      </c>
      <c r="D285" t="str">
        <f>tblComponents[Category]</f>
        <v>Metal</v>
      </c>
      <c r="E285" t="str">
        <f>tblComponents[Sourcing_Type]</f>
        <v>Make</v>
      </c>
      <c r="F285" t="str">
        <f>tblComponents[Criticality]</f>
        <v>High</v>
      </c>
      <c r="G285">
        <f>tblComponents[Monthly_Demand]</f>
        <v>458</v>
      </c>
      <c r="H285">
        <f>tblComponents[Demand_Growth_Rate]</f>
        <v>8.6206914386296699E-2</v>
      </c>
      <c r="I285">
        <f>tblComponents[Forecast_Demand]</f>
        <v>497</v>
      </c>
      <c r="J285">
        <f>tblComponents[Annual_Demand]</f>
        <v>78617</v>
      </c>
      <c r="K285">
        <f>tblComponents[Demand_Variability]</f>
        <v>0.23269999999999999</v>
      </c>
      <c r="L285">
        <f t="shared" si="4"/>
        <v>39</v>
      </c>
    </row>
    <row r="286" spans="1:12" x14ac:dyDescent="0.35">
      <c r="A286" s="8" t="str">
        <f>tblComponents[Component_ID]</f>
        <v>C285</v>
      </c>
      <c r="B286" s="8" t="str">
        <f>tblComponents[Component_Name]</f>
        <v>Component 285</v>
      </c>
      <c r="C286" t="str">
        <f>tblComponents[Product_Family]</f>
        <v>Electrical Systems</v>
      </c>
      <c r="D286" t="str">
        <f>tblComponents[Category]</f>
        <v>Electrical</v>
      </c>
      <c r="E286" t="str">
        <f>tblComponents[Sourcing_Type]</f>
        <v>Make</v>
      </c>
      <c r="F286" t="str">
        <f>tblComponents[Criticality]</f>
        <v>Low</v>
      </c>
      <c r="G286">
        <f>tblComponents[Monthly_Demand]</f>
        <v>1008</v>
      </c>
      <c r="H286">
        <f>tblComponents[Demand_Growth_Rate]</f>
        <v>0.1984620972249245</v>
      </c>
      <c r="I286">
        <f>tblComponents[Forecast_Demand]</f>
        <v>1208</v>
      </c>
      <c r="J286">
        <f>tblComponents[Annual_Demand]</f>
        <v>64217</v>
      </c>
      <c r="K286">
        <f>tblComponents[Demand_Variability]</f>
        <v>0.16930000000000001</v>
      </c>
      <c r="L286">
        <f t="shared" si="4"/>
        <v>200</v>
      </c>
    </row>
    <row r="287" spans="1:12" x14ac:dyDescent="0.35">
      <c r="A287" s="8" t="str">
        <f>tblComponents[Component_ID]</f>
        <v>C286</v>
      </c>
      <c r="B287" s="8" t="str">
        <f>tblComponents[Component_Name]</f>
        <v>Component 286</v>
      </c>
      <c r="C287" t="str">
        <f>tblComponents[Product_Family]</f>
        <v>Electrical Systems</v>
      </c>
      <c r="D287" t="str">
        <f>tblComponents[Category]</f>
        <v>Metal</v>
      </c>
      <c r="E287" t="str">
        <f>tblComponents[Sourcing_Type]</f>
        <v>Make</v>
      </c>
      <c r="F287" t="str">
        <f>tblComponents[Criticality]</f>
        <v>High</v>
      </c>
      <c r="G287">
        <f>tblComponents[Monthly_Demand]</f>
        <v>783</v>
      </c>
      <c r="H287">
        <f>tblComponents[Demand_Growth_Rate]</f>
        <v>0.16313944547538839</v>
      </c>
      <c r="I287">
        <f>tblComponents[Forecast_Demand]</f>
        <v>911</v>
      </c>
      <c r="J287">
        <f>tblComponents[Annual_Demand]</f>
        <v>39489</v>
      </c>
      <c r="K287">
        <f>tblComponents[Demand_Variability]</f>
        <v>0.20019999999999999</v>
      </c>
      <c r="L287">
        <f t="shared" si="4"/>
        <v>128</v>
      </c>
    </row>
    <row r="288" spans="1:12" x14ac:dyDescent="0.35">
      <c r="A288" s="8" t="str">
        <f>tblComponents[Component_ID]</f>
        <v>C287</v>
      </c>
      <c r="B288" s="8" t="str">
        <f>tblComponents[Component_Name]</f>
        <v>Component 287</v>
      </c>
      <c r="C288" t="str">
        <f>tblComponents[Product_Family]</f>
        <v>Interior</v>
      </c>
      <c r="D288" t="str">
        <f>tblComponents[Category]</f>
        <v>Metal</v>
      </c>
      <c r="E288" t="str">
        <f>tblComponents[Sourcing_Type]</f>
        <v>Make</v>
      </c>
      <c r="F288" t="str">
        <f>tblComponents[Criticality]</f>
        <v>Medium</v>
      </c>
      <c r="G288">
        <f>tblComponents[Monthly_Demand]</f>
        <v>1058</v>
      </c>
      <c r="H288">
        <f>tblComponents[Demand_Growth_Rate]</f>
        <v>0.16749228991192119</v>
      </c>
      <c r="I288">
        <f>tblComponents[Forecast_Demand]</f>
        <v>1235</v>
      </c>
      <c r="J288">
        <f>tblComponents[Annual_Demand]</f>
        <v>32627</v>
      </c>
      <c r="K288">
        <f>tblComponents[Demand_Variability]</f>
        <v>0.1229</v>
      </c>
      <c r="L288">
        <f t="shared" si="4"/>
        <v>177</v>
      </c>
    </row>
    <row r="289" spans="1:12" x14ac:dyDescent="0.35">
      <c r="A289" s="8" t="str">
        <f>tblComponents[Component_ID]</f>
        <v>C288</v>
      </c>
      <c r="B289" s="8" t="str">
        <f>tblComponents[Component_Name]</f>
        <v>Component 288</v>
      </c>
      <c r="C289" t="str">
        <f>tblComponents[Product_Family]</f>
        <v>Body &amp; Exterior</v>
      </c>
      <c r="D289" t="str">
        <f>tblComponents[Category]</f>
        <v>Metal</v>
      </c>
      <c r="E289" t="str">
        <f>tblComponents[Sourcing_Type]</f>
        <v>Make</v>
      </c>
      <c r="F289" t="str">
        <f>tblComponents[Criticality]</f>
        <v>High</v>
      </c>
      <c r="G289">
        <f>tblComponents[Monthly_Demand]</f>
        <v>111</v>
      </c>
      <c r="H289">
        <f>tblComponents[Demand_Growth_Rate]</f>
        <v>0.19240193171202391</v>
      </c>
      <c r="I289">
        <f>tblComponents[Forecast_Demand]</f>
        <v>132</v>
      </c>
      <c r="J289">
        <f>tblComponents[Annual_Demand]</f>
        <v>20696</v>
      </c>
      <c r="K289">
        <f>tblComponents[Demand_Variability]</f>
        <v>0.15590000000000001</v>
      </c>
      <c r="L289">
        <f t="shared" si="4"/>
        <v>21</v>
      </c>
    </row>
    <row r="290" spans="1:12" x14ac:dyDescent="0.35">
      <c r="A290" s="8" t="str">
        <f>tblComponents[Component_ID]</f>
        <v>C289</v>
      </c>
      <c r="B290" s="8" t="str">
        <f>tblComponents[Component_Name]</f>
        <v>Component 289</v>
      </c>
      <c r="C290" t="str">
        <f>tblComponents[Product_Family]</f>
        <v>Electrical Systems</v>
      </c>
      <c r="D290" t="str">
        <f>tblComponents[Category]</f>
        <v>Metal</v>
      </c>
      <c r="E290" t="str">
        <f>tblComponents[Sourcing_Type]</f>
        <v>Make</v>
      </c>
      <c r="F290" t="str">
        <f>tblComponents[Criticality]</f>
        <v>Medium</v>
      </c>
      <c r="G290">
        <f>tblComponents[Monthly_Demand]</f>
        <v>727</v>
      </c>
      <c r="H290">
        <f>tblComponents[Demand_Growth_Rate]</f>
        <v>2.1445888881467551E-2</v>
      </c>
      <c r="I290">
        <f>tblComponents[Forecast_Demand]</f>
        <v>743</v>
      </c>
      <c r="J290">
        <f>tblComponents[Annual_Demand]</f>
        <v>28543</v>
      </c>
      <c r="K290">
        <f>tblComponents[Demand_Variability]</f>
        <v>0.10100000000000001</v>
      </c>
      <c r="L290">
        <f t="shared" si="4"/>
        <v>16</v>
      </c>
    </row>
    <row r="291" spans="1:12" x14ac:dyDescent="0.35">
      <c r="A291" s="8" t="str">
        <f>tblComponents[Component_ID]</f>
        <v>C290</v>
      </c>
      <c r="B291" s="8" t="str">
        <f>tblComponents[Component_Name]</f>
        <v>Component 290</v>
      </c>
      <c r="C291" t="str">
        <f>tblComponents[Product_Family]</f>
        <v>Body &amp; Exterior</v>
      </c>
      <c r="D291" t="str">
        <f>tblComponents[Category]</f>
        <v>Metal</v>
      </c>
      <c r="E291" t="str">
        <f>tblComponents[Sourcing_Type]</f>
        <v>Make</v>
      </c>
      <c r="F291" t="str">
        <f>tblComponents[Criticality]</f>
        <v>Medium</v>
      </c>
      <c r="G291">
        <f>tblComponents[Monthly_Demand]</f>
        <v>1190</v>
      </c>
      <c r="H291">
        <f>tblComponents[Demand_Growth_Rate]</f>
        <v>0.173613139206058</v>
      </c>
      <c r="I291">
        <f>tblComponents[Forecast_Demand]</f>
        <v>1397</v>
      </c>
      <c r="J291">
        <f>tblComponents[Annual_Demand]</f>
        <v>27615</v>
      </c>
      <c r="K291">
        <f>tblComponents[Demand_Variability]</f>
        <v>0.115</v>
      </c>
      <c r="L291">
        <f t="shared" si="4"/>
        <v>207</v>
      </c>
    </row>
    <row r="292" spans="1:12" x14ac:dyDescent="0.35">
      <c r="A292" s="8" t="str">
        <f>tblComponents[Component_ID]</f>
        <v>C291</v>
      </c>
      <c r="B292" s="8" t="str">
        <f>tblComponents[Component_Name]</f>
        <v>Component 291</v>
      </c>
      <c r="C292" t="str">
        <f>tblComponents[Product_Family]</f>
        <v>Electrical Systems</v>
      </c>
      <c r="D292" t="str">
        <f>tblComponents[Category]</f>
        <v>Electrical</v>
      </c>
      <c r="E292" t="str">
        <f>tblComponents[Sourcing_Type]</f>
        <v>Make</v>
      </c>
      <c r="F292" t="str">
        <f>tblComponents[Criticality]</f>
        <v>Low</v>
      </c>
      <c r="G292">
        <f>tblComponents[Monthly_Demand]</f>
        <v>1010</v>
      </c>
      <c r="H292">
        <f>tblComponents[Demand_Growth_Rate]</f>
        <v>-2.268394742259465E-2</v>
      </c>
      <c r="I292">
        <f>tblComponents[Forecast_Demand]</f>
        <v>987</v>
      </c>
      <c r="J292">
        <f>tblComponents[Annual_Demand]</f>
        <v>16466</v>
      </c>
      <c r="K292">
        <f>tblComponents[Demand_Variability]</f>
        <v>8.0199999999999994E-2</v>
      </c>
      <c r="L292">
        <f t="shared" si="4"/>
        <v>-23</v>
      </c>
    </row>
    <row r="293" spans="1:12" x14ac:dyDescent="0.35">
      <c r="A293" s="8" t="str">
        <f>tblComponents[Component_ID]</f>
        <v>C292</v>
      </c>
      <c r="B293" s="8" t="str">
        <f>tblComponents[Component_Name]</f>
        <v>Component 292</v>
      </c>
      <c r="C293" t="str">
        <f>tblComponents[Product_Family]</f>
        <v>Chassis</v>
      </c>
      <c r="D293" t="str">
        <f>tblComponents[Category]</f>
        <v>Electrical</v>
      </c>
      <c r="E293" t="str">
        <f>tblComponents[Sourcing_Type]</f>
        <v>Make</v>
      </c>
      <c r="F293" t="str">
        <f>tblComponents[Criticality]</f>
        <v>Critical</v>
      </c>
      <c r="G293">
        <f>tblComponents[Monthly_Demand]</f>
        <v>424</v>
      </c>
      <c r="H293">
        <f>tblComponents[Demand_Growth_Rate]</f>
        <v>7.7608122251058051E-2</v>
      </c>
      <c r="I293">
        <f>tblComponents[Forecast_Demand]</f>
        <v>457</v>
      </c>
      <c r="J293">
        <f>tblComponents[Annual_Demand]</f>
        <v>25225</v>
      </c>
      <c r="K293">
        <f>tblComponents[Demand_Variability]</f>
        <v>8.6699999999999999E-2</v>
      </c>
      <c r="L293">
        <f t="shared" si="4"/>
        <v>33</v>
      </c>
    </row>
    <row r="294" spans="1:12" x14ac:dyDescent="0.35">
      <c r="A294" s="8" t="str">
        <f>tblComponents[Component_ID]</f>
        <v>C293</v>
      </c>
      <c r="B294" s="8" t="str">
        <f>tblComponents[Component_Name]</f>
        <v>Component 293</v>
      </c>
      <c r="C294" t="str">
        <f>tblComponents[Product_Family]</f>
        <v>Interior</v>
      </c>
      <c r="D294" t="str">
        <f>tblComponents[Category]</f>
        <v>Metal</v>
      </c>
      <c r="E294" t="str">
        <f>tblComponents[Sourcing_Type]</f>
        <v>Make</v>
      </c>
      <c r="F294" t="str">
        <f>tblComponents[Criticality]</f>
        <v>Medium</v>
      </c>
      <c r="G294">
        <f>tblComponents[Monthly_Demand]</f>
        <v>153</v>
      </c>
      <c r="H294">
        <f>tblComponents[Demand_Growth_Rate]</f>
        <v>8.1806545209950052E-2</v>
      </c>
      <c r="I294">
        <f>tblComponents[Forecast_Demand]</f>
        <v>166</v>
      </c>
      <c r="J294">
        <f>tblComponents[Annual_Demand]</f>
        <v>33350</v>
      </c>
      <c r="K294">
        <f>tblComponents[Demand_Variability]</f>
        <v>0.24610000000000001</v>
      </c>
      <c r="L294">
        <f t="shared" si="4"/>
        <v>13</v>
      </c>
    </row>
    <row r="295" spans="1:12" x14ac:dyDescent="0.35">
      <c r="A295" s="8" t="str">
        <f>tblComponents[Component_ID]</f>
        <v>C294</v>
      </c>
      <c r="B295" s="8" t="str">
        <f>tblComponents[Component_Name]</f>
        <v>Component 294</v>
      </c>
      <c r="C295" t="str">
        <f>tblComponents[Product_Family]</f>
        <v>Body &amp; Exterior</v>
      </c>
      <c r="D295" t="str">
        <f>tblComponents[Category]</f>
        <v>Electrical</v>
      </c>
      <c r="E295" t="str">
        <f>tblComponents[Sourcing_Type]</f>
        <v>Make</v>
      </c>
      <c r="F295" t="str">
        <f>tblComponents[Criticality]</f>
        <v>Medium</v>
      </c>
      <c r="G295">
        <f>tblComponents[Monthly_Demand]</f>
        <v>1233</v>
      </c>
      <c r="H295">
        <f>tblComponents[Demand_Growth_Rate]</f>
        <v>-4.7784178721632778E-2</v>
      </c>
      <c r="I295">
        <f>tblComponents[Forecast_Demand]</f>
        <v>1174</v>
      </c>
      <c r="J295">
        <f>tblComponents[Annual_Demand]</f>
        <v>96125</v>
      </c>
      <c r="K295">
        <f>tblComponents[Demand_Variability]</f>
        <v>0.1212</v>
      </c>
      <c r="L295">
        <f t="shared" si="4"/>
        <v>-59</v>
      </c>
    </row>
    <row r="296" spans="1:12" x14ac:dyDescent="0.35">
      <c r="A296" s="8" t="str">
        <f>tblComponents[Component_ID]</f>
        <v>C295</v>
      </c>
      <c r="B296" s="8" t="str">
        <f>tblComponents[Component_Name]</f>
        <v>Component 295</v>
      </c>
      <c r="C296" t="str">
        <f>tblComponents[Product_Family]</f>
        <v>Body &amp; Exterior</v>
      </c>
      <c r="D296" t="str">
        <f>tblComponents[Category]</f>
        <v>Electrical</v>
      </c>
      <c r="E296" t="str">
        <f>tblComponents[Sourcing_Type]</f>
        <v>Make</v>
      </c>
      <c r="F296" t="str">
        <f>tblComponents[Criticality]</f>
        <v>Critical</v>
      </c>
      <c r="G296">
        <f>tblComponents[Monthly_Demand]</f>
        <v>124</v>
      </c>
      <c r="H296">
        <f>tblComponents[Demand_Growth_Rate]</f>
        <v>0.1082265826696085</v>
      </c>
      <c r="I296">
        <f>tblComponents[Forecast_Demand]</f>
        <v>137</v>
      </c>
      <c r="J296">
        <f>tblComponents[Annual_Demand]</f>
        <v>91602</v>
      </c>
      <c r="K296">
        <f>tblComponents[Demand_Variability]</f>
        <v>0.1928</v>
      </c>
      <c r="L296">
        <f t="shared" si="4"/>
        <v>13</v>
      </c>
    </row>
    <row r="297" spans="1:12" x14ac:dyDescent="0.35">
      <c r="A297" s="8" t="str">
        <f>tblComponents[Component_ID]</f>
        <v>C296</v>
      </c>
      <c r="B297" s="8" t="str">
        <f>tblComponents[Component_Name]</f>
        <v>Component 296</v>
      </c>
      <c r="C297" t="str">
        <f>tblComponents[Product_Family]</f>
        <v>Powertrain</v>
      </c>
      <c r="D297" t="str">
        <f>tblComponents[Category]</f>
        <v>Electrical</v>
      </c>
      <c r="E297" t="str">
        <f>tblComponents[Sourcing_Type]</f>
        <v>Make</v>
      </c>
      <c r="F297" t="str">
        <f>tblComponents[Criticality]</f>
        <v>Low</v>
      </c>
      <c r="G297">
        <f>tblComponents[Monthly_Demand]</f>
        <v>134</v>
      </c>
      <c r="H297">
        <f>tblComponents[Demand_Growth_Rate]</f>
        <v>0.1034010285593646</v>
      </c>
      <c r="I297">
        <f>tblComponents[Forecast_Demand]</f>
        <v>148</v>
      </c>
      <c r="J297">
        <f>tblComponents[Annual_Demand]</f>
        <v>10033</v>
      </c>
      <c r="K297">
        <f>tblComponents[Demand_Variability]</f>
        <v>0.22259999999999999</v>
      </c>
      <c r="L297">
        <f t="shared" si="4"/>
        <v>14</v>
      </c>
    </row>
    <row r="298" spans="1:12" x14ac:dyDescent="0.35">
      <c r="A298" s="8" t="str">
        <f>tblComponents[Component_ID]</f>
        <v>C297</v>
      </c>
      <c r="B298" s="8" t="str">
        <f>tblComponents[Component_Name]</f>
        <v>Component 297</v>
      </c>
      <c r="C298" t="str">
        <f>tblComponents[Product_Family]</f>
        <v>Electrical Systems</v>
      </c>
      <c r="D298" t="str">
        <f>tblComponents[Category]</f>
        <v>Metal</v>
      </c>
      <c r="E298" t="str">
        <f>tblComponents[Sourcing_Type]</f>
        <v>Make</v>
      </c>
      <c r="F298" t="str">
        <f>tblComponents[Criticality]</f>
        <v>Medium</v>
      </c>
      <c r="G298">
        <f>tblComponents[Monthly_Demand]</f>
        <v>2378</v>
      </c>
      <c r="H298">
        <f>tblComponents[Demand_Growth_Rate]</f>
        <v>8.7282584069293165E-2</v>
      </c>
      <c r="I298">
        <f>tblComponents[Forecast_Demand]</f>
        <v>2586</v>
      </c>
      <c r="J298">
        <f>tblComponents[Annual_Demand]</f>
        <v>37886</v>
      </c>
      <c r="K298">
        <f>tblComponents[Demand_Variability]</f>
        <v>0.1736</v>
      </c>
      <c r="L298">
        <f t="shared" si="4"/>
        <v>208</v>
      </c>
    </row>
    <row r="299" spans="1:12" x14ac:dyDescent="0.35">
      <c r="A299" s="8" t="str">
        <f>tblComponents[Component_ID]</f>
        <v>C298</v>
      </c>
      <c r="B299" s="8" t="str">
        <f>tblComponents[Component_Name]</f>
        <v>Component 298</v>
      </c>
      <c r="C299" t="str">
        <f>tblComponents[Product_Family]</f>
        <v>Electrical Systems</v>
      </c>
      <c r="D299" t="str">
        <f>tblComponents[Category]</f>
        <v>Electrical</v>
      </c>
      <c r="E299" t="str">
        <f>tblComponents[Sourcing_Type]</f>
        <v>Make</v>
      </c>
      <c r="F299" t="str">
        <f>tblComponents[Criticality]</f>
        <v>High</v>
      </c>
      <c r="G299">
        <f>tblComponents[Monthly_Demand]</f>
        <v>165</v>
      </c>
      <c r="H299">
        <f>tblComponents[Demand_Growth_Rate]</f>
        <v>-3.0784481180959129E-2</v>
      </c>
      <c r="I299">
        <f>tblComponents[Forecast_Demand]</f>
        <v>160</v>
      </c>
      <c r="J299">
        <f>tblComponents[Annual_Demand]</f>
        <v>95333</v>
      </c>
      <c r="K299">
        <f>tblComponents[Demand_Variability]</f>
        <v>0.106</v>
      </c>
      <c r="L299">
        <f t="shared" si="4"/>
        <v>-5</v>
      </c>
    </row>
    <row r="300" spans="1:12" x14ac:dyDescent="0.35">
      <c r="A300" s="8" t="str">
        <f>tblComponents[Component_ID]</f>
        <v>C299</v>
      </c>
      <c r="B300" s="8" t="str">
        <f>tblComponents[Component_Name]</f>
        <v>Component 299</v>
      </c>
      <c r="C300" t="str">
        <f>tblComponents[Product_Family]</f>
        <v>Body &amp; Exterior</v>
      </c>
      <c r="D300" t="str">
        <f>tblComponents[Category]</f>
        <v>Electrical</v>
      </c>
      <c r="E300" t="str">
        <f>tblComponents[Sourcing_Type]</f>
        <v>Make</v>
      </c>
      <c r="F300" t="str">
        <f>tblComponents[Criticality]</f>
        <v>Critical</v>
      </c>
      <c r="G300">
        <f>tblComponents[Monthly_Demand]</f>
        <v>610</v>
      </c>
      <c r="H300">
        <f>tblComponents[Demand_Growth_Rate]</f>
        <v>2.7781177915340428E-3</v>
      </c>
      <c r="I300">
        <f>tblComponents[Forecast_Demand]</f>
        <v>612</v>
      </c>
      <c r="J300">
        <f>tblComponents[Annual_Demand]</f>
        <v>82732</v>
      </c>
      <c r="K300">
        <f>tblComponents[Demand_Variability]</f>
        <v>0.20380000000000001</v>
      </c>
      <c r="L300">
        <f t="shared" si="4"/>
        <v>2</v>
      </c>
    </row>
    <row r="301" spans="1:12" x14ac:dyDescent="0.35">
      <c r="A301" s="8" t="str">
        <f>tblComponents[Component_ID]</f>
        <v>C300</v>
      </c>
      <c r="B301" s="8" t="str">
        <f>tblComponents[Component_Name]</f>
        <v>Component 300</v>
      </c>
      <c r="C301" t="str">
        <f>tblComponents[Product_Family]</f>
        <v>Chassis</v>
      </c>
      <c r="D301" t="str">
        <f>tblComponents[Category]</f>
        <v>Metal</v>
      </c>
      <c r="E301" t="str">
        <f>tblComponents[Sourcing_Type]</f>
        <v>Make</v>
      </c>
      <c r="F301" t="str">
        <f>tblComponents[Criticality]</f>
        <v>High</v>
      </c>
      <c r="G301">
        <f>tblComponents[Monthly_Demand]</f>
        <v>2254</v>
      </c>
      <c r="H301">
        <f>tblComponents[Demand_Growth_Rate]</f>
        <v>6.91092465859479E-2</v>
      </c>
      <c r="I301">
        <f>tblComponents[Forecast_Demand]</f>
        <v>2410</v>
      </c>
      <c r="J301">
        <f>tblComponents[Annual_Demand]</f>
        <v>79420</v>
      </c>
      <c r="K301">
        <f>tblComponents[Demand_Variability]</f>
        <v>0.182</v>
      </c>
      <c r="L301">
        <f t="shared" si="4"/>
        <v>156</v>
      </c>
    </row>
    <row r="302" spans="1:12" x14ac:dyDescent="0.35">
      <c r="A302" s="8" t="str">
        <f>tblComponents[Component_ID]</f>
        <v>C301</v>
      </c>
      <c r="B302" s="8" t="str">
        <f>tblComponents[Component_Name]</f>
        <v>Component 301</v>
      </c>
      <c r="C302" t="str">
        <f>tblComponents[Product_Family]</f>
        <v>Body &amp; Exterior</v>
      </c>
      <c r="D302" t="str">
        <f>tblComponents[Category]</f>
        <v>Electrical</v>
      </c>
      <c r="E302" t="str">
        <f>tblComponents[Sourcing_Type]</f>
        <v>Buy</v>
      </c>
      <c r="F302" t="str">
        <f>tblComponents[Criticality]</f>
        <v>Medium</v>
      </c>
      <c r="G302">
        <f>tblComponents[Monthly_Demand]</f>
        <v>1225</v>
      </c>
      <c r="H302">
        <f>tblComponents[Demand_Growth_Rate]</f>
        <v>-3.0392868655564759E-3</v>
      </c>
      <c r="I302">
        <f>tblComponents[Forecast_Demand]</f>
        <v>1221</v>
      </c>
      <c r="J302">
        <f>tblComponents[Annual_Demand]</f>
        <v>22833</v>
      </c>
      <c r="K302">
        <f>tblComponents[Demand_Variability]</f>
        <v>0.20430000000000001</v>
      </c>
      <c r="L302">
        <f t="shared" si="4"/>
        <v>-4</v>
      </c>
    </row>
    <row r="303" spans="1:12" x14ac:dyDescent="0.35">
      <c r="A303" s="8" t="str">
        <f>tblComponents[Component_ID]</f>
        <v>C302</v>
      </c>
      <c r="B303" s="8" t="str">
        <f>tblComponents[Component_Name]</f>
        <v>Component 302</v>
      </c>
      <c r="C303" t="str">
        <f>tblComponents[Product_Family]</f>
        <v>Interior</v>
      </c>
      <c r="D303" t="str">
        <f>tblComponents[Category]</f>
        <v>Metal</v>
      </c>
      <c r="E303" t="str">
        <f>tblComponents[Sourcing_Type]</f>
        <v>Buy</v>
      </c>
      <c r="F303" t="str">
        <f>tblComponents[Criticality]</f>
        <v>Medium</v>
      </c>
      <c r="G303">
        <f>tblComponents[Monthly_Demand]</f>
        <v>1381</v>
      </c>
      <c r="H303">
        <f>tblComponents[Demand_Growth_Rate]</f>
        <v>1.048292007888239E-2</v>
      </c>
      <c r="I303">
        <f>tblComponents[Forecast_Demand]</f>
        <v>1395</v>
      </c>
      <c r="J303">
        <f>tblComponents[Annual_Demand]</f>
        <v>5066</v>
      </c>
      <c r="K303">
        <f>tblComponents[Demand_Variability]</f>
        <v>0.2109</v>
      </c>
      <c r="L303">
        <f t="shared" si="4"/>
        <v>14</v>
      </c>
    </row>
    <row r="304" spans="1:12" x14ac:dyDescent="0.35">
      <c r="A304" s="8" t="str">
        <f>tblComponents[Component_ID]</f>
        <v>C303</v>
      </c>
      <c r="B304" s="8" t="str">
        <f>tblComponents[Component_Name]</f>
        <v>Component 303</v>
      </c>
      <c r="C304" t="str">
        <f>tblComponents[Product_Family]</f>
        <v>Body &amp; Exterior</v>
      </c>
      <c r="D304" t="str">
        <f>tblComponents[Category]</f>
        <v>Electrical</v>
      </c>
      <c r="E304" t="str">
        <f>tblComponents[Sourcing_Type]</f>
        <v>Buy</v>
      </c>
      <c r="F304" t="str">
        <f>tblComponents[Criticality]</f>
        <v>Medium</v>
      </c>
      <c r="G304">
        <f>tblComponents[Monthly_Demand]</f>
        <v>2494</v>
      </c>
      <c r="H304">
        <f>tblComponents[Demand_Growth_Rate]</f>
        <v>0.1301637863207783</v>
      </c>
      <c r="I304">
        <f>tblComponents[Forecast_Demand]</f>
        <v>2819</v>
      </c>
      <c r="J304">
        <f>tblComponents[Annual_Demand]</f>
        <v>45573</v>
      </c>
      <c r="K304">
        <f>tblComponents[Demand_Variability]</f>
        <v>0.24579999999999999</v>
      </c>
      <c r="L304">
        <f t="shared" si="4"/>
        <v>325</v>
      </c>
    </row>
    <row r="305" spans="1:12" x14ac:dyDescent="0.35">
      <c r="A305" s="8" t="str">
        <f>tblComponents[Component_ID]</f>
        <v>C304</v>
      </c>
      <c r="B305" s="8" t="str">
        <f>tblComponents[Component_Name]</f>
        <v>Component 304</v>
      </c>
      <c r="C305" t="str">
        <f>tblComponents[Product_Family]</f>
        <v>Powertrain</v>
      </c>
      <c r="D305" t="str">
        <f>tblComponents[Category]</f>
        <v>Electrical</v>
      </c>
      <c r="E305" t="str">
        <f>tblComponents[Sourcing_Type]</f>
        <v>Buy</v>
      </c>
      <c r="F305" t="str">
        <f>tblComponents[Criticality]</f>
        <v>Medium</v>
      </c>
      <c r="G305">
        <f>tblComponents[Monthly_Demand]</f>
        <v>1060</v>
      </c>
      <c r="H305">
        <f>tblComponents[Demand_Growth_Rate]</f>
        <v>2.9396698815279159E-2</v>
      </c>
      <c r="I305">
        <f>tblComponents[Forecast_Demand]</f>
        <v>1091</v>
      </c>
      <c r="J305">
        <f>tblComponents[Annual_Demand]</f>
        <v>17478</v>
      </c>
      <c r="K305">
        <f>tblComponents[Demand_Variability]</f>
        <v>0.17749999999999999</v>
      </c>
      <c r="L305">
        <f t="shared" si="4"/>
        <v>31</v>
      </c>
    </row>
    <row r="306" spans="1:12" x14ac:dyDescent="0.35">
      <c r="A306" s="8" t="str">
        <f>tblComponents[Component_ID]</f>
        <v>C305</v>
      </c>
      <c r="B306" s="8" t="str">
        <f>tblComponents[Component_Name]</f>
        <v>Component 305</v>
      </c>
      <c r="C306" t="str">
        <f>tblComponents[Product_Family]</f>
        <v>Electrical Systems</v>
      </c>
      <c r="D306" t="str">
        <f>tblComponents[Category]</f>
        <v>Metal</v>
      </c>
      <c r="E306" t="str">
        <f>tblComponents[Sourcing_Type]</f>
        <v>Buy</v>
      </c>
      <c r="F306" t="str">
        <f>tblComponents[Criticality]</f>
        <v>Medium</v>
      </c>
      <c r="G306">
        <f>tblComponents[Monthly_Demand]</f>
        <v>1817</v>
      </c>
      <c r="H306">
        <f>tblComponents[Demand_Growth_Rate]</f>
        <v>6.6741999990902676E-2</v>
      </c>
      <c r="I306">
        <f>tblComponents[Forecast_Demand]</f>
        <v>1938</v>
      </c>
      <c r="J306">
        <f>tblComponents[Annual_Demand]</f>
        <v>95942</v>
      </c>
      <c r="K306">
        <f>tblComponents[Demand_Variability]</f>
        <v>0.1381</v>
      </c>
      <c r="L306">
        <f t="shared" si="4"/>
        <v>121</v>
      </c>
    </row>
    <row r="307" spans="1:12" x14ac:dyDescent="0.35">
      <c r="A307" s="8" t="str">
        <f>tblComponents[Component_ID]</f>
        <v>C306</v>
      </c>
      <c r="B307" s="8" t="str">
        <f>tblComponents[Component_Name]</f>
        <v>Component 306</v>
      </c>
      <c r="C307" t="str">
        <f>tblComponents[Product_Family]</f>
        <v>Interior</v>
      </c>
      <c r="D307" t="str">
        <f>tblComponents[Category]</f>
        <v>Metal</v>
      </c>
      <c r="E307" t="str">
        <f>tblComponents[Sourcing_Type]</f>
        <v>Buy</v>
      </c>
      <c r="F307" t="str">
        <f>tblComponents[Criticality]</f>
        <v>Low</v>
      </c>
      <c r="G307">
        <f>tblComponents[Monthly_Demand]</f>
        <v>1136</v>
      </c>
      <c r="H307">
        <f>tblComponents[Demand_Growth_Rate]</f>
        <v>0.16067797554013871</v>
      </c>
      <c r="I307">
        <f>tblComponents[Forecast_Demand]</f>
        <v>1319</v>
      </c>
      <c r="J307">
        <f>tblComponents[Annual_Demand]</f>
        <v>20103</v>
      </c>
      <c r="K307">
        <f>tblComponents[Demand_Variability]</f>
        <v>0.19020000000000001</v>
      </c>
      <c r="L307">
        <f t="shared" si="4"/>
        <v>183</v>
      </c>
    </row>
    <row r="308" spans="1:12" x14ac:dyDescent="0.35">
      <c r="A308" s="8" t="str">
        <f>tblComponents[Component_ID]</f>
        <v>C307</v>
      </c>
      <c r="B308" s="8" t="str">
        <f>tblComponents[Component_Name]</f>
        <v>Component 307</v>
      </c>
      <c r="C308" t="str">
        <f>tblComponents[Product_Family]</f>
        <v>Body &amp; Exterior</v>
      </c>
      <c r="D308" t="str">
        <f>tblComponents[Category]</f>
        <v>Electrical</v>
      </c>
      <c r="E308" t="str">
        <f>tblComponents[Sourcing_Type]</f>
        <v>Buy</v>
      </c>
      <c r="F308" t="str">
        <f>tblComponents[Criticality]</f>
        <v>Low</v>
      </c>
      <c r="G308">
        <f>tblComponents[Monthly_Demand]</f>
        <v>1471</v>
      </c>
      <c r="H308">
        <f>tblComponents[Demand_Growth_Rate]</f>
        <v>0.118785015287417</v>
      </c>
      <c r="I308">
        <f>tblComponents[Forecast_Demand]</f>
        <v>1646</v>
      </c>
      <c r="J308">
        <f>tblComponents[Annual_Demand]</f>
        <v>49420</v>
      </c>
      <c r="K308">
        <f>tblComponents[Demand_Variability]</f>
        <v>9.1600000000000001E-2</v>
      </c>
      <c r="L308">
        <f t="shared" si="4"/>
        <v>175</v>
      </c>
    </row>
    <row r="309" spans="1:12" x14ac:dyDescent="0.35">
      <c r="A309" s="8" t="str">
        <f>tblComponents[Component_ID]</f>
        <v>C308</v>
      </c>
      <c r="B309" s="8" t="str">
        <f>tblComponents[Component_Name]</f>
        <v>Component 308</v>
      </c>
      <c r="C309" t="str">
        <f>tblComponents[Product_Family]</f>
        <v>Powertrain</v>
      </c>
      <c r="D309" t="str">
        <f>tblComponents[Category]</f>
        <v>Metal</v>
      </c>
      <c r="E309" t="str">
        <f>tblComponents[Sourcing_Type]</f>
        <v>Buy</v>
      </c>
      <c r="F309" t="str">
        <f>tblComponents[Criticality]</f>
        <v>Low</v>
      </c>
      <c r="G309">
        <f>tblComponents[Monthly_Demand]</f>
        <v>674</v>
      </c>
      <c r="H309">
        <f>tblComponents[Demand_Growth_Rate]</f>
        <v>-8.261727813200323E-3</v>
      </c>
      <c r="I309">
        <f>tblComponents[Forecast_Demand]</f>
        <v>668</v>
      </c>
      <c r="J309">
        <f>tblComponents[Annual_Demand]</f>
        <v>18277</v>
      </c>
      <c r="K309">
        <f>tblComponents[Demand_Variability]</f>
        <v>0.2326</v>
      </c>
      <c r="L309">
        <f t="shared" si="4"/>
        <v>-6</v>
      </c>
    </row>
    <row r="310" spans="1:12" x14ac:dyDescent="0.35">
      <c r="A310" s="8" t="str">
        <f>tblComponents[Component_ID]</f>
        <v>C309</v>
      </c>
      <c r="B310" s="8" t="str">
        <f>tblComponents[Component_Name]</f>
        <v>Component 309</v>
      </c>
      <c r="C310" t="str">
        <f>tblComponents[Product_Family]</f>
        <v>Body &amp; Exterior</v>
      </c>
      <c r="D310" t="str">
        <f>tblComponents[Category]</f>
        <v>Electrical</v>
      </c>
      <c r="E310" t="str">
        <f>tblComponents[Sourcing_Type]</f>
        <v>Buy</v>
      </c>
      <c r="F310" t="str">
        <f>tblComponents[Criticality]</f>
        <v>Low</v>
      </c>
      <c r="G310">
        <f>tblComponents[Monthly_Demand]</f>
        <v>193</v>
      </c>
      <c r="H310">
        <f>tblComponents[Demand_Growth_Rate]</f>
        <v>1.724200789884649E-2</v>
      </c>
      <c r="I310">
        <f>tblComponents[Forecast_Demand]</f>
        <v>196</v>
      </c>
      <c r="J310">
        <f>tblComponents[Annual_Demand]</f>
        <v>48367</v>
      </c>
      <c r="K310">
        <f>tblComponents[Demand_Variability]</f>
        <v>0.1003</v>
      </c>
      <c r="L310">
        <f t="shared" si="4"/>
        <v>3</v>
      </c>
    </row>
    <row r="311" spans="1:12" x14ac:dyDescent="0.35">
      <c r="A311" s="8" t="str">
        <f>tblComponents[Component_ID]</f>
        <v>C310</v>
      </c>
      <c r="B311" s="8" t="str">
        <f>tblComponents[Component_Name]</f>
        <v>Component 310</v>
      </c>
      <c r="C311" t="str">
        <f>tblComponents[Product_Family]</f>
        <v>Electrical Systems</v>
      </c>
      <c r="D311" t="str">
        <f>tblComponents[Category]</f>
        <v>Electrical</v>
      </c>
      <c r="E311" t="str">
        <f>tblComponents[Sourcing_Type]</f>
        <v>Buy</v>
      </c>
      <c r="F311" t="str">
        <f>tblComponents[Criticality]</f>
        <v>Medium</v>
      </c>
      <c r="G311">
        <f>tblComponents[Monthly_Demand]</f>
        <v>1052</v>
      </c>
      <c r="H311">
        <f>tblComponents[Demand_Growth_Rate]</f>
        <v>6.8991932752913973E-2</v>
      </c>
      <c r="I311">
        <f>tblComponents[Forecast_Demand]</f>
        <v>1125</v>
      </c>
      <c r="J311">
        <f>tblComponents[Annual_Demand]</f>
        <v>41795</v>
      </c>
      <c r="K311">
        <f>tblComponents[Demand_Variability]</f>
        <v>0.13569999999999999</v>
      </c>
      <c r="L311">
        <f t="shared" si="4"/>
        <v>73</v>
      </c>
    </row>
    <row r="312" spans="1:12" x14ac:dyDescent="0.35">
      <c r="A312" s="8" t="str">
        <f>tblComponents[Component_ID]</f>
        <v>C311</v>
      </c>
      <c r="B312" s="8" t="str">
        <f>tblComponents[Component_Name]</f>
        <v>Component 311</v>
      </c>
      <c r="C312" t="str">
        <f>tblComponents[Product_Family]</f>
        <v>Electrical Systems</v>
      </c>
      <c r="D312" t="str">
        <f>tblComponents[Category]</f>
        <v>Electrical</v>
      </c>
      <c r="E312" t="str">
        <f>tblComponents[Sourcing_Type]</f>
        <v>Buy</v>
      </c>
      <c r="F312" t="str">
        <f>tblComponents[Criticality]</f>
        <v>Low</v>
      </c>
      <c r="G312">
        <f>tblComponents[Monthly_Demand]</f>
        <v>1740</v>
      </c>
      <c r="H312">
        <f>tblComponents[Demand_Growth_Rate]</f>
        <v>0.15554497170410581</v>
      </c>
      <c r="I312">
        <f>tblComponents[Forecast_Demand]</f>
        <v>2011</v>
      </c>
      <c r="J312">
        <f>tblComponents[Annual_Demand]</f>
        <v>98154</v>
      </c>
      <c r="K312">
        <f>tblComponents[Demand_Variability]</f>
        <v>0.21870000000000001</v>
      </c>
      <c r="L312">
        <f t="shared" si="4"/>
        <v>271</v>
      </c>
    </row>
    <row r="313" spans="1:12" x14ac:dyDescent="0.35">
      <c r="A313" s="8" t="str">
        <f>tblComponents[Component_ID]</f>
        <v>C312</v>
      </c>
      <c r="B313" s="8" t="str">
        <f>tblComponents[Component_Name]</f>
        <v>Component 312</v>
      </c>
      <c r="C313" t="str">
        <f>tblComponents[Product_Family]</f>
        <v>Powertrain</v>
      </c>
      <c r="D313" t="str">
        <f>tblComponents[Category]</f>
        <v>Electrical</v>
      </c>
      <c r="E313" t="str">
        <f>tblComponents[Sourcing_Type]</f>
        <v>Buy</v>
      </c>
      <c r="F313" t="str">
        <f>tblComponents[Criticality]</f>
        <v>Low</v>
      </c>
      <c r="G313">
        <f>tblComponents[Monthly_Demand]</f>
        <v>1120</v>
      </c>
      <c r="H313">
        <f>tblComponents[Demand_Growth_Rate]</f>
        <v>0.13850575873209561</v>
      </c>
      <c r="I313">
        <f>tblComponents[Forecast_Demand]</f>
        <v>1275</v>
      </c>
      <c r="J313">
        <f>tblComponents[Annual_Demand]</f>
        <v>23792</v>
      </c>
      <c r="K313">
        <f>tblComponents[Demand_Variability]</f>
        <v>0.18149999999999999</v>
      </c>
      <c r="L313">
        <f t="shared" si="4"/>
        <v>155</v>
      </c>
    </row>
    <row r="314" spans="1:12" x14ac:dyDescent="0.35">
      <c r="A314" s="8" t="str">
        <f>tblComponents[Component_ID]</f>
        <v>C313</v>
      </c>
      <c r="B314" s="8" t="str">
        <f>tblComponents[Component_Name]</f>
        <v>Component 313</v>
      </c>
      <c r="C314" t="str">
        <f>tblComponents[Product_Family]</f>
        <v>Chassis</v>
      </c>
      <c r="D314" t="str">
        <f>tblComponents[Category]</f>
        <v>Electrical</v>
      </c>
      <c r="E314" t="str">
        <f>tblComponents[Sourcing_Type]</f>
        <v>Buy</v>
      </c>
      <c r="F314" t="str">
        <f>tblComponents[Criticality]</f>
        <v>Medium</v>
      </c>
      <c r="G314">
        <f>tblComponents[Monthly_Demand]</f>
        <v>248</v>
      </c>
      <c r="H314">
        <f>tblComponents[Demand_Growth_Rate]</f>
        <v>0.1205484701566526</v>
      </c>
      <c r="I314">
        <f>tblComponents[Forecast_Demand]</f>
        <v>278</v>
      </c>
      <c r="J314">
        <f>tblComponents[Annual_Demand]</f>
        <v>59425</v>
      </c>
      <c r="K314">
        <f>tblComponents[Demand_Variability]</f>
        <v>0.1469</v>
      </c>
      <c r="L314">
        <f t="shared" si="4"/>
        <v>30</v>
      </c>
    </row>
    <row r="315" spans="1:12" x14ac:dyDescent="0.35">
      <c r="A315" s="8" t="str">
        <f>tblComponents[Component_ID]</f>
        <v>C314</v>
      </c>
      <c r="B315" s="8" t="str">
        <f>tblComponents[Component_Name]</f>
        <v>Component 314</v>
      </c>
      <c r="C315" t="str">
        <f>tblComponents[Product_Family]</f>
        <v>Electrical Systems</v>
      </c>
      <c r="D315" t="str">
        <f>tblComponents[Category]</f>
        <v>Metal</v>
      </c>
      <c r="E315" t="str">
        <f>tblComponents[Sourcing_Type]</f>
        <v>Buy</v>
      </c>
      <c r="F315" t="str">
        <f>tblComponents[Criticality]</f>
        <v>Medium</v>
      </c>
      <c r="G315">
        <f>tblComponents[Monthly_Demand]</f>
        <v>153</v>
      </c>
      <c r="H315">
        <f>tblComponents[Demand_Growth_Rate]</f>
        <v>7.8965475678082028E-2</v>
      </c>
      <c r="I315">
        <f>tblComponents[Forecast_Demand]</f>
        <v>165</v>
      </c>
      <c r="J315">
        <f>tblComponents[Annual_Demand]</f>
        <v>35368</v>
      </c>
      <c r="K315">
        <f>tblComponents[Demand_Variability]</f>
        <v>0.1605</v>
      </c>
      <c r="L315">
        <f t="shared" si="4"/>
        <v>12</v>
      </c>
    </row>
    <row r="316" spans="1:12" x14ac:dyDescent="0.35">
      <c r="A316" s="8" t="str">
        <f>tblComponents[Component_ID]</f>
        <v>C315</v>
      </c>
      <c r="B316" s="8" t="str">
        <f>tblComponents[Component_Name]</f>
        <v>Component 315</v>
      </c>
      <c r="C316" t="str">
        <f>tblComponents[Product_Family]</f>
        <v>Body &amp; Exterior</v>
      </c>
      <c r="D316" t="str">
        <f>tblComponents[Category]</f>
        <v>Metal</v>
      </c>
      <c r="E316" t="str">
        <f>tblComponents[Sourcing_Type]</f>
        <v>Buy</v>
      </c>
      <c r="F316" t="str">
        <f>tblComponents[Criticality]</f>
        <v>High</v>
      </c>
      <c r="G316">
        <f>tblComponents[Monthly_Demand]</f>
        <v>1867</v>
      </c>
      <c r="H316">
        <f>tblComponents[Demand_Growth_Rate]</f>
        <v>0.18721148895778261</v>
      </c>
      <c r="I316">
        <f>tblComponents[Forecast_Demand]</f>
        <v>2217</v>
      </c>
      <c r="J316">
        <f>tblComponents[Annual_Demand]</f>
        <v>47696</v>
      </c>
      <c r="K316">
        <f>tblComponents[Demand_Variability]</f>
        <v>0.2253</v>
      </c>
      <c r="L316">
        <f t="shared" si="4"/>
        <v>350</v>
      </c>
    </row>
    <row r="317" spans="1:12" x14ac:dyDescent="0.35">
      <c r="A317" s="8" t="str">
        <f>tblComponents[Component_ID]</f>
        <v>C316</v>
      </c>
      <c r="B317" s="8" t="str">
        <f>tblComponents[Component_Name]</f>
        <v>Component 316</v>
      </c>
      <c r="C317" t="str">
        <f>tblComponents[Product_Family]</f>
        <v>Body &amp; Exterior</v>
      </c>
      <c r="D317" t="str">
        <f>tblComponents[Category]</f>
        <v>Metal</v>
      </c>
      <c r="E317" t="str">
        <f>tblComponents[Sourcing_Type]</f>
        <v>Buy</v>
      </c>
      <c r="F317" t="str">
        <f>tblComponents[Criticality]</f>
        <v>High</v>
      </c>
      <c r="G317">
        <f>tblComponents[Monthly_Demand]</f>
        <v>327</v>
      </c>
      <c r="H317">
        <f>tblComponents[Demand_Growth_Rate]</f>
        <v>-3.9585795404329403E-2</v>
      </c>
      <c r="I317">
        <f>tblComponents[Forecast_Demand]</f>
        <v>314</v>
      </c>
      <c r="J317">
        <f>tblComponents[Annual_Demand]</f>
        <v>17940</v>
      </c>
      <c r="K317">
        <f>tblComponents[Demand_Variability]</f>
        <v>0.13780000000000001</v>
      </c>
      <c r="L317">
        <f t="shared" si="4"/>
        <v>-13</v>
      </c>
    </row>
    <row r="318" spans="1:12" x14ac:dyDescent="0.35">
      <c r="A318" s="8" t="str">
        <f>tblComponents[Component_ID]</f>
        <v>C317</v>
      </c>
      <c r="B318" s="8" t="str">
        <f>tblComponents[Component_Name]</f>
        <v>Component 317</v>
      </c>
      <c r="C318" t="str">
        <f>tblComponents[Product_Family]</f>
        <v>Body &amp; Exterior</v>
      </c>
      <c r="D318" t="str">
        <f>tblComponents[Category]</f>
        <v>Metal</v>
      </c>
      <c r="E318" t="str">
        <f>tblComponents[Sourcing_Type]</f>
        <v>Buy</v>
      </c>
      <c r="F318" t="str">
        <f>tblComponents[Criticality]</f>
        <v>High</v>
      </c>
      <c r="G318">
        <f>tblComponents[Monthly_Demand]</f>
        <v>2995</v>
      </c>
      <c r="H318">
        <f>tblComponents[Demand_Growth_Rate]</f>
        <v>-1.8612446309336662E-2</v>
      </c>
      <c r="I318">
        <f>tblComponents[Forecast_Demand]</f>
        <v>2939</v>
      </c>
      <c r="J318">
        <f>tblComponents[Annual_Demand]</f>
        <v>90294</v>
      </c>
      <c r="K318">
        <f>tblComponents[Demand_Variability]</f>
        <v>0.2278</v>
      </c>
      <c r="L318">
        <f t="shared" si="4"/>
        <v>-56</v>
      </c>
    </row>
    <row r="319" spans="1:12" x14ac:dyDescent="0.35">
      <c r="A319" s="8" t="str">
        <f>tblComponents[Component_ID]</f>
        <v>C318</v>
      </c>
      <c r="B319" s="8" t="str">
        <f>tblComponents[Component_Name]</f>
        <v>Component 318</v>
      </c>
      <c r="C319" t="str">
        <f>tblComponents[Product_Family]</f>
        <v>Body &amp; Exterior</v>
      </c>
      <c r="D319" t="str">
        <f>tblComponents[Category]</f>
        <v>Electrical</v>
      </c>
      <c r="E319" t="str">
        <f>tblComponents[Sourcing_Type]</f>
        <v>Buy</v>
      </c>
      <c r="F319" t="str">
        <f>tblComponents[Criticality]</f>
        <v>High</v>
      </c>
      <c r="G319">
        <f>tblComponents[Monthly_Demand]</f>
        <v>2524</v>
      </c>
      <c r="H319">
        <f>tblComponents[Demand_Growth_Rate]</f>
        <v>3.545092637304563E-2</v>
      </c>
      <c r="I319">
        <f>tblComponents[Forecast_Demand]</f>
        <v>2613</v>
      </c>
      <c r="J319">
        <f>tblComponents[Annual_Demand]</f>
        <v>44719</v>
      </c>
      <c r="K319">
        <f>tblComponents[Demand_Variability]</f>
        <v>9.5000000000000001E-2</v>
      </c>
      <c r="L319">
        <f t="shared" si="4"/>
        <v>89</v>
      </c>
    </row>
    <row r="320" spans="1:12" x14ac:dyDescent="0.35">
      <c r="A320" s="8" t="str">
        <f>tblComponents[Component_ID]</f>
        <v>C319</v>
      </c>
      <c r="B320" s="8" t="str">
        <f>tblComponents[Component_Name]</f>
        <v>Component 319</v>
      </c>
      <c r="C320" t="str">
        <f>tblComponents[Product_Family]</f>
        <v>Chassis</v>
      </c>
      <c r="D320" t="str">
        <f>tblComponents[Category]</f>
        <v>Electrical</v>
      </c>
      <c r="E320" t="str">
        <f>tblComponents[Sourcing_Type]</f>
        <v>Buy</v>
      </c>
      <c r="F320" t="str">
        <f>tblComponents[Criticality]</f>
        <v>Medium</v>
      </c>
      <c r="G320">
        <f>tblComponents[Monthly_Demand]</f>
        <v>1472</v>
      </c>
      <c r="H320">
        <f>tblComponents[Demand_Growth_Rate]</f>
        <v>0.19354861095408929</v>
      </c>
      <c r="I320">
        <f>tblComponents[Forecast_Demand]</f>
        <v>1757</v>
      </c>
      <c r="J320">
        <f>tblComponents[Annual_Demand]</f>
        <v>24290</v>
      </c>
      <c r="K320">
        <f>tblComponents[Demand_Variability]</f>
        <v>0.21210000000000001</v>
      </c>
      <c r="L320">
        <f t="shared" si="4"/>
        <v>285</v>
      </c>
    </row>
    <row r="321" spans="1:12" x14ac:dyDescent="0.35">
      <c r="A321" s="8" t="str">
        <f>tblComponents[Component_ID]</f>
        <v>C320</v>
      </c>
      <c r="B321" s="8" t="str">
        <f>tblComponents[Component_Name]</f>
        <v>Component 320</v>
      </c>
      <c r="C321" t="str">
        <f>tblComponents[Product_Family]</f>
        <v>Powertrain</v>
      </c>
      <c r="D321" t="str">
        <f>tblComponents[Category]</f>
        <v>Electrical</v>
      </c>
      <c r="E321" t="str">
        <f>tblComponents[Sourcing_Type]</f>
        <v>Buy</v>
      </c>
      <c r="F321" t="str">
        <f>tblComponents[Criticality]</f>
        <v>Medium</v>
      </c>
      <c r="G321">
        <f>tblComponents[Monthly_Demand]</f>
        <v>713</v>
      </c>
      <c r="H321">
        <f>tblComponents[Demand_Growth_Rate]</f>
        <v>-1.1918053584330301E-2</v>
      </c>
      <c r="I321">
        <f>tblComponents[Forecast_Demand]</f>
        <v>705</v>
      </c>
      <c r="J321">
        <f>tblComponents[Annual_Demand]</f>
        <v>53367</v>
      </c>
      <c r="K321">
        <f>tblComponents[Demand_Variability]</f>
        <v>0.22409999999999999</v>
      </c>
      <c r="L321">
        <f t="shared" si="4"/>
        <v>-8</v>
      </c>
    </row>
    <row r="322" spans="1:12" x14ac:dyDescent="0.35">
      <c r="A322" s="8" t="str">
        <f>tblComponents[Component_ID]</f>
        <v>C321</v>
      </c>
      <c r="B322" s="8" t="str">
        <f>tblComponents[Component_Name]</f>
        <v>Component 321</v>
      </c>
      <c r="C322" t="str">
        <f>tblComponents[Product_Family]</f>
        <v>Body &amp; Exterior</v>
      </c>
      <c r="D322" t="str">
        <f>tblComponents[Category]</f>
        <v>Electrical</v>
      </c>
      <c r="E322" t="str">
        <f>tblComponents[Sourcing_Type]</f>
        <v>Buy</v>
      </c>
      <c r="F322" t="str">
        <f>tblComponents[Criticality]</f>
        <v>Medium</v>
      </c>
      <c r="G322">
        <f>tblComponents[Monthly_Demand]</f>
        <v>2963</v>
      </c>
      <c r="H322">
        <f>tblComponents[Demand_Growth_Rate]</f>
        <v>-3.5538887638209851E-2</v>
      </c>
      <c r="I322">
        <f>tblComponents[Forecast_Demand]</f>
        <v>2858</v>
      </c>
      <c r="J322">
        <f>tblComponents[Annual_Demand]</f>
        <v>29342</v>
      </c>
      <c r="K322">
        <f>tblComponents[Demand_Variability]</f>
        <v>0.1109</v>
      </c>
      <c r="L322">
        <f t="shared" si="4"/>
        <v>-105</v>
      </c>
    </row>
    <row r="323" spans="1:12" x14ac:dyDescent="0.35">
      <c r="A323" s="8" t="str">
        <f>tblComponents[Component_ID]</f>
        <v>C322</v>
      </c>
      <c r="B323" s="8" t="str">
        <f>tblComponents[Component_Name]</f>
        <v>Component 322</v>
      </c>
      <c r="C323" t="str">
        <f>tblComponents[Product_Family]</f>
        <v>Interior</v>
      </c>
      <c r="D323" t="str">
        <f>tblComponents[Category]</f>
        <v>Electrical</v>
      </c>
      <c r="E323" t="str">
        <f>tblComponents[Sourcing_Type]</f>
        <v>Buy</v>
      </c>
      <c r="F323" t="str">
        <f>tblComponents[Criticality]</f>
        <v>Medium</v>
      </c>
      <c r="G323">
        <f>tblComponents[Monthly_Demand]</f>
        <v>127</v>
      </c>
      <c r="H323">
        <f>tblComponents[Demand_Growth_Rate]</f>
        <v>0.14423200258180641</v>
      </c>
      <c r="I323">
        <f>tblComponents[Forecast_Demand]</f>
        <v>145</v>
      </c>
      <c r="J323">
        <f>tblComponents[Annual_Demand]</f>
        <v>5198</v>
      </c>
      <c r="K323">
        <f>tblComponents[Demand_Variability]</f>
        <v>0.1532</v>
      </c>
      <c r="L323">
        <f t="shared" ref="L323:L386" si="5">I323-G323</f>
        <v>18</v>
      </c>
    </row>
    <row r="324" spans="1:12" x14ac:dyDescent="0.35">
      <c r="A324" s="8" t="str">
        <f>tblComponents[Component_ID]</f>
        <v>C323</v>
      </c>
      <c r="B324" s="8" t="str">
        <f>tblComponents[Component_Name]</f>
        <v>Component 323</v>
      </c>
      <c r="C324" t="str">
        <f>tblComponents[Product_Family]</f>
        <v>Body &amp; Exterior</v>
      </c>
      <c r="D324" t="str">
        <f>tblComponents[Category]</f>
        <v>Electrical</v>
      </c>
      <c r="E324" t="str">
        <f>tblComponents[Sourcing_Type]</f>
        <v>Buy</v>
      </c>
      <c r="F324" t="str">
        <f>tblComponents[Criticality]</f>
        <v>Low</v>
      </c>
      <c r="G324">
        <f>tblComponents[Monthly_Demand]</f>
        <v>838</v>
      </c>
      <c r="H324">
        <f>tblComponents[Demand_Growth_Rate]</f>
        <v>-1.3259322602947579E-2</v>
      </c>
      <c r="I324">
        <f>tblComponents[Forecast_Demand]</f>
        <v>827</v>
      </c>
      <c r="J324">
        <f>tblComponents[Annual_Demand]</f>
        <v>21955</v>
      </c>
      <c r="K324">
        <f>tblComponents[Demand_Variability]</f>
        <v>0.1081</v>
      </c>
      <c r="L324">
        <f t="shared" si="5"/>
        <v>-11</v>
      </c>
    </row>
    <row r="325" spans="1:12" x14ac:dyDescent="0.35">
      <c r="A325" s="8" t="str">
        <f>tblComponents[Component_ID]</f>
        <v>C324</v>
      </c>
      <c r="B325" s="8" t="str">
        <f>tblComponents[Component_Name]</f>
        <v>Component 324</v>
      </c>
      <c r="C325" t="str">
        <f>tblComponents[Product_Family]</f>
        <v>Electrical Systems</v>
      </c>
      <c r="D325" t="str">
        <f>tblComponents[Category]</f>
        <v>Metal</v>
      </c>
      <c r="E325" t="str">
        <f>tblComponents[Sourcing_Type]</f>
        <v>Buy</v>
      </c>
      <c r="F325" t="str">
        <f>tblComponents[Criticality]</f>
        <v>High</v>
      </c>
      <c r="G325">
        <f>tblComponents[Monthly_Demand]</f>
        <v>1063</v>
      </c>
      <c r="H325">
        <f>tblComponents[Demand_Growth_Rate]</f>
        <v>3.4335035254255873E-2</v>
      </c>
      <c r="I325">
        <f>tblComponents[Forecast_Demand]</f>
        <v>1099</v>
      </c>
      <c r="J325">
        <f>tblComponents[Annual_Demand]</f>
        <v>25762</v>
      </c>
      <c r="K325">
        <f>tblComponents[Demand_Variability]</f>
        <v>0.2001</v>
      </c>
      <c r="L325">
        <f t="shared" si="5"/>
        <v>36</v>
      </c>
    </row>
    <row r="326" spans="1:12" x14ac:dyDescent="0.35">
      <c r="A326" s="8" t="str">
        <f>tblComponents[Component_ID]</f>
        <v>C325</v>
      </c>
      <c r="B326" s="8" t="str">
        <f>tblComponents[Component_Name]</f>
        <v>Component 325</v>
      </c>
      <c r="C326" t="str">
        <f>tblComponents[Product_Family]</f>
        <v>Electrical Systems</v>
      </c>
      <c r="D326" t="str">
        <f>tblComponents[Category]</f>
        <v>Metal</v>
      </c>
      <c r="E326" t="str">
        <f>tblComponents[Sourcing_Type]</f>
        <v>Buy</v>
      </c>
      <c r="F326" t="str">
        <f>tblComponents[Criticality]</f>
        <v>Medium</v>
      </c>
      <c r="G326">
        <f>tblComponents[Monthly_Demand]</f>
        <v>183</v>
      </c>
      <c r="H326">
        <f>tblComponents[Demand_Growth_Rate]</f>
        <v>0.1077304475572908</v>
      </c>
      <c r="I326">
        <f>tblComponents[Forecast_Demand]</f>
        <v>203</v>
      </c>
      <c r="J326">
        <f>tblComponents[Annual_Demand]</f>
        <v>45133</v>
      </c>
      <c r="K326">
        <f>tblComponents[Demand_Variability]</f>
        <v>0.17100000000000001</v>
      </c>
      <c r="L326">
        <f t="shared" si="5"/>
        <v>20</v>
      </c>
    </row>
    <row r="327" spans="1:12" x14ac:dyDescent="0.35">
      <c r="A327" s="8" t="str">
        <f>tblComponents[Component_ID]</f>
        <v>C326</v>
      </c>
      <c r="B327" s="8" t="str">
        <f>tblComponents[Component_Name]</f>
        <v>Component 326</v>
      </c>
      <c r="C327" t="str">
        <f>tblComponents[Product_Family]</f>
        <v>Powertrain</v>
      </c>
      <c r="D327" t="str">
        <f>tblComponents[Category]</f>
        <v>Electrical</v>
      </c>
      <c r="E327" t="str">
        <f>tblComponents[Sourcing_Type]</f>
        <v>Buy</v>
      </c>
      <c r="F327" t="str">
        <f>tblComponents[Criticality]</f>
        <v>High</v>
      </c>
      <c r="G327">
        <f>tblComponents[Monthly_Demand]</f>
        <v>776</v>
      </c>
      <c r="H327">
        <f>tblComponents[Demand_Growth_Rate]</f>
        <v>0.19057755074694599</v>
      </c>
      <c r="I327">
        <f>tblComponents[Forecast_Demand]</f>
        <v>924</v>
      </c>
      <c r="J327">
        <f>tblComponents[Annual_Demand]</f>
        <v>55150</v>
      </c>
      <c r="K327">
        <f>tblComponents[Demand_Variability]</f>
        <v>0.188</v>
      </c>
      <c r="L327">
        <f t="shared" si="5"/>
        <v>148</v>
      </c>
    </row>
    <row r="328" spans="1:12" x14ac:dyDescent="0.35">
      <c r="A328" s="8" t="str">
        <f>tblComponents[Component_ID]</f>
        <v>C327</v>
      </c>
      <c r="B328" s="8" t="str">
        <f>tblComponents[Component_Name]</f>
        <v>Component 327</v>
      </c>
      <c r="C328" t="str">
        <f>tblComponents[Product_Family]</f>
        <v>Interior</v>
      </c>
      <c r="D328" t="str">
        <f>tblComponents[Category]</f>
        <v>Electrical</v>
      </c>
      <c r="E328" t="str">
        <f>tblComponents[Sourcing_Type]</f>
        <v>Buy</v>
      </c>
      <c r="F328" t="str">
        <f>tblComponents[Criticality]</f>
        <v>High</v>
      </c>
      <c r="G328">
        <f>tblComponents[Monthly_Demand]</f>
        <v>502</v>
      </c>
      <c r="H328">
        <f>tblComponents[Demand_Growth_Rate]</f>
        <v>-8.5625550449610205E-3</v>
      </c>
      <c r="I328">
        <f>tblComponents[Forecast_Demand]</f>
        <v>498</v>
      </c>
      <c r="J328">
        <f>tblComponents[Annual_Demand]</f>
        <v>42052</v>
      </c>
      <c r="K328">
        <f>tblComponents[Demand_Variability]</f>
        <v>0.1134</v>
      </c>
      <c r="L328">
        <f t="shared" si="5"/>
        <v>-4</v>
      </c>
    </row>
    <row r="329" spans="1:12" x14ac:dyDescent="0.35">
      <c r="A329" s="8" t="str">
        <f>tblComponents[Component_ID]</f>
        <v>C328</v>
      </c>
      <c r="B329" s="8" t="str">
        <f>tblComponents[Component_Name]</f>
        <v>Component 328</v>
      </c>
      <c r="C329" t="str">
        <f>tblComponents[Product_Family]</f>
        <v>Powertrain</v>
      </c>
      <c r="D329" t="str">
        <f>tblComponents[Category]</f>
        <v>Metal</v>
      </c>
      <c r="E329" t="str">
        <f>tblComponents[Sourcing_Type]</f>
        <v>Buy</v>
      </c>
      <c r="F329" t="str">
        <f>tblComponents[Criticality]</f>
        <v>Low</v>
      </c>
      <c r="G329">
        <f>tblComponents[Monthly_Demand]</f>
        <v>110</v>
      </c>
      <c r="H329">
        <f>tblComponents[Demand_Growth_Rate]</f>
        <v>4.7964574102269723E-2</v>
      </c>
      <c r="I329">
        <f>tblComponents[Forecast_Demand]</f>
        <v>115</v>
      </c>
      <c r="J329">
        <f>tblComponents[Annual_Demand]</f>
        <v>16469</v>
      </c>
      <c r="K329">
        <f>tblComponents[Demand_Variability]</f>
        <v>0.11600000000000001</v>
      </c>
      <c r="L329">
        <f t="shared" si="5"/>
        <v>5</v>
      </c>
    </row>
    <row r="330" spans="1:12" x14ac:dyDescent="0.35">
      <c r="A330" s="8" t="str">
        <f>tblComponents[Component_ID]</f>
        <v>C329</v>
      </c>
      <c r="B330" s="8" t="str">
        <f>tblComponents[Component_Name]</f>
        <v>Component 329</v>
      </c>
      <c r="C330" t="str">
        <f>tblComponents[Product_Family]</f>
        <v>Powertrain</v>
      </c>
      <c r="D330" t="str">
        <f>tblComponents[Category]</f>
        <v>Electrical</v>
      </c>
      <c r="E330" t="str">
        <f>tblComponents[Sourcing_Type]</f>
        <v>Buy</v>
      </c>
      <c r="F330" t="str">
        <f>tblComponents[Criticality]</f>
        <v>Medium</v>
      </c>
      <c r="G330">
        <f>tblComponents[Monthly_Demand]</f>
        <v>431</v>
      </c>
      <c r="H330">
        <f>tblComponents[Demand_Growth_Rate]</f>
        <v>1.4885445794022579E-2</v>
      </c>
      <c r="I330">
        <f>tblComponents[Forecast_Demand]</f>
        <v>437</v>
      </c>
      <c r="J330">
        <f>tblComponents[Annual_Demand]</f>
        <v>34953</v>
      </c>
      <c r="K330">
        <f>tblComponents[Demand_Variability]</f>
        <v>8.7099999999999997E-2</v>
      </c>
      <c r="L330">
        <f t="shared" si="5"/>
        <v>6</v>
      </c>
    </row>
    <row r="331" spans="1:12" x14ac:dyDescent="0.35">
      <c r="A331" s="8" t="str">
        <f>tblComponents[Component_ID]</f>
        <v>C330</v>
      </c>
      <c r="B331" s="8" t="str">
        <f>tblComponents[Component_Name]</f>
        <v>Component 330</v>
      </c>
      <c r="C331" t="str">
        <f>tblComponents[Product_Family]</f>
        <v>Electrical Systems</v>
      </c>
      <c r="D331" t="str">
        <f>tblComponents[Category]</f>
        <v>Metal</v>
      </c>
      <c r="E331" t="str">
        <f>tblComponents[Sourcing_Type]</f>
        <v>Buy</v>
      </c>
      <c r="F331" t="str">
        <f>tblComponents[Criticality]</f>
        <v>Low</v>
      </c>
      <c r="G331">
        <f>tblComponents[Monthly_Demand]</f>
        <v>1882</v>
      </c>
      <c r="H331">
        <f>tblComponents[Demand_Growth_Rate]</f>
        <v>0.133030651710739</v>
      </c>
      <c r="I331">
        <f>tblComponents[Forecast_Demand]</f>
        <v>2132</v>
      </c>
      <c r="J331">
        <f>tblComponents[Annual_Demand]</f>
        <v>55475</v>
      </c>
      <c r="K331">
        <f>tblComponents[Demand_Variability]</f>
        <v>0.1348</v>
      </c>
      <c r="L331">
        <f t="shared" si="5"/>
        <v>250</v>
      </c>
    </row>
    <row r="332" spans="1:12" x14ac:dyDescent="0.35">
      <c r="A332" s="8" t="str">
        <f>tblComponents[Component_ID]</f>
        <v>C331</v>
      </c>
      <c r="B332" s="8" t="str">
        <f>tblComponents[Component_Name]</f>
        <v>Component 331</v>
      </c>
      <c r="C332" t="str">
        <f>tblComponents[Product_Family]</f>
        <v>Body &amp; Exterior</v>
      </c>
      <c r="D332" t="str">
        <f>tblComponents[Category]</f>
        <v>Metal</v>
      </c>
      <c r="E332" t="str">
        <f>tblComponents[Sourcing_Type]</f>
        <v>Buy</v>
      </c>
      <c r="F332" t="str">
        <f>tblComponents[Criticality]</f>
        <v>Low</v>
      </c>
      <c r="G332">
        <f>tblComponents[Monthly_Demand]</f>
        <v>861</v>
      </c>
      <c r="H332">
        <f>tblComponents[Demand_Growth_Rate]</f>
        <v>6.9225026616992494E-2</v>
      </c>
      <c r="I332">
        <f>tblComponents[Forecast_Demand]</f>
        <v>921</v>
      </c>
      <c r="J332">
        <f>tblComponents[Annual_Demand]</f>
        <v>25470</v>
      </c>
      <c r="K332">
        <f>tblComponents[Demand_Variability]</f>
        <v>0.17519999999999999</v>
      </c>
      <c r="L332">
        <f t="shared" si="5"/>
        <v>60</v>
      </c>
    </row>
    <row r="333" spans="1:12" x14ac:dyDescent="0.35">
      <c r="A333" s="8" t="str">
        <f>tblComponents[Component_ID]</f>
        <v>C332</v>
      </c>
      <c r="B333" s="8" t="str">
        <f>tblComponents[Component_Name]</f>
        <v>Component 332</v>
      </c>
      <c r="C333" t="str">
        <f>tblComponents[Product_Family]</f>
        <v>Chassis</v>
      </c>
      <c r="D333" t="str">
        <f>tblComponents[Category]</f>
        <v>Electrical</v>
      </c>
      <c r="E333" t="str">
        <f>tblComponents[Sourcing_Type]</f>
        <v>Buy</v>
      </c>
      <c r="F333" t="str">
        <f>tblComponents[Criticality]</f>
        <v>High</v>
      </c>
      <c r="G333">
        <f>tblComponents[Monthly_Demand]</f>
        <v>1353</v>
      </c>
      <c r="H333">
        <f>tblComponents[Demand_Growth_Rate]</f>
        <v>0.16380174625459251</v>
      </c>
      <c r="I333">
        <f>tblComponents[Forecast_Demand]</f>
        <v>1575</v>
      </c>
      <c r="J333">
        <f>tblComponents[Annual_Demand]</f>
        <v>46086</v>
      </c>
      <c r="K333">
        <f>tblComponents[Demand_Variability]</f>
        <v>0.2258</v>
      </c>
      <c r="L333">
        <f t="shared" si="5"/>
        <v>222</v>
      </c>
    </row>
    <row r="334" spans="1:12" x14ac:dyDescent="0.35">
      <c r="A334" s="8" t="str">
        <f>tblComponents[Component_ID]</f>
        <v>C333</v>
      </c>
      <c r="B334" s="8" t="str">
        <f>tblComponents[Component_Name]</f>
        <v>Component 333</v>
      </c>
      <c r="C334" t="str">
        <f>tblComponents[Product_Family]</f>
        <v>Body &amp; Exterior</v>
      </c>
      <c r="D334" t="str">
        <f>tblComponents[Category]</f>
        <v>Electrical</v>
      </c>
      <c r="E334" t="str">
        <f>tblComponents[Sourcing_Type]</f>
        <v>Buy</v>
      </c>
      <c r="F334" t="str">
        <f>tblComponents[Criticality]</f>
        <v>Medium</v>
      </c>
      <c r="G334">
        <f>tblComponents[Monthly_Demand]</f>
        <v>315</v>
      </c>
      <c r="H334">
        <f>tblComponents[Demand_Growth_Rate]</f>
        <v>0.15201982058895749</v>
      </c>
      <c r="I334">
        <f>tblComponents[Forecast_Demand]</f>
        <v>363</v>
      </c>
      <c r="J334">
        <f>tblComponents[Annual_Demand]</f>
        <v>19633</v>
      </c>
      <c r="K334">
        <f>tblComponents[Demand_Variability]</f>
        <v>0.19339999999999999</v>
      </c>
      <c r="L334">
        <f t="shared" si="5"/>
        <v>48</v>
      </c>
    </row>
    <row r="335" spans="1:12" x14ac:dyDescent="0.35">
      <c r="A335" s="8" t="str">
        <f>tblComponents[Component_ID]</f>
        <v>C334</v>
      </c>
      <c r="B335" s="8" t="str">
        <f>tblComponents[Component_Name]</f>
        <v>Component 334</v>
      </c>
      <c r="C335" t="str">
        <f>tblComponents[Product_Family]</f>
        <v>Electrical Systems</v>
      </c>
      <c r="D335" t="str">
        <f>tblComponents[Category]</f>
        <v>Electrical</v>
      </c>
      <c r="E335" t="str">
        <f>tblComponents[Sourcing_Type]</f>
        <v>Buy</v>
      </c>
      <c r="F335" t="str">
        <f>tblComponents[Criticality]</f>
        <v>High</v>
      </c>
      <c r="G335">
        <f>tblComponents[Monthly_Demand]</f>
        <v>1375</v>
      </c>
      <c r="H335">
        <f>tblComponents[Demand_Growth_Rate]</f>
        <v>0.115608502925267</v>
      </c>
      <c r="I335">
        <f>tblComponents[Forecast_Demand]</f>
        <v>1534</v>
      </c>
      <c r="J335">
        <f>tblComponents[Annual_Demand]</f>
        <v>92780</v>
      </c>
      <c r="K335">
        <f>tblComponents[Demand_Variability]</f>
        <v>0.154</v>
      </c>
      <c r="L335">
        <f t="shared" si="5"/>
        <v>159</v>
      </c>
    </row>
    <row r="336" spans="1:12" x14ac:dyDescent="0.35">
      <c r="A336" s="8" t="str">
        <f>tblComponents[Component_ID]</f>
        <v>C335</v>
      </c>
      <c r="B336" s="8" t="str">
        <f>tblComponents[Component_Name]</f>
        <v>Component 335</v>
      </c>
      <c r="C336" t="str">
        <f>tblComponents[Product_Family]</f>
        <v>Chassis</v>
      </c>
      <c r="D336" t="str">
        <f>tblComponents[Category]</f>
        <v>Metal</v>
      </c>
      <c r="E336" t="str">
        <f>tblComponents[Sourcing_Type]</f>
        <v>Buy</v>
      </c>
      <c r="F336" t="str">
        <f>tblComponents[Criticality]</f>
        <v>Low</v>
      </c>
      <c r="G336">
        <f>tblComponents[Monthly_Demand]</f>
        <v>1604</v>
      </c>
      <c r="H336">
        <f>tblComponents[Demand_Growth_Rate]</f>
        <v>7.0387335068963566E-2</v>
      </c>
      <c r="I336">
        <f>tblComponents[Forecast_Demand]</f>
        <v>1717</v>
      </c>
      <c r="J336">
        <f>tblComponents[Annual_Demand]</f>
        <v>12601</v>
      </c>
      <c r="K336">
        <f>tblComponents[Demand_Variability]</f>
        <v>0.24199999999999999</v>
      </c>
      <c r="L336">
        <f t="shared" si="5"/>
        <v>113</v>
      </c>
    </row>
    <row r="337" spans="1:12" x14ac:dyDescent="0.35">
      <c r="A337" s="8" t="str">
        <f>tblComponents[Component_ID]</f>
        <v>C336</v>
      </c>
      <c r="B337" s="8" t="str">
        <f>tblComponents[Component_Name]</f>
        <v>Component 336</v>
      </c>
      <c r="C337" t="str">
        <f>tblComponents[Product_Family]</f>
        <v>Powertrain</v>
      </c>
      <c r="D337" t="str">
        <f>tblComponents[Category]</f>
        <v>Metal</v>
      </c>
      <c r="E337" t="str">
        <f>tblComponents[Sourcing_Type]</f>
        <v>Buy</v>
      </c>
      <c r="F337" t="str">
        <f>tblComponents[Criticality]</f>
        <v>Medium</v>
      </c>
      <c r="G337">
        <f>tblComponents[Monthly_Demand]</f>
        <v>516</v>
      </c>
      <c r="H337">
        <f>tblComponents[Demand_Growth_Rate]</f>
        <v>0.1468872714646948</v>
      </c>
      <c r="I337">
        <f>tblComponents[Forecast_Demand]</f>
        <v>592</v>
      </c>
      <c r="J337">
        <f>tblComponents[Annual_Demand]</f>
        <v>91584</v>
      </c>
      <c r="K337">
        <f>tblComponents[Demand_Variability]</f>
        <v>0.20230000000000001</v>
      </c>
      <c r="L337">
        <f t="shared" si="5"/>
        <v>76</v>
      </c>
    </row>
    <row r="338" spans="1:12" x14ac:dyDescent="0.35">
      <c r="A338" s="8" t="str">
        <f>tblComponents[Component_ID]</f>
        <v>C337</v>
      </c>
      <c r="B338" s="8" t="str">
        <f>tblComponents[Component_Name]</f>
        <v>Component 337</v>
      </c>
      <c r="C338" t="str">
        <f>tblComponents[Product_Family]</f>
        <v>Electrical Systems</v>
      </c>
      <c r="D338" t="str">
        <f>tblComponents[Category]</f>
        <v>Metal</v>
      </c>
      <c r="E338" t="str">
        <f>tblComponents[Sourcing_Type]</f>
        <v>Buy</v>
      </c>
      <c r="F338" t="str">
        <f>tblComponents[Criticality]</f>
        <v>High</v>
      </c>
      <c r="G338">
        <f>tblComponents[Monthly_Demand]</f>
        <v>2900</v>
      </c>
      <c r="H338">
        <f>tblComponents[Demand_Growth_Rate]</f>
        <v>0.19359305966981441</v>
      </c>
      <c r="I338">
        <f>tblComponents[Forecast_Demand]</f>
        <v>3461</v>
      </c>
      <c r="J338">
        <f>tblComponents[Annual_Demand]</f>
        <v>22008</v>
      </c>
      <c r="K338">
        <f>tblComponents[Demand_Variability]</f>
        <v>0.23810000000000001</v>
      </c>
      <c r="L338">
        <f t="shared" si="5"/>
        <v>561</v>
      </c>
    </row>
    <row r="339" spans="1:12" x14ac:dyDescent="0.35">
      <c r="A339" s="8" t="str">
        <f>tblComponents[Component_ID]</f>
        <v>C338</v>
      </c>
      <c r="B339" s="8" t="str">
        <f>tblComponents[Component_Name]</f>
        <v>Component 338</v>
      </c>
      <c r="C339" t="str">
        <f>tblComponents[Product_Family]</f>
        <v>Body &amp; Exterior</v>
      </c>
      <c r="D339" t="str">
        <f>tblComponents[Category]</f>
        <v>Electrical</v>
      </c>
      <c r="E339" t="str">
        <f>tblComponents[Sourcing_Type]</f>
        <v>Buy</v>
      </c>
      <c r="F339" t="str">
        <f>tblComponents[Criticality]</f>
        <v>Low</v>
      </c>
      <c r="G339">
        <f>tblComponents[Monthly_Demand]</f>
        <v>2015</v>
      </c>
      <c r="H339">
        <f>tblComponents[Demand_Growth_Rate]</f>
        <v>2.0619685994256658E-2</v>
      </c>
      <c r="I339">
        <f>tblComponents[Forecast_Demand]</f>
        <v>2057</v>
      </c>
      <c r="J339">
        <f>tblComponents[Annual_Demand]</f>
        <v>67952</v>
      </c>
      <c r="K339">
        <f>tblComponents[Demand_Variability]</f>
        <v>0.16969999999999999</v>
      </c>
      <c r="L339">
        <f t="shared" si="5"/>
        <v>42</v>
      </c>
    </row>
    <row r="340" spans="1:12" x14ac:dyDescent="0.35">
      <c r="A340" s="8" t="str">
        <f>tblComponents[Component_ID]</f>
        <v>C339</v>
      </c>
      <c r="B340" s="8" t="str">
        <f>tblComponents[Component_Name]</f>
        <v>Component 339</v>
      </c>
      <c r="C340" t="str">
        <f>tblComponents[Product_Family]</f>
        <v>Electrical Systems</v>
      </c>
      <c r="D340" t="str">
        <f>tblComponents[Category]</f>
        <v>Metal</v>
      </c>
      <c r="E340" t="str">
        <f>tblComponents[Sourcing_Type]</f>
        <v>Buy</v>
      </c>
      <c r="F340" t="str">
        <f>tblComponents[Criticality]</f>
        <v>Medium</v>
      </c>
      <c r="G340">
        <f>tblComponents[Monthly_Demand]</f>
        <v>208</v>
      </c>
      <c r="H340">
        <f>tblComponents[Demand_Growth_Rate]</f>
        <v>3.8262597900075593E-2</v>
      </c>
      <c r="I340">
        <f>tblComponents[Forecast_Demand]</f>
        <v>216</v>
      </c>
      <c r="J340">
        <f>tblComponents[Annual_Demand]</f>
        <v>51386</v>
      </c>
      <c r="K340">
        <f>tblComponents[Demand_Variability]</f>
        <v>0.124</v>
      </c>
      <c r="L340">
        <f t="shared" si="5"/>
        <v>8</v>
      </c>
    </row>
    <row r="341" spans="1:12" x14ac:dyDescent="0.35">
      <c r="A341" s="8" t="str">
        <f>tblComponents[Component_ID]</f>
        <v>C340</v>
      </c>
      <c r="B341" s="8" t="str">
        <f>tblComponents[Component_Name]</f>
        <v>Component 340</v>
      </c>
      <c r="C341" t="str">
        <f>tblComponents[Product_Family]</f>
        <v>Interior</v>
      </c>
      <c r="D341" t="str">
        <f>tblComponents[Category]</f>
        <v>Electrical</v>
      </c>
      <c r="E341" t="str">
        <f>tblComponents[Sourcing_Type]</f>
        <v>Buy</v>
      </c>
      <c r="F341" t="str">
        <f>tblComponents[Criticality]</f>
        <v>Medium</v>
      </c>
      <c r="G341">
        <f>tblComponents[Monthly_Demand]</f>
        <v>898</v>
      </c>
      <c r="H341">
        <f>tblComponents[Demand_Growth_Rate]</f>
        <v>8.6126442262306993E-2</v>
      </c>
      <c r="I341">
        <f>tblComponents[Forecast_Demand]</f>
        <v>975</v>
      </c>
      <c r="J341">
        <f>tblComponents[Annual_Demand]</f>
        <v>40373</v>
      </c>
      <c r="K341">
        <f>tblComponents[Demand_Variability]</f>
        <v>8.8999999999999996E-2</v>
      </c>
      <c r="L341">
        <f t="shared" si="5"/>
        <v>77</v>
      </c>
    </row>
    <row r="342" spans="1:12" x14ac:dyDescent="0.35">
      <c r="A342" s="8" t="str">
        <f>tblComponents[Component_ID]</f>
        <v>C341</v>
      </c>
      <c r="B342" s="8" t="str">
        <f>tblComponents[Component_Name]</f>
        <v>Component 341</v>
      </c>
      <c r="C342" t="str">
        <f>tblComponents[Product_Family]</f>
        <v>Chassis</v>
      </c>
      <c r="D342" t="str">
        <f>tblComponents[Category]</f>
        <v>Metal</v>
      </c>
      <c r="E342" t="str">
        <f>tblComponents[Sourcing_Type]</f>
        <v>Buy</v>
      </c>
      <c r="F342" t="str">
        <f>tblComponents[Criticality]</f>
        <v>Critical</v>
      </c>
      <c r="G342">
        <f>tblComponents[Monthly_Demand]</f>
        <v>974</v>
      </c>
      <c r="H342">
        <f>tblComponents[Demand_Growth_Rate]</f>
        <v>-3.2748101846795927E-2</v>
      </c>
      <c r="I342">
        <f>tblComponents[Forecast_Demand]</f>
        <v>942</v>
      </c>
      <c r="J342">
        <f>tblComponents[Annual_Demand]</f>
        <v>35827</v>
      </c>
      <c r="K342">
        <f>tblComponents[Demand_Variability]</f>
        <v>0.2034</v>
      </c>
      <c r="L342">
        <f t="shared" si="5"/>
        <v>-32</v>
      </c>
    </row>
    <row r="343" spans="1:12" x14ac:dyDescent="0.35">
      <c r="A343" s="8" t="str">
        <f>tblComponents[Component_ID]</f>
        <v>C342</v>
      </c>
      <c r="B343" s="8" t="str">
        <f>tblComponents[Component_Name]</f>
        <v>Component 342</v>
      </c>
      <c r="C343" t="str">
        <f>tblComponents[Product_Family]</f>
        <v>Electrical Systems</v>
      </c>
      <c r="D343" t="str">
        <f>tblComponents[Category]</f>
        <v>Metal</v>
      </c>
      <c r="E343" t="str">
        <f>tblComponents[Sourcing_Type]</f>
        <v>Buy</v>
      </c>
      <c r="F343" t="str">
        <f>tblComponents[Criticality]</f>
        <v>Low</v>
      </c>
      <c r="G343">
        <f>tblComponents[Monthly_Demand]</f>
        <v>1493</v>
      </c>
      <c r="H343">
        <f>tblComponents[Demand_Growth_Rate]</f>
        <v>0.1434765554426663</v>
      </c>
      <c r="I343">
        <f>tblComponents[Forecast_Demand]</f>
        <v>1707</v>
      </c>
      <c r="J343">
        <f>tblComponents[Annual_Demand]</f>
        <v>5731</v>
      </c>
      <c r="K343">
        <f>tblComponents[Demand_Variability]</f>
        <v>0.10059999999999999</v>
      </c>
      <c r="L343">
        <f t="shared" si="5"/>
        <v>214</v>
      </c>
    </row>
    <row r="344" spans="1:12" x14ac:dyDescent="0.35">
      <c r="A344" s="8" t="str">
        <f>tblComponents[Component_ID]</f>
        <v>C343</v>
      </c>
      <c r="B344" s="8" t="str">
        <f>tblComponents[Component_Name]</f>
        <v>Component 343</v>
      </c>
      <c r="C344" t="str">
        <f>tblComponents[Product_Family]</f>
        <v>Body &amp; Exterior</v>
      </c>
      <c r="D344" t="str">
        <f>tblComponents[Category]</f>
        <v>Metal</v>
      </c>
      <c r="E344" t="str">
        <f>tblComponents[Sourcing_Type]</f>
        <v>Buy</v>
      </c>
      <c r="F344" t="str">
        <f>tblComponents[Criticality]</f>
        <v>Critical</v>
      </c>
      <c r="G344">
        <f>tblComponents[Monthly_Demand]</f>
        <v>1376</v>
      </c>
      <c r="H344">
        <f>tblComponents[Demand_Growth_Rate]</f>
        <v>-4.0607227400273158E-2</v>
      </c>
      <c r="I344">
        <f>tblComponents[Forecast_Demand]</f>
        <v>1320</v>
      </c>
      <c r="J344">
        <f>tblComponents[Annual_Demand]</f>
        <v>28007</v>
      </c>
      <c r="K344">
        <f>tblComponents[Demand_Variability]</f>
        <v>0.13150000000000001</v>
      </c>
      <c r="L344">
        <f t="shared" si="5"/>
        <v>-56</v>
      </c>
    </row>
    <row r="345" spans="1:12" x14ac:dyDescent="0.35">
      <c r="A345" s="8" t="str">
        <f>tblComponents[Component_ID]</f>
        <v>C344</v>
      </c>
      <c r="B345" s="8" t="str">
        <f>tblComponents[Component_Name]</f>
        <v>Component 344</v>
      </c>
      <c r="C345" t="str">
        <f>tblComponents[Product_Family]</f>
        <v>Body &amp; Exterior</v>
      </c>
      <c r="D345" t="str">
        <f>tblComponents[Category]</f>
        <v>Metal</v>
      </c>
      <c r="E345" t="str">
        <f>tblComponents[Sourcing_Type]</f>
        <v>Buy</v>
      </c>
      <c r="F345" t="str">
        <f>tblComponents[Criticality]</f>
        <v>Medium</v>
      </c>
      <c r="G345">
        <f>tblComponents[Monthly_Demand]</f>
        <v>2673</v>
      </c>
      <c r="H345">
        <f>tblComponents[Demand_Growth_Rate]</f>
        <v>1.400627682457273E-4</v>
      </c>
      <c r="I345">
        <f>tblComponents[Forecast_Demand]</f>
        <v>2673</v>
      </c>
      <c r="J345">
        <f>tblComponents[Annual_Demand]</f>
        <v>33157</v>
      </c>
      <c r="K345">
        <f>tblComponents[Demand_Variability]</f>
        <v>0.17050000000000001</v>
      </c>
      <c r="L345">
        <f t="shared" si="5"/>
        <v>0</v>
      </c>
    </row>
    <row r="346" spans="1:12" x14ac:dyDescent="0.35">
      <c r="A346" s="8" t="str">
        <f>tblComponents[Component_ID]</f>
        <v>C345</v>
      </c>
      <c r="B346" s="8" t="str">
        <f>tblComponents[Component_Name]</f>
        <v>Component 345</v>
      </c>
      <c r="C346" t="str">
        <f>tblComponents[Product_Family]</f>
        <v>Powertrain</v>
      </c>
      <c r="D346" t="str">
        <f>tblComponents[Category]</f>
        <v>Metal</v>
      </c>
      <c r="E346" t="str">
        <f>tblComponents[Sourcing_Type]</f>
        <v>Buy</v>
      </c>
      <c r="F346" t="str">
        <f>tblComponents[Criticality]</f>
        <v>Critical</v>
      </c>
      <c r="G346">
        <f>tblComponents[Monthly_Demand]</f>
        <v>1843</v>
      </c>
      <c r="H346">
        <f>tblComponents[Demand_Growth_Rate]</f>
        <v>6.0733708212612619E-3</v>
      </c>
      <c r="I346">
        <f>tblComponents[Forecast_Demand]</f>
        <v>1854</v>
      </c>
      <c r="J346">
        <f>tblComponents[Annual_Demand]</f>
        <v>16970</v>
      </c>
      <c r="K346">
        <f>tblComponents[Demand_Variability]</f>
        <v>0.17599999999999999</v>
      </c>
      <c r="L346">
        <f t="shared" si="5"/>
        <v>11</v>
      </c>
    </row>
    <row r="347" spans="1:12" x14ac:dyDescent="0.35">
      <c r="A347" s="8" t="str">
        <f>tblComponents[Component_ID]</f>
        <v>C346</v>
      </c>
      <c r="B347" s="8" t="str">
        <f>tblComponents[Component_Name]</f>
        <v>Component 346</v>
      </c>
      <c r="C347" t="str">
        <f>tblComponents[Product_Family]</f>
        <v>Body &amp; Exterior</v>
      </c>
      <c r="D347" t="str">
        <f>tblComponents[Category]</f>
        <v>Electrical</v>
      </c>
      <c r="E347" t="str">
        <f>tblComponents[Sourcing_Type]</f>
        <v>Buy</v>
      </c>
      <c r="F347" t="str">
        <f>tblComponents[Criticality]</f>
        <v>High</v>
      </c>
      <c r="G347">
        <f>tblComponents[Monthly_Demand]</f>
        <v>1036</v>
      </c>
      <c r="H347">
        <f>tblComponents[Demand_Growth_Rate]</f>
        <v>1.3203401522300141E-2</v>
      </c>
      <c r="I347">
        <f>tblComponents[Forecast_Demand]</f>
        <v>1050</v>
      </c>
      <c r="J347">
        <f>tblComponents[Annual_Demand]</f>
        <v>50315</v>
      </c>
      <c r="K347">
        <f>tblComponents[Demand_Variability]</f>
        <v>0.18210000000000001</v>
      </c>
      <c r="L347">
        <f t="shared" si="5"/>
        <v>14</v>
      </c>
    </row>
    <row r="348" spans="1:12" x14ac:dyDescent="0.35">
      <c r="A348" s="8" t="str">
        <f>tblComponents[Component_ID]</f>
        <v>C347</v>
      </c>
      <c r="B348" s="8" t="str">
        <f>tblComponents[Component_Name]</f>
        <v>Component 347</v>
      </c>
      <c r="C348" t="str">
        <f>tblComponents[Product_Family]</f>
        <v>Powertrain</v>
      </c>
      <c r="D348" t="str">
        <f>tblComponents[Category]</f>
        <v>Metal</v>
      </c>
      <c r="E348" t="str">
        <f>tblComponents[Sourcing_Type]</f>
        <v>Buy</v>
      </c>
      <c r="F348" t="str">
        <f>tblComponents[Criticality]</f>
        <v>Medium</v>
      </c>
      <c r="G348">
        <f>tblComponents[Monthly_Demand]</f>
        <v>521</v>
      </c>
      <c r="H348">
        <f>tblComponents[Demand_Growth_Rate]</f>
        <v>4.8298800256980558E-2</v>
      </c>
      <c r="I348">
        <f>tblComponents[Forecast_Demand]</f>
        <v>546</v>
      </c>
      <c r="J348">
        <f>tblComponents[Annual_Demand]</f>
        <v>16362</v>
      </c>
      <c r="K348">
        <f>tblComponents[Demand_Variability]</f>
        <v>0.10829999999999999</v>
      </c>
      <c r="L348">
        <f t="shared" si="5"/>
        <v>25</v>
      </c>
    </row>
    <row r="349" spans="1:12" x14ac:dyDescent="0.35">
      <c r="A349" s="8" t="str">
        <f>tblComponents[Component_ID]</f>
        <v>C348</v>
      </c>
      <c r="B349" s="8" t="str">
        <f>tblComponents[Component_Name]</f>
        <v>Component 348</v>
      </c>
      <c r="C349" t="str">
        <f>tblComponents[Product_Family]</f>
        <v>Body &amp; Exterior</v>
      </c>
      <c r="D349" t="str">
        <f>tblComponents[Category]</f>
        <v>Metal</v>
      </c>
      <c r="E349" t="str">
        <f>tblComponents[Sourcing_Type]</f>
        <v>Buy</v>
      </c>
      <c r="F349" t="str">
        <f>tblComponents[Criticality]</f>
        <v>Medium</v>
      </c>
      <c r="G349">
        <f>tblComponents[Monthly_Demand]</f>
        <v>1766</v>
      </c>
      <c r="H349">
        <f>tblComponents[Demand_Growth_Rate]</f>
        <v>7.9399075328880506E-2</v>
      </c>
      <c r="I349">
        <f>tblComponents[Forecast_Demand]</f>
        <v>1906</v>
      </c>
      <c r="J349">
        <f>tblComponents[Annual_Demand]</f>
        <v>36164</v>
      </c>
      <c r="K349">
        <f>tblComponents[Demand_Variability]</f>
        <v>0.14460000000000001</v>
      </c>
      <c r="L349">
        <f t="shared" si="5"/>
        <v>140</v>
      </c>
    </row>
    <row r="350" spans="1:12" x14ac:dyDescent="0.35">
      <c r="A350" s="8" t="str">
        <f>tblComponents[Component_ID]</f>
        <v>C349</v>
      </c>
      <c r="B350" s="8" t="str">
        <f>tblComponents[Component_Name]</f>
        <v>Component 349</v>
      </c>
      <c r="C350" t="str">
        <f>tblComponents[Product_Family]</f>
        <v>Electrical Systems</v>
      </c>
      <c r="D350" t="str">
        <f>tblComponents[Category]</f>
        <v>Metal</v>
      </c>
      <c r="E350" t="str">
        <f>tblComponents[Sourcing_Type]</f>
        <v>Buy</v>
      </c>
      <c r="F350" t="str">
        <f>tblComponents[Criticality]</f>
        <v>Low</v>
      </c>
      <c r="G350">
        <f>tblComponents[Monthly_Demand]</f>
        <v>1134</v>
      </c>
      <c r="H350">
        <f>tblComponents[Demand_Growth_Rate]</f>
        <v>0.13975132063048271</v>
      </c>
      <c r="I350">
        <f>tblComponents[Forecast_Demand]</f>
        <v>1292</v>
      </c>
      <c r="J350">
        <f>tblComponents[Annual_Demand]</f>
        <v>29414</v>
      </c>
      <c r="K350">
        <f>tblComponents[Demand_Variability]</f>
        <v>0.18490000000000001</v>
      </c>
      <c r="L350">
        <f t="shared" si="5"/>
        <v>158</v>
      </c>
    </row>
    <row r="351" spans="1:12" x14ac:dyDescent="0.35">
      <c r="A351" s="8" t="str">
        <f>tblComponents[Component_ID]</f>
        <v>C350</v>
      </c>
      <c r="B351" s="8" t="str">
        <f>tblComponents[Component_Name]</f>
        <v>Component 350</v>
      </c>
      <c r="C351" t="str">
        <f>tblComponents[Product_Family]</f>
        <v>Electrical Systems</v>
      </c>
      <c r="D351" t="str">
        <f>tblComponents[Category]</f>
        <v>Metal</v>
      </c>
      <c r="E351" t="str">
        <f>tblComponents[Sourcing_Type]</f>
        <v>Buy</v>
      </c>
      <c r="F351" t="str">
        <f>tblComponents[Criticality]</f>
        <v>Low</v>
      </c>
      <c r="G351">
        <f>tblComponents[Monthly_Demand]</f>
        <v>203</v>
      </c>
      <c r="H351">
        <f>tblComponents[Demand_Growth_Rate]</f>
        <v>-4.9510614679630222E-3</v>
      </c>
      <c r="I351">
        <f>tblComponents[Forecast_Demand]</f>
        <v>202</v>
      </c>
      <c r="J351">
        <f>tblComponents[Annual_Demand]</f>
        <v>29327</v>
      </c>
      <c r="K351">
        <f>tblComponents[Demand_Variability]</f>
        <v>0.24490000000000001</v>
      </c>
      <c r="L351">
        <f t="shared" si="5"/>
        <v>-1</v>
      </c>
    </row>
    <row r="352" spans="1:12" x14ac:dyDescent="0.35">
      <c r="A352" s="8" t="str">
        <f>tblComponents[Component_ID]</f>
        <v>C351</v>
      </c>
      <c r="B352" s="8" t="str">
        <f>tblComponents[Component_Name]</f>
        <v>Component 351</v>
      </c>
      <c r="C352" t="str">
        <f>tblComponents[Product_Family]</f>
        <v>Body &amp; Exterior</v>
      </c>
      <c r="D352" t="str">
        <f>tblComponents[Category]</f>
        <v>Metal</v>
      </c>
      <c r="E352" t="str">
        <f>tblComponents[Sourcing_Type]</f>
        <v>Buy</v>
      </c>
      <c r="F352" t="str">
        <f>tblComponents[Criticality]</f>
        <v>Low</v>
      </c>
      <c r="G352">
        <f>tblComponents[Monthly_Demand]</f>
        <v>917</v>
      </c>
      <c r="H352">
        <f>tblComponents[Demand_Growth_Rate]</f>
        <v>0.15176772596667579</v>
      </c>
      <c r="I352">
        <f>tblComponents[Forecast_Demand]</f>
        <v>1056</v>
      </c>
      <c r="J352">
        <f>tblComponents[Annual_Demand]</f>
        <v>43699</v>
      </c>
      <c r="K352">
        <f>tblComponents[Demand_Variability]</f>
        <v>0.20369999999999999</v>
      </c>
      <c r="L352">
        <f t="shared" si="5"/>
        <v>139</v>
      </c>
    </row>
    <row r="353" spans="1:12" x14ac:dyDescent="0.35">
      <c r="A353" s="8" t="str">
        <f>tblComponents[Component_ID]</f>
        <v>C352</v>
      </c>
      <c r="B353" s="8" t="str">
        <f>tblComponents[Component_Name]</f>
        <v>Component 352</v>
      </c>
      <c r="C353" t="str">
        <f>tblComponents[Product_Family]</f>
        <v>Chassis</v>
      </c>
      <c r="D353" t="str">
        <f>tblComponents[Category]</f>
        <v>Metal</v>
      </c>
      <c r="E353" t="str">
        <f>tblComponents[Sourcing_Type]</f>
        <v>Buy</v>
      </c>
      <c r="F353" t="str">
        <f>tblComponents[Criticality]</f>
        <v>Low</v>
      </c>
      <c r="G353">
        <f>tblComponents[Monthly_Demand]</f>
        <v>175</v>
      </c>
      <c r="H353">
        <f>tblComponents[Demand_Growth_Rate]</f>
        <v>0.1177638209649786</v>
      </c>
      <c r="I353">
        <f>tblComponents[Forecast_Demand]</f>
        <v>196</v>
      </c>
      <c r="J353">
        <f>tblComponents[Annual_Demand]</f>
        <v>19037</v>
      </c>
      <c r="K353">
        <f>tblComponents[Demand_Variability]</f>
        <v>0.23680000000000001</v>
      </c>
      <c r="L353">
        <f t="shared" si="5"/>
        <v>21</v>
      </c>
    </row>
    <row r="354" spans="1:12" x14ac:dyDescent="0.35">
      <c r="A354" s="8" t="str">
        <f>tblComponents[Component_ID]</f>
        <v>C353</v>
      </c>
      <c r="B354" s="8" t="str">
        <f>tblComponents[Component_Name]</f>
        <v>Component 353</v>
      </c>
      <c r="C354" t="str">
        <f>tblComponents[Product_Family]</f>
        <v>Electrical Systems</v>
      </c>
      <c r="D354" t="str">
        <f>tblComponents[Category]</f>
        <v>Metal</v>
      </c>
      <c r="E354" t="str">
        <f>tblComponents[Sourcing_Type]</f>
        <v>Buy</v>
      </c>
      <c r="F354" t="str">
        <f>tblComponents[Criticality]</f>
        <v>Medium</v>
      </c>
      <c r="G354">
        <f>tblComponents[Monthly_Demand]</f>
        <v>951</v>
      </c>
      <c r="H354">
        <f>tblComponents[Demand_Growth_Rate]</f>
        <v>4.6088759631033718E-2</v>
      </c>
      <c r="I354">
        <f>tblComponents[Forecast_Demand]</f>
        <v>995</v>
      </c>
      <c r="J354">
        <f>tblComponents[Annual_Demand]</f>
        <v>42241</v>
      </c>
      <c r="K354">
        <f>tblComponents[Demand_Variability]</f>
        <v>0.20960000000000001</v>
      </c>
      <c r="L354">
        <f t="shared" si="5"/>
        <v>44</v>
      </c>
    </row>
    <row r="355" spans="1:12" x14ac:dyDescent="0.35">
      <c r="A355" s="8" t="str">
        <f>tblComponents[Component_ID]</f>
        <v>C354</v>
      </c>
      <c r="B355" s="8" t="str">
        <f>tblComponents[Component_Name]</f>
        <v>Component 354</v>
      </c>
      <c r="C355" t="str">
        <f>tblComponents[Product_Family]</f>
        <v>Body &amp; Exterior</v>
      </c>
      <c r="D355" t="str">
        <f>tblComponents[Category]</f>
        <v>Metal</v>
      </c>
      <c r="E355" t="str">
        <f>tblComponents[Sourcing_Type]</f>
        <v>Buy</v>
      </c>
      <c r="F355" t="str">
        <f>tblComponents[Criticality]</f>
        <v>Low</v>
      </c>
      <c r="G355">
        <f>tblComponents[Monthly_Demand]</f>
        <v>1399</v>
      </c>
      <c r="H355">
        <f>tblComponents[Demand_Growth_Rate]</f>
        <v>8.9745158524943511E-2</v>
      </c>
      <c r="I355">
        <f>tblComponents[Forecast_Demand]</f>
        <v>1525</v>
      </c>
      <c r="J355">
        <f>tblComponents[Annual_Demand]</f>
        <v>45254</v>
      </c>
      <c r="K355">
        <f>tblComponents[Demand_Variability]</f>
        <v>0.18060000000000001</v>
      </c>
      <c r="L355">
        <f t="shared" si="5"/>
        <v>126</v>
      </c>
    </row>
    <row r="356" spans="1:12" x14ac:dyDescent="0.35">
      <c r="A356" s="8" t="str">
        <f>tblComponents[Component_ID]</f>
        <v>C355</v>
      </c>
      <c r="B356" s="8" t="str">
        <f>tblComponents[Component_Name]</f>
        <v>Component 355</v>
      </c>
      <c r="C356" t="str">
        <f>tblComponents[Product_Family]</f>
        <v>Body &amp; Exterior</v>
      </c>
      <c r="D356" t="str">
        <f>tblComponents[Category]</f>
        <v>Metal</v>
      </c>
      <c r="E356" t="str">
        <f>tblComponents[Sourcing_Type]</f>
        <v>Buy</v>
      </c>
      <c r="F356" t="str">
        <f>tblComponents[Criticality]</f>
        <v>Medium</v>
      </c>
      <c r="G356">
        <f>tblComponents[Monthly_Demand]</f>
        <v>835</v>
      </c>
      <c r="H356">
        <f>tblComponents[Demand_Growth_Rate]</f>
        <v>0.1656601177872947</v>
      </c>
      <c r="I356">
        <f>tblComponents[Forecast_Demand]</f>
        <v>973</v>
      </c>
      <c r="J356">
        <f>tblComponents[Annual_Demand]</f>
        <v>30540</v>
      </c>
      <c r="K356">
        <f>tblComponents[Demand_Variability]</f>
        <v>0.11260000000000001</v>
      </c>
      <c r="L356">
        <f t="shared" si="5"/>
        <v>138</v>
      </c>
    </row>
    <row r="357" spans="1:12" x14ac:dyDescent="0.35">
      <c r="A357" s="8" t="str">
        <f>tblComponents[Component_ID]</f>
        <v>C356</v>
      </c>
      <c r="B357" s="8" t="str">
        <f>tblComponents[Component_Name]</f>
        <v>Component 356</v>
      </c>
      <c r="C357" t="str">
        <f>tblComponents[Product_Family]</f>
        <v>Body &amp; Exterior</v>
      </c>
      <c r="D357" t="str">
        <f>tblComponents[Category]</f>
        <v>Metal</v>
      </c>
      <c r="E357" t="str">
        <f>tblComponents[Sourcing_Type]</f>
        <v>Buy</v>
      </c>
      <c r="F357" t="str">
        <f>tblComponents[Criticality]</f>
        <v>High</v>
      </c>
      <c r="G357">
        <f>tblComponents[Monthly_Demand]</f>
        <v>247</v>
      </c>
      <c r="H357">
        <f>tblComponents[Demand_Growth_Rate]</f>
        <v>0.1192881031144184</v>
      </c>
      <c r="I357">
        <f>tblComponents[Forecast_Demand]</f>
        <v>276</v>
      </c>
      <c r="J357">
        <f>tblComponents[Annual_Demand]</f>
        <v>21719</v>
      </c>
      <c r="K357">
        <f>tblComponents[Demand_Variability]</f>
        <v>0.1933</v>
      </c>
      <c r="L357">
        <f t="shared" si="5"/>
        <v>29</v>
      </c>
    </row>
    <row r="358" spans="1:12" x14ac:dyDescent="0.35">
      <c r="A358" s="8" t="str">
        <f>tblComponents[Component_ID]</f>
        <v>C357</v>
      </c>
      <c r="B358" s="8" t="str">
        <f>tblComponents[Component_Name]</f>
        <v>Component 357</v>
      </c>
      <c r="C358" t="str">
        <f>tblComponents[Product_Family]</f>
        <v>Chassis</v>
      </c>
      <c r="D358" t="str">
        <f>tblComponents[Category]</f>
        <v>Electrical</v>
      </c>
      <c r="E358" t="str">
        <f>tblComponents[Sourcing_Type]</f>
        <v>Buy</v>
      </c>
      <c r="F358" t="str">
        <f>tblComponents[Criticality]</f>
        <v>Critical</v>
      </c>
      <c r="G358">
        <f>tblComponents[Monthly_Demand]</f>
        <v>874</v>
      </c>
      <c r="H358">
        <f>tblComponents[Demand_Growth_Rate]</f>
        <v>9.293649578593717E-2</v>
      </c>
      <c r="I358">
        <f>tblComponents[Forecast_Demand]</f>
        <v>955</v>
      </c>
      <c r="J358">
        <f>tblComponents[Annual_Demand]</f>
        <v>56203</v>
      </c>
      <c r="K358">
        <f>tblComponents[Demand_Variability]</f>
        <v>0.186</v>
      </c>
      <c r="L358">
        <f t="shared" si="5"/>
        <v>81</v>
      </c>
    </row>
    <row r="359" spans="1:12" x14ac:dyDescent="0.35">
      <c r="A359" s="8" t="str">
        <f>tblComponents[Component_ID]</f>
        <v>C358</v>
      </c>
      <c r="B359" s="8" t="str">
        <f>tblComponents[Component_Name]</f>
        <v>Component 358</v>
      </c>
      <c r="C359" t="str">
        <f>tblComponents[Product_Family]</f>
        <v>Interior</v>
      </c>
      <c r="D359" t="str">
        <f>tblComponents[Category]</f>
        <v>Metal</v>
      </c>
      <c r="E359" t="str">
        <f>tblComponents[Sourcing_Type]</f>
        <v>Buy</v>
      </c>
      <c r="F359" t="str">
        <f>tblComponents[Criticality]</f>
        <v>Critical</v>
      </c>
      <c r="G359">
        <f>tblComponents[Monthly_Demand]</f>
        <v>625</v>
      </c>
      <c r="H359">
        <f>tblComponents[Demand_Growth_Rate]</f>
        <v>4.7670527746484788E-2</v>
      </c>
      <c r="I359">
        <f>tblComponents[Forecast_Demand]</f>
        <v>655</v>
      </c>
      <c r="J359">
        <f>tblComponents[Annual_Demand]</f>
        <v>40081</v>
      </c>
      <c r="K359">
        <f>tblComponents[Demand_Variability]</f>
        <v>0.18240000000000001</v>
      </c>
      <c r="L359">
        <f t="shared" si="5"/>
        <v>30</v>
      </c>
    </row>
    <row r="360" spans="1:12" x14ac:dyDescent="0.35">
      <c r="A360" s="8" t="str">
        <f>tblComponents[Component_ID]</f>
        <v>C359</v>
      </c>
      <c r="B360" s="8" t="str">
        <f>tblComponents[Component_Name]</f>
        <v>Component 359</v>
      </c>
      <c r="C360" t="str">
        <f>tblComponents[Product_Family]</f>
        <v>Chassis</v>
      </c>
      <c r="D360" t="str">
        <f>tblComponents[Category]</f>
        <v>Electrical</v>
      </c>
      <c r="E360" t="str">
        <f>tblComponents[Sourcing_Type]</f>
        <v>Buy</v>
      </c>
      <c r="F360" t="str">
        <f>tblComponents[Criticality]</f>
        <v>Low</v>
      </c>
      <c r="G360">
        <f>tblComponents[Monthly_Demand]</f>
        <v>1387</v>
      </c>
      <c r="H360">
        <f>tblComponents[Demand_Growth_Rate]</f>
        <v>0.14593996062102679</v>
      </c>
      <c r="I360">
        <f>tblComponents[Forecast_Demand]</f>
        <v>1589</v>
      </c>
      <c r="J360">
        <f>tblComponents[Annual_Demand]</f>
        <v>26350</v>
      </c>
      <c r="K360">
        <f>tblComponents[Demand_Variability]</f>
        <v>0.1633</v>
      </c>
      <c r="L360">
        <f t="shared" si="5"/>
        <v>202</v>
      </c>
    </row>
    <row r="361" spans="1:12" x14ac:dyDescent="0.35">
      <c r="A361" s="8" t="str">
        <f>tblComponents[Component_ID]</f>
        <v>C360</v>
      </c>
      <c r="B361" s="8" t="str">
        <f>tblComponents[Component_Name]</f>
        <v>Component 360</v>
      </c>
      <c r="C361" t="str">
        <f>tblComponents[Product_Family]</f>
        <v>Chassis</v>
      </c>
      <c r="D361" t="str">
        <f>tblComponents[Category]</f>
        <v>Electrical</v>
      </c>
      <c r="E361" t="str">
        <f>tblComponents[Sourcing_Type]</f>
        <v>Buy</v>
      </c>
      <c r="F361" t="str">
        <f>tblComponents[Criticality]</f>
        <v>Critical</v>
      </c>
      <c r="G361">
        <f>tblComponents[Monthly_Demand]</f>
        <v>951</v>
      </c>
      <c r="H361">
        <f>tblComponents[Demand_Growth_Rate]</f>
        <v>0.19551238425399059</v>
      </c>
      <c r="I361">
        <f>tblComponents[Forecast_Demand]</f>
        <v>1137</v>
      </c>
      <c r="J361">
        <f>tblComponents[Annual_Demand]</f>
        <v>82999</v>
      </c>
      <c r="K361">
        <f>tblComponents[Demand_Variability]</f>
        <v>0.1699</v>
      </c>
      <c r="L361">
        <f t="shared" si="5"/>
        <v>186</v>
      </c>
    </row>
    <row r="362" spans="1:12" x14ac:dyDescent="0.35">
      <c r="A362" s="8" t="str">
        <f>tblComponents[Component_ID]</f>
        <v>C361</v>
      </c>
      <c r="B362" s="8" t="str">
        <f>tblComponents[Component_Name]</f>
        <v>Component 361</v>
      </c>
      <c r="C362" t="str">
        <f>tblComponents[Product_Family]</f>
        <v>Body &amp; Exterior</v>
      </c>
      <c r="D362" t="str">
        <f>tblComponents[Category]</f>
        <v>Metal</v>
      </c>
      <c r="E362" t="str">
        <f>tblComponents[Sourcing_Type]</f>
        <v>Buy</v>
      </c>
      <c r="F362" t="str">
        <f>tblComponents[Criticality]</f>
        <v>Medium</v>
      </c>
      <c r="G362">
        <f>tblComponents[Monthly_Demand]</f>
        <v>903</v>
      </c>
      <c r="H362">
        <f>tblComponents[Demand_Growth_Rate]</f>
        <v>1.9463194022428059E-2</v>
      </c>
      <c r="I362">
        <f>tblComponents[Forecast_Demand]</f>
        <v>921</v>
      </c>
      <c r="J362">
        <f>tblComponents[Annual_Demand]</f>
        <v>47021</v>
      </c>
      <c r="K362">
        <f>tblComponents[Demand_Variability]</f>
        <v>0.13689999999999999</v>
      </c>
      <c r="L362">
        <f t="shared" si="5"/>
        <v>18</v>
      </c>
    </row>
    <row r="363" spans="1:12" x14ac:dyDescent="0.35">
      <c r="A363" s="8" t="str">
        <f>tblComponents[Component_ID]</f>
        <v>C362</v>
      </c>
      <c r="B363" s="8" t="str">
        <f>tblComponents[Component_Name]</f>
        <v>Component 362</v>
      </c>
      <c r="C363" t="str">
        <f>tblComponents[Product_Family]</f>
        <v>Chassis</v>
      </c>
      <c r="D363" t="str">
        <f>tblComponents[Category]</f>
        <v>Electrical</v>
      </c>
      <c r="E363" t="str">
        <f>tblComponents[Sourcing_Type]</f>
        <v>Buy</v>
      </c>
      <c r="F363" t="str">
        <f>tblComponents[Criticality]</f>
        <v>Medium</v>
      </c>
      <c r="G363">
        <f>tblComponents[Monthly_Demand]</f>
        <v>1517</v>
      </c>
      <c r="H363">
        <f>tblComponents[Demand_Growth_Rate]</f>
        <v>8.6946173595829859E-2</v>
      </c>
      <c r="I363">
        <f>tblComponents[Forecast_Demand]</f>
        <v>1649</v>
      </c>
      <c r="J363">
        <f>tblComponents[Annual_Demand]</f>
        <v>66343</v>
      </c>
      <c r="K363">
        <f>tblComponents[Demand_Variability]</f>
        <v>0.16830000000000001</v>
      </c>
      <c r="L363">
        <f t="shared" si="5"/>
        <v>132</v>
      </c>
    </row>
    <row r="364" spans="1:12" x14ac:dyDescent="0.35">
      <c r="A364" s="8" t="str">
        <f>tblComponents[Component_ID]</f>
        <v>C363</v>
      </c>
      <c r="B364" s="8" t="str">
        <f>tblComponents[Component_Name]</f>
        <v>Component 363</v>
      </c>
      <c r="C364" t="str">
        <f>tblComponents[Product_Family]</f>
        <v>Electrical Systems</v>
      </c>
      <c r="D364" t="str">
        <f>tblComponents[Category]</f>
        <v>Metal</v>
      </c>
      <c r="E364" t="str">
        <f>tblComponents[Sourcing_Type]</f>
        <v>Buy</v>
      </c>
      <c r="F364" t="str">
        <f>tblComponents[Criticality]</f>
        <v>High</v>
      </c>
      <c r="G364">
        <f>tblComponents[Monthly_Demand]</f>
        <v>1082</v>
      </c>
      <c r="H364">
        <f>tblComponents[Demand_Growth_Rate]</f>
        <v>1.6069065789659821E-2</v>
      </c>
      <c r="I364">
        <f>tblComponents[Forecast_Demand]</f>
        <v>1099</v>
      </c>
      <c r="J364">
        <f>tblComponents[Annual_Demand]</f>
        <v>43369</v>
      </c>
      <c r="K364">
        <f>tblComponents[Demand_Variability]</f>
        <v>0.11360000000000001</v>
      </c>
      <c r="L364">
        <f t="shared" si="5"/>
        <v>17</v>
      </c>
    </row>
    <row r="365" spans="1:12" x14ac:dyDescent="0.35">
      <c r="A365" s="8" t="str">
        <f>tblComponents[Component_ID]</f>
        <v>C364</v>
      </c>
      <c r="B365" s="8" t="str">
        <f>tblComponents[Component_Name]</f>
        <v>Component 364</v>
      </c>
      <c r="C365" t="str">
        <f>tblComponents[Product_Family]</f>
        <v>Electrical Systems</v>
      </c>
      <c r="D365" t="str">
        <f>tblComponents[Category]</f>
        <v>Metal</v>
      </c>
      <c r="E365" t="str">
        <f>tblComponents[Sourcing_Type]</f>
        <v>Buy</v>
      </c>
      <c r="F365" t="str">
        <f>tblComponents[Criticality]</f>
        <v>Medium</v>
      </c>
      <c r="G365">
        <f>tblComponents[Monthly_Demand]</f>
        <v>394</v>
      </c>
      <c r="H365">
        <f>tblComponents[Demand_Growth_Rate]</f>
        <v>-6.9723492943055826E-3</v>
      </c>
      <c r="I365">
        <f>tblComponents[Forecast_Demand]</f>
        <v>391</v>
      </c>
      <c r="J365">
        <f>tblComponents[Annual_Demand]</f>
        <v>65186</v>
      </c>
      <c r="K365">
        <f>tblComponents[Demand_Variability]</f>
        <v>0.21690000000000001</v>
      </c>
      <c r="L365">
        <f t="shared" si="5"/>
        <v>-3</v>
      </c>
    </row>
    <row r="366" spans="1:12" x14ac:dyDescent="0.35">
      <c r="A366" s="8" t="str">
        <f>tblComponents[Component_ID]</f>
        <v>C365</v>
      </c>
      <c r="B366" s="8" t="str">
        <f>tblComponents[Component_Name]</f>
        <v>Component 365</v>
      </c>
      <c r="C366" t="str">
        <f>tblComponents[Product_Family]</f>
        <v>Powertrain</v>
      </c>
      <c r="D366" t="str">
        <f>tblComponents[Category]</f>
        <v>Metal</v>
      </c>
      <c r="E366" t="str">
        <f>tblComponents[Sourcing_Type]</f>
        <v>Buy</v>
      </c>
      <c r="F366" t="str">
        <f>tblComponents[Criticality]</f>
        <v>Medium</v>
      </c>
      <c r="G366">
        <f>tblComponents[Monthly_Demand]</f>
        <v>2857</v>
      </c>
      <c r="H366">
        <f>tblComponents[Demand_Growth_Rate]</f>
        <v>1.6850506964385319E-2</v>
      </c>
      <c r="I366">
        <f>tblComponents[Forecast_Demand]</f>
        <v>2905</v>
      </c>
      <c r="J366">
        <f>tblComponents[Annual_Demand]</f>
        <v>32576</v>
      </c>
      <c r="K366">
        <f>tblComponents[Demand_Variability]</f>
        <v>0.1116</v>
      </c>
      <c r="L366">
        <f t="shared" si="5"/>
        <v>48</v>
      </c>
    </row>
    <row r="367" spans="1:12" x14ac:dyDescent="0.35">
      <c r="A367" s="8" t="str">
        <f>tblComponents[Component_ID]</f>
        <v>C366</v>
      </c>
      <c r="B367" s="8" t="str">
        <f>tblComponents[Component_Name]</f>
        <v>Component 366</v>
      </c>
      <c r="C367" t="str">
        <f>tblComponents[Product_Family]</f>
        <v>Interior</v>
      </c>
      <c r="D367" t="str">
        <f>tblComponents[Category]</f>
        <v>Metal</v>
      </c>
      <c r="E367" t="str">
        <f>tblComponents[Sourcing_Type]</f>
        <v>Buy</v>
      </c>
      <c r="F367" t="str">
        <f>tblComponents[Criticality]</f>
        <v>Medium</v>
      </c>
      <c r="G367">
        <f>tblComponents[Monthly_Demand]</f>
        <v>1244</v>
      </c>
      <c r="H367">
        <f>tblComponents[Demand_Growth_Rate]</f>
        <v>8.1439054889783716E-2</v>
      </c>
      <c r="I367">
        <f>tblComponents[Forecast_Demand]</f>
        <v>1345</v>
      </c>
      <c r="J367">
        <f>tblComponents[Annual_Demand]</f>
        <v>44001</v>
      </c>
      <c r="K367">
        <f>tblComponents[Demand_Variability]</f>
        <v>9.4399999999999998E-2</v>
      </c>
      <c r="L367">
        <f t="shared" si="5"/>
        <v>101</v>
      </c>
    </row>
    <row r="368" spans="1:12" x14ac:dyDescent="0.35">
      <c r="A368" s="8" t="str">
        <f>tblComponents[Component_ID]</f>
        <v>C367</v>
      </c>
      <c r="B368" s="8" t="str">
        <f>tblComponents[Component_Name]</f>
        <v>Component 367</v>
      </c>
      <c r="C368" t="str">
        <f>tblComponents[Product_Family]</f>
        <v>Powertrain</v>
      </c>
      <c r="D368" t="str">
        <f>tblComponents[Category]</f>
        <v>Metal</v>
      </c>
      <c r="E368" t="str">
        <f>tblComponents[Sourcing_Type]</f>
        <v>Buy</v>
      </c>
      <c r="F368" t="str">
        <f>tblComponents[Criticality]</f>
        <v>Medium</v>
      </c>
      <c r="G368">
        <f>tblComponents[Monthly_Demand]</f>
        <v>814</v>
      </c>
      <c r="H368">
        <f>tblComponents[Demand_Growth_Rate]</f>
        <v>0.13413380708369821</v>
      </c>
      <c r="I368">
        <f>tblComponents[Forecast_Demand]</f>
        <v>923</v>
      </c>
      <c r="J368">
        <f>tblComponents[Annual_Demand]</f>
        <v>83218</v>
      </c>
      <c r="K368">
        <f>tblComponents[Demand_Variability]</f>
        <v>0.1542</v>
      </c>
      <c r="L368">
        <f t="shared" si="5"/>
        <v>109</v>
      </c>
    </row>
    <row r="369" spans="1:12" x14ac:dyDescent="0.35">
      <c r="A369" s="8" t="str">
        <f>tblComponents[Component_ID]</f>
        <v>C368</v>
      </c>
      <c r="B369" s="8" t="str">
        <f>tblComponents[Component_Name]</f>
        <v>Component 368</v>
      </c>
      <c r="C369" t="str">
        <f>tblComponents[Product_Family]</f>
        <v>Powertrain</v>
      </c>
      <c r="D369" t="str">
        <f>tblComponents[Category]</f>
        <v>Metal</v>
      </c>
      <c r="E369" t="str">
        <f>tblComponents[Sourcing_Type]</f>
        <v>Buy</v>
      </c>
      <c r="F369" t="str">
        <f>tblComponents[Criticality]</f>
        <v>Medium</v>
      </c>
      <c r="G369">
        <f>tblComponents[Monthly_Demand]</f>
        <v>1380</v>
      </c>
      <c r="H369">
        <f>tblComponents[Demand_Growth_Rate]</f>
        <v>4.6403378216412008E-2</v>
      </c>
      <c r="I369">
        <f>tblComponents[Forecast_Demand]</f>
        <v>1444</v>
      </c>
      <c r="J369">
        <f>tblComponents[Annual_Demand]</f>
        <v>15390</v>
      </c>
      <c r="K369">
        <f>tblComponents[Demand_Variability]</f>
        <v>0.19189999999999999</v>
      </c>
      <c r="L369">
        <f t="shared" si="5"/>
        <v>64</v>
      </c>
    </row>
    <row r="370" spans="1:12" x14ac:dyDescent="0.35">
      <c r="A370" s="8" t="str">
        <f>tblComponents[Component_ID]</f>
        <v>C369</v>
      </c>
      <c r="B370" s="8" t="str">
        <f>tblComponents[Component_Name]</f>
        <v>Component 369</v>
      </c>
      <c r="C370" t="str">
        <f>tblComponents[Product_Family]</f>
        <v>Electrical Systems</v>
      </c>
      <c r="D370" t="str">
        <f>tblComponents[Category]</f>
        <v>Electrical</v>
      </c>
      <c r="E370" t="str">
        <f>tblComponents[Sourcing_Type]</f>
        <v>Buy</v>
      </c>
      <c r="F370" t="str">
        <f>tblComponents[Criticality]</f>
        <v>Medium</v>
      </c>
      <c r="G370">
        <f>tblComponents[Monthly_Demand]</f>
        <v>1427</v>
      </c>
      <c r="H370">
        <f>tblComponents[Demand_Growth_Rate]</f>
        <v>0.1181151245062572</v>
      </c>
      <c r="I370">
        <f>tblComponents[Forecast_Demand]</f>
        <v>1596</v>
      </c>
      <c r="J370">
        <f>tblComponents[Annual_Demand]</f>
        <v>57877</v>
      </c>
      <c r="K370">
        <f>tblComponents[Demand_Variability]</f>
        <v>0.15440000000000001</v>
      </c>
      <c r="L370">
        <f t="shared" si="5"/>
        <v>169</v>
      </c>
    </row>
    <row r="371" spans="1:12" x14ac:dyDescent="0.35">
      <c r="A371" s="8" t="str">
        <f>tblComponents[Component_ID]</f>
        <v>C370</v>
      </c>
      <c r="B371" s="8" t="str">
        <f>tblComponents[Component_Name]</f>
        <v>Component 370</v>
      </c>
      <c r="C371" t="str">
        <f>tblComponents[Product_Family]</f>
        <v>Powertrain</v>
      </c>
      <c r="D371" t="str">
        <f>tblComponents[Category]</f>
        <v>Metal</v>
      </c>
      <c r="E371" t="str">
        <f>tblComponents[Sourcing_Type]</f>
        <v>Buy</v>
      </c>
      <c r="F371" t="str">
        <f>tblComponents[Criticality]</f>
        <v>Critical</v>
      </c>
      <c r="G371">
        <f>tblComponents[Monthly_Demand]</f>
        <v>226</v>
      </c>
      <c r="H371">
        <f>tblComponents[Demand_Growth_Rate]</f>
        <v>0.151797329697797</v>
      </c>
      <c r="I371">
        <f>tblComponents[Forecast_Demand]</f>
        <v>260</v>
      </c>
      <c r="J371">
        <f>tblComponents[Annual_Demand]</f>
        <v>26569</v>
      </c>
      <c r="K371">
        <f>tblComponents[Demand_Variability]</f>
        <v>0.127</v>
      </c>
      <c r="L371">
        <f t="shared" si="5"/>
        <v>34</v>
      </c>
    </row>
    <row r="372" spans="1:12" x14ac:dyDescent="0.35">
      <c r="A372" s="8" t="str">
        <f>tblComponents[Component_ID]</f>
        <v>C371</v>
      </c>
      <c r="B372" s="8" t="str">
        <f>tblComponents[Component_Name]</f>
        <v>Component 371</v>
      </c>
      <c r="C372" t="str">
        <f>tblComponents[Product_Family]</f>
        <v>Body &amp; Exterior</v>
      </c>
      <c r="D372" t="str">
        <f>tblComponents[Category]</f>
        <v>Metal</v>
      </c>
      <c r="E372" t="str">
        <f>tblComponents[Sourcing_Type]</f>
        <v>Buy</v>
      </c>
      <c r="F372" t="str">
        <f>tblComponents[Criticality]</f>
        <v>Low</v>
      </c>
      <c r="G372">
        <f>tblComponents[Monthly_Demand]</f>
        <v>542</v>
      </c>
      <c r="H372">
        <f>tblComponents[Demand_Growth_Rate]</f>
        <v>0.1094220617239839</v>
      </c>
      <c r="I372">
        <f>tblComponents[Forecast_Demand]</f>
        <v>601</v>
      </c>
      <c r="J372">
        <f>tblComponents[Annual_Demand]</f>
        <v>28029</v>
      </c>
      <c r="K372">
        <f>tblComponents[Demand_Variability]</f>
        <v>0.1749</v>
      </c>
      <c r="L372">
        <f t="shared" si="5"/>
        <v>59</v>
      </c>
    </row>
    <row r="373" spans="1:12" x14ac:dyDescent="0.35">
      <c r="A373" s="8" t="str">
        <f>tblComponents[Component_ID]</f>
        <v>C372</v>
      </c>
      <c r="B373" s="8" t="str">
        <f>tblComponents[Component_Name]</f>
        <v>Component 372</v>
      </c>
      <c r="C373" t="str">
        <f>tblComponents[Product_Family]</f>
        <v>Body &amp; Exterior</v>
      </c>
      <c r="D373" t="str">
        <f>tblComponents[Category]</f>
        <v>Metal</v>
      </c>
      <c r="E373" t="str">
        <f>tblComponents[Sourcing_Type]</f>
        <v>Buy</v>
      </c>
      <c r="F373" t="str">
        <f>tblComponents[Criticality]</f>
        <v>Low</v>
      </c>
      <c r="G373">
        <f>tblComponents[Monthly_Demand]</f>
        <v>146</v>
      </c>
      <c r="H373">
        <f>tblComponents[Demand_Growth_Rate]</f>
        <v>-4.262398621369852E-2</v>
      </c>
      <c r="I373">
        <f>tblComponents[Forecast_Demand]</f>
        <v>140</v>
      </c>
      <c r="J373">
        <f>tblComponents[Annual_Demand]</f>
        <v>46806</v>
      </c>
      <c r="K373">
        <f>tblComponents[Demand_Variability]</f>
        <v>0.13900000000000001</v>
      </c>
      <c r="L373">
        <f t="shared" si="5"/>
        <v>-6</v>
      </c>
    </row>
    <row r="374" spans="1:12" x14ac:dyDescent="0.35">
      <c r="A374" s="8" t="str">
        <f>tblComponents[Component_ID]</f>
        <v>C373</v>
      </c>
      <c r="B374" s="8" t="str">
        <f>tblComponents[Component_Name]</f>
        <v>Component 373</v>
      </c>
      <c r="C374" t="str">
        <f>tblComponents[Product_Family]</f>
        <v>Powertrain</v>
      </c>
      <c r="D374" t="str">
        <f>tblComponents[Category]</f>
        <v>Metal</v>
      </c>
      <c r="E374" t="str">
        <f>tblComponents[Sourcing_Type]</f>
        <v>Buy</v>
      </c>
      <c r="F374" t="str">
        <f>tblComponents[Criticality]</f>
        <v>Medium</v>
      </c>
      <c r="G374">
        <f>tblComponents[Monthly_Demand]</f>
        <v>1329</v>
      </c>
      <c r="H374">
        <f>tblComponents[Demand_Growth_Rate]</f>
        <v>0.1016829311793591</v>
      </c>
      <c r="I374">
        <f>tblComponents[Forecast_Demand]</f>
        <v>1464</v>
      </c>
      <c r="J374">
        <f>tblComponents[Annual_Demand]</f>
        <v>20901</v>
      </c>
      <c r="K374">
        <f>tblComponents[Demand_Variability]</f>
        <v>0.23860000000000001</v>
      </c>
      <c r="L374">
        <f t="shared" si="5"/>
        <v>135</v>
      </c>
    </row>
    <row r="375" spans="1:12" x14ac:dyDescent="0.35">
      <c r="A375" s="8" t="str">
        <f>tblComponents[Component_ID]</f>
        <v>C374</v>
      </c>
      <c r="B375" s="8" t="str">
        <f>tblComponents[Component_Name]</f>
        <v>Component 374</v>
      </c>
      <c r="C375" t="str">
        <f>tblComponents[Product_Family]</f>
        <v>Powertrain</v>
      </c>
      <c r="D375" t="str">
        <f>tblComponents[Category]</f>
        <v>Electrical</v>
      </c>
      <c r="E375" t="str">
        <f>tblComponents[Sourcing_Type]</f>
        <v>Buy</v>
      </c>
      <c r="F375" t="str">
        <f>tblComponents[Criticality]</f>
        <v>Low</v>
      </c>
      <c r="G375">
        <f>tblComponents[Monthly_Demand]</f>
        <v>418</v>
      </c>
      <c r="H375">
        <f>tblComponents[Demand_Growth_Rate]</f>
        <v>8.6063491528424421E-2</v>
      </c>
      <c r="I375">
        <f>tblComponents[Forecast_Demand]</f>
        <v>454</v>
      </c>
      <c r="J375">
        <f>tblComponents[Annual_Demand]</f>
        <v>22551</v>
      </c>
      <c r="K375">
        <f>tblComponents[Demand_Variability]</f>
        <v>0.23680000000000001</v>
      </c>
      <c r="L375">
        <f t="shared" si="5"/>
        <v>36</v>
      </c>
    </row>
    <row r="376" spans="1:12" x14ac:dyDescent="0.35">
      <c r="A376" s="8" t="str">
        <f>tblComponents[Component_ID]</f>
        <v>C375</v>
      </c>
      <c r="B376" s="8" t="str">
        <f>tblComponents[Component_Name]</f>
        <v>Component 375</v>
      </c>
      <c r="C376" t="str">
        <f>tblComponents[Product_Family]</f>
        <v>Electrical Systems</v>
      </c>
      <c r="D376" t="str">
        <f>tblComponents[Category]</f>
        <v>Electrical</v>
      </c>
      <c r="E376" t="str">
        <f>tblComponents[Sourcing_Type]</f>
        <v>Buy</v>
      </c>
      <c r="F376" t="str">
        <f>tblComponents[Criticality]</f>
        <v>Medium</v>
      </c>
      <c r="G376">
        <f>tblComponents[Monthly_Demand]</f>
        <v>1489</v>
      </c>
      <c r="H376">
        <f>tblComponents[Demand_Growth_Rate]</f>
        <v>5.6873912589189793E-2</v>
      </c>
      <c r="I376">
        <f>tblComponents[Forecast_Demand]</f>
        <v>1574</v>
      </c>
      <c r="J376">
        <f>tblComponents[Annual_Demand]</f>
        <v>30284</v>
      </c>
      <c r="K376">
        <f>tblComponents[Demand_Variability]</f>
        <v>0.16539999999999999</v>
      </c>
      <c r="L376">
        <f t="shared" si="5"/>
        <v>85</v>
      </c>
    </row>
    <row r="377" spans="1:12" x14ac:dyDescent="0.35">
      <c r="A377" s="8" t="str">
        <f>tblComponents[Component_ID]</f>
        <v>C376</v>
      </c>
      <c r="B377" s="8" t="str">
        <f>tblComponents[Component_Name]</f>
        <v>Component 376</v>
      </c>
      <c r="C377" t="str">
        <f>tblComponents[Product_Family]</f>
        <v>Body &amp; Exterior</v>
      </c>
      <c r="D377" t="str">
        <f>tblComponents[Category]</f>
        <v>Metal</v>
      </c>
      <c r="E377" t="str">
        <f>tblComponents[Sourcing_Type]</f>
        <v>Buy</v>
      </c>
      <c r="F377" t="str">
        <f>tblComponents[Criticality]</f>
        <v>Low</v>
      </c>
      <c r="G377">
        <f>tblComponents[Monthly_Demand]</f>
        <v>437</v>
      </c>
      <c r="H377">
        <f>tblComponents[Demand_Growth_Rate]</f>
        <v>0.1468467566880832</v>
      </c>
      <c r="I377">
        <f>tblComponents[Forecast_Demand]</f>
        <v>501</v>
      </c>
      <c r="J377">
        <f>tblComponents[Annual_Demand]</f>
        <v>26493</v>
      </c>
      <c r="K377">
        <f>tblComponents[Demand_Variability]</f>
        <v>0.13569999999999999</v>
      </c>
      <c r="L377">
        <f t="shared" si="5"/>
        <v>64</v>
      </c>
    </row>
    <row r="378" spans="1:12" x14ac:dyDescent="0.35">
      <c r="A378" s="8" t="str">
        <f>tblComponents[Component_ID]</f>
        <v>C377</v>
      </c>
      <c r="B378" s="8" t="str">
        <f>tblComponents[Component_Name]</f>
        <v>Component 377</v>
      </c>
      <c r="C378" t="str">
        <f>tblComponents[Product_Family]</f>
        <v>Electrical Systems</v>
      </c>
      <c r="D378" t="str">
        <f>tblComponents[Category]</f>
        <v>Metal</v>
      </c>
      <c r="E378" t="str">
        <f>tblComponents[Sourcing_Type]</f>
        <v>Buy</v>
      </c>
      <c r="F378" t="str">
        <f>tblComponents[Criticality]</f>
        <v>Medium</v>
      </c>
      <c r="G378">
        <f>tblComponents[Monthly_Demand]</f>
        <v>751</v>
      </c>
      <c r="H378">
        <f>tblComponents[Demand_Growth_Rate]</f>
        <v>-1.390309196658319E-2</v>
      </c>
      <c r="I378">
        <f>tblComponents[Forecast_Demand]</f>
        <v>741</v>
      </c>
      <c r="J378">
        <f>tblComponents[Annual_Demand]</f>
        <v>24121</v>
      </c>
      <c r="K378">
        <f>tblComponents[Demand_Variability]</f>
        <v>0.20530000000000001</v>
      </c>
      <c r="L378">
        <f t="shared" si="5"/>
        <v>-10</v>
      </c>
    </row>
    <row r="379" spans="1:12" x14ac:dyDescent="0.35">
      <c r="A379" s="8" t="str">
        <f>tblComponents[Component_ID]</f>
        <v>C378</v>
      </c>
      <c r="B379" s="8" t="str">
        <f>tblComponents[Component_Name]</f>
        <v>Component 378</v>
      </c>
      <c r="C379" t="str">
        <f>tblComponents[Product_Family]</f>
        <v>Chassis</v>
      </c>
      <c r="D379" t="str">
        <f>tblComponents[Category]</f>
        <v>Metal</v>
      </c>
      <c r="E379" t="str">
        <f>tblComponents[Sourcing_Type]</f>
        <v>Buy</v>
      </c>
      <c r="F379" t="str">
        <f>tblComponents[Criticality]</f>
        <v>Medium</v>
      </c>
      <c r="G379">
        <f>tblComponents[Monthly_Demand]</f>
        <v>713</v>
      </c>
      <c r="H379">
        <f>tblComponents[Demand_Growth_Rate]</f>
        <v>7.5657810657532618E-2</v>
      </c>
      <c r="I379">
        <f>tblComponents[Forecast_Demand]</f>
        <v>767</v>
      </c>
      <c r="J379">
        <f>tblComponents[Annual_Demand]</f>
        <v>16539</v>
      </c>
      <c r="K379">
        <f>tblComponents[Demand_Variability]</f>
        <v>8.6199999999999999E-2</v>
      </c>
      <c r="L379">
        <f t="shared" si="5"/>
        <v>54</v>
      </c>
    </row>
    <row r="380" spans="1:12" x14ac:dyDescent="0.35">
      <c r="A380" s="8" t="str">
        <f>tblComponents[Component_ID]</f>
        <v>C379</v>
      </c>
      <c r="B380" s="8" t="str">
        <f>tblComponents[Component_Name]</f>
        <v>Component 379</v>
      </c>
      <c r="C380" t="str">
        <f>tblComponents[Product_Family]</f>
        <v>Electrical Systems</v>
      </c>
      <c r="D380" t="str">
        <f>tblComponents[Category]</f>
        <v>Electrical</v>
      </c>
      <c r="E380" t="str">
        <f>tblComponents[Sourcing_Type]</f>
        <v>Buy</v>
      </c>
      <c r="F380" t="str">
        <f>tblComponents[Criticality]</f>
        <v>Medium</v>
      </c>
      <c r="G380">
        <f>tblComponents[Monthly_Demand]</f>
        <v>1253</v>
      </c>
      <c r="H380">
        <f>tblComponents[Demand_Growth_Rate]</f>
        <v>5.219431530728301E-2</v>
      </c>
      <c r="I380">
        <f>tblComponents[Forecast_Demand]</f>
        <v>1318</v>
      </c>
      <c r="J380">
        <f>tblComponents[Annual_Demand]</f>
        <v>87221</v>
      </c>
      <c r="K380">
        <f>tblComponents[Demand_Variability]</f>
        <v>0.16070000000000001</v>
      </c>
      <c r="L380">
        <f t="shared" si="5"/>
        <v>65</v>
      </c>
    </row>
    <row r="381" spans="1:12" x14ac:dyDescent="0.35">
      <c r="A381" s="8" t="str">
        <f>tblComponents[Component_ID]</f>
        <v>C380</v>
      </c>
      <c r="B381" s="8" t="str">
        <f>tblComponents[Component_Name]</f>
        <v>Component 380</v>
      </c>
      <c r="C381" t="str">
        <f>tblComponents[Product_Family]</f>
        <v>Powertrain</v>
      </c>
      <c r="D381" t="str">
        <f>tblComponents[Category]</f>
        <v>Metal</v>
      </c>
      <c r="E381" t="str">
        <f>tblComponents[Sourcing_Type]</f>
        <v>Buy</v>
      </c>
      <c r="F381" t="str">
        <f>tblComponents[Criticality]</f>
        <v>Low</v>
      </c>
      <c r="G381">
        <f>tblComponents[Monthly_Demand]</f>
        <v>208</v>
      </c>
      <c r="H381">
        <f>tblComponents[Demand_Growth_Rate]</f>
        <v>0.15662202254894059</v>
      </c>
      <c r="I381">
        <f>tblComponents[Forecast_Demand]</f>
        <v>241</v>
      </c>
      <c r="J381">
        <f>tblComponents[Annual_Demand]</f>
        <v>32027</v>
      </c>
      <c r="K381">
        <f>tblComponents[Demand_Variability]</f>
        <v>0.13719999999999999</v>
      </c>
      <c r="L381">
        <f t="shared" si="5"/>
        <v>33</v>
      </c>
    </row>
    <row r="382" spans="1:12" x14ac:dyDescent="0.35">
      <c r="A382" s="8" t="str">
        <f>tblComponents[Component_ID]</f>
        <v>C381</v>
      </c>
      <c r="B382" s="8" t="str">
        <f>tblComponents[Component_Name]</f>
        <v>Component 381</v>
      </c>
      <c r="C382" t="str">
        <f>tblComponents[Product_Family]</f>
        <v>Body &amp; Exterior</v>
      </c>
      <c r="D382" t="str">
        <f>tblComponents[Category]</f>
        <v>Metal</v>
      </c>
      <c r="E382" t="str">
        <f>tblComponents[Sourcing_Type]</f>
        <v>Buy</v>
      </c>
      <c r="F382" t="str">
        <f>tblComponents[Criticality]</f>
        <v>Medium</v>
      </c>
      <c r="G382">
        <f>tblComponents[Monthly_Demand]</f>
        <v>1164</v>
      </c>
      <c r="H382">
        <f>tblComponents[Demand_Growth_Rate]</f>
        <v>3.9221493792777548E-2</v>
      </c>
      <c r="I382">
        <f>tblComponents[Forecast_Demand]</f>
        <v>1210</v>
      </c>
      <c r="J382">
        <f>tblComponents[Annual_Demand]</f>
        <v>14947</v>
      </c>
      <c r="K382">
        <f>tblComponents[Demand_Variability]</f>
        <v>0.23649999999999999</v>
      </c>
      <c r="L382">
        <f t="shared" si="5"/>
        <v>46</v>
      </c>
    </row>
    <row r="383" spans="1:12" x14ac:dyDescent="0.35">
      <c r="A383" s="8" t="str">
        <f>tblComponents[Component_ID]</f>
        <v>C382</v>
      </c>
      <c r="B383" s="8" t="str">
        <f>tblComponents[Component_Name]</f>
        <v>Component 382</v>
      </c>
      <c r="C383" t="str">
        <f>tblComponents[Product_Family]</f>
        <v>Body &amp; Exterior</v>
      </c>
      <c r="D383" t="str">
        <f>tblComponents[Category]</f>
        <v>Electrical</v>
      </c>
      <c r="E383" t="str">
        <f>tblComponents[Sourcing_Type]</f>
        <v>Buy</v>
      </c>
      <c r="F383" t="str">
        <f>tblComponents[Criticality]</f>
        <v>Low</v>
      </c>
      <c r="G383">
        <f>tblComponents[Monthly_Demand]</f>
        <v>135</v>
      </c>
      <c r="H383">
        <f>tblComponents[Demand_Growth_Rate]</f>
        <v>0.10805414943848719</v>
      </c>
      <c r="I383">
        <f>tblComponents[Forecast_Demand]</f>
        <v>150</v>
      </c>
      <c r="J383">
        <f>tblComponents[Annual_Demand]</f>
        <v>82227</v>
      </c>
      <c r="K383">
        <f>tblComponents[Demand_Variability]</f>
        <v>8.2000000000000003E-2</v>
      </c>
      <c r="L383">
        <f t="shared" si="5"/>
        <v>15</v>
      </c>
    </row>
    <row r="384" spans="1:12" x14ac:dyDescent="0.35">
      <c r="A384" s="8" t="str">
        <f>tblComponents[Component_ID]</f>
        <v>C383</v>
      </c>
      <c r="B384" s="8" t="str">
        <f>tblComponents[Component_Name]</f>
        <v>Component 383</v>
      </c>
      <c r="C384" t="str">
        <f>tblComponents[Product_Family]</f>
        <v>Chassis</v>
      </c>
      <c r="D384" t="str">
        <f>tblComponents[Category]</f>
        <v>Metal</v>
      </c>
      <c r="E384" t="str">
        <f>tblComponents[Sourcing_Type]</f>
        <v>Buy</v>
      </c>
      <c r="F384" t="str">
        <f>tblComponents[Criticality]</f>
        <v>Low</v>
      </c>
      <c r="G384">
        <f>tblComponents[Monthly_Demand]</f>
        <v>1108</v>
      </c>
      <c r="H384">
        <f>tblComponents[Demand_Growth_Rate]</f>
        <v>7.5783118137885006E-2</v>
      </c>
      <c r="I384">
        <f>tblComponents[Forecast_Demand]</f>
        <v>1192</v>
      </c>
      <c r="J384">
        <f>tblComponents[Annual_Demand]</f>
        <v>33164</v>
      </c>
      <c r="K384">
        <f>tblComponents[Demand_Variability]</f>
        <v>0.17399999999999999</v>
      </c>
      <c r="L384">
        <f t="shared" si="5"/>
        <v>84</v>
      </c>
    </row>
    <row r="385" spans="1:12" x14ac:dyDescent="0.35">
      <c r="A385" s="8" t="str">
        <f>tblComponents[Component_ID]</f>
        <v>C384</v>
      </c>
      <c r="B385" s="8" t="str">
        <f>tblComponents[Component_Name]</f>
        <v>Component 384</v>
      </c>
      <c r="C385" t="str">
        <f>tblComponents[Product_Family]</f>
        <v>Interior</v>
      </c>
      <c r="D385" t="str">
        <f>tblComponents[Category]</f>
        <v>Electrical</v>
      </c>
      <c r="E385" t="str">
        <f>tblComponents[Sourcing_Type]</f>
        <v>Buy</v>
      </c>
      <c r="F385" t="str">
        <f>tblComponents[Criticality]</f>
        <v>Low</v>
      </c>
      <c r="G385">
        <f>tblComponents[Monthly_Demand]</f>
        <v>412</v>
      </c>
      <c r="H385">
        <f>tblComponents[Demand_Growth_Rate]</f>
        <v>-4.6687241624022373E-2</v>
      </c>
      <c r="I385">
        <f>tblComponents[Forecast_Demand]</f>
        <v>393</v>
      </c>
      <c r="J385">
        <f>tblComponents[Annual_Demand]</f>
        <v>6577</v>
      </c>
      <c r="K385">
        <f>tblComponents[Demand_Variability]</f>
        <v>0.2059</v>
      </c>
      <c r="L385">
        <f t="shared" si="5"/>
        <v>-19</v>
      </c>
    </row>
    <row r="386" spans="1:12" x14ac:dyDescent="0.35">
      <c r="A386" s="8" t="str">
        <f>tblComponents[Component_ID]</f>
        <v>C385</v>
      </c>
      <c r="B386" s="8" t="str">
        <f>tblComponents[Component_Name]</f>
        <v>Component 385</v>
      </c>
      <c r="C386" t="str">
        <f>tblComponents[Product_Family]</f>
        <v>Electrical Systems</v>
      </c>
      <c r="D386" t="str">
        <f>tblComponents[Category]</f>
        <v>Metal</v>
      </c>
      <c r="E386" t="str">
        <f>tblComponents[Sourcing_Type]</f>
        <v>Buy</v>
      </c>
      <c r="F386" t="str">
        <f>tblComponents[Criticality]</f>
        <v>Medium</v>
      </c>
      <c r="G386">
        <f>tblComponents[Monthly_Demand]</f>
        <v>544</v>
      </c>
      <c r="H386">
        <f>tblComponents[Demand_Growth_Rate]</f>
        <v>-8.6788774642606453E-3</v>
      </c>
      <c r="I386">
        <f>tblComponents[Forecast_Demand]</f>
        <v>539</v>
      </c>
      <c r="J386">
        <f>tblComponents[Annual_Demand]</f>
        <v>19386</v>
      </c>
      <c r="K386">
        <f>tblComponents[Demand_Variability]</f>
        <v>0.16250000000000001</v>
      </c>
      <c r="L386">
        <f t="shared" si="5"/>
        <v>-5</v>
      </c>
    </row>
    <row r="387" spans="1:12" x14ac:dyDescent="0.35">
      <c r="A387" s="8" t="str">
        <f>tblComponents[Component_ID]</f>
        <v>C386</v>
      </c>
      <c r="B387" s="8" t="str">
        <f>tblComponents[Component_Name]</f>
        <v>Component 386</v>
      </c>
      <c r="C387" t="str">
        <f>tblComponents[Product_Family]</f>
        <v>Body &amp; Exterior</v>
      </c>
      <c r="D387" t="str">
        <f>tblComponents[Category]</f>
        <v>Electrical</v>
      </c>
      <c r="E387" t="str">
        <f>tblComponents[Sourcing_Type]</f>
        <v>Buy</v>
      </c>
      <c r="F387" t="str">
        <f>tblComponents[Criticality]</f>
        <v>High</v>
      </c>
      <c r="G387">
        <f>tblComponents[Monthly_Demand]</f>
        <v>1720</v>
      </c>
      <c r="H387">
        <f>tblComponents[Demand_Growth_Rate]</f>
        <v>5.3550231392957573E-2</v>
      </c>
      <c r="I387">
        <f>tblComponents[Forecast_Demand]</f>
        <v>1812</v>
      </c>
      <c r="J387">
        <f>tblComponents[Annual_Demand]</f>
        <v>47263</v>
      </c>
      <c r="K387">
        <f>tblComponents[Demand_Variability]</f>
        <v>9.4500000000000001E-2</v>
      </c>
      <c r="L387">
        <f t="shared" ref="L387:L450" si="6">I387-G387</f>
        <v>92</v>
      </c>
    </row>
    <row r="388" spans="1:12" x14ac:dyDescent="0.35">
      <c r="A388" s="8" t="str">
        <f>tblComponents[Component_ID]</f>
        <v>C387</v>
      </c>
      <c r="B388" s="8" t="str">
        <f>tblComponents[Component_Name]</f>
        <v>Component 387</v>
      </c>
      <c r="C388" t="str">
        <f>tblComponents[Product_Family]</f>
        <v>Interior</v>
      </c>
      <c r="D388" t="str">
        <f>tblComponents[Category]</f>
        <v>Metal</v>
      </c>
      <c r="E388" t="str">
        <f>tblComponents[Sourcing_Type]</f>
        <v>Buy</v>
      </c>
      <c r="F388" t="str">
        <f>tblComponents[Criticality]</f>
        <v>Medium</v>
      </c>
      <c r="G388">
        <f>tblComponents[Monthly_Demand]</f>
        <v>2257</v>
      </c>
      <c r="H388">
        <f>tblComponents[Demand_Growth_Rate]</f>
        <v>0.10193817077391309</v>
      </c>
      <c r="I388">
        <f>tblComponents[Forecast_Demand]</f>
        <v>2487</v>
      </c>
      <c r="J388">
        <f>tblComponents[Annual_Demand]</f>
        <v>43412</v>
      </c>
      <c r="K388">
        <f>tblComponents[Demand_Variability]</f>
        <v>0.24529999999999999</v>
      </c>
      <c r="L388">
        <f t="shared" si="6"/>
        <v>230</v>
      </c>
    </row>
    <row r="389" spans="1:12" x14ac:dyDescent="0.35">
      <c r="A389" s="8" t="str">
        <f>tblComponents[Component_ID]</f>
        <v>C388</v>
      </c>
      <c r="B389" s="8" t="str">
        <f>tblComponents[Component_Name]</f>
        <v>Component 388</v>
      </c>
      <c r="C389" t="str">
        <f>tblComponents[Product_Family]</f>
        <v>Powertrain</v>
      </c>
      <c r="D389" t="str">
        <f>tblComponents[Category]</f>
        <v>Metal</v>
      </c>
      <c r="E389" t="str">
        <f>tblComponents[Sourcing_Type]</f>
        <v>Buy</v>
      </c>
      <c r="F389" t="str">
        <f>tblComponents[Criticality]</f>
        <v>High</v>
      </c>
      <c r="G389">
        <f>tblComponents[Monthly_Demand]</f>
        <v>171</v>
      </c>
      <c r="H389">
        <f>tblComponents[Demand_Growth_Rate]</f>
        <v>0.19656166798785041</v>
      </c>
      <c r="I389">
        <f>tblComponents[Forecast_Demand]</f>
        <v>205</v>
      </c>
      <c r="J389">
        <f>tblComponents[Annual_Demand]</f>
        <v>39417</v>
      </c>
      <c r="K389">
        <f>tblComponents[Demand_Variability]</f>
        <v>0.1681</v>
      </c>
      <c r="L389">
        <f t="shared" si="6"/>
        <v>34</v>
      </c>
    </row>
    <row r="390" spans="1:12" x14ac:dyDescent="0.35">
      <c r="A390" s="8" t="str">
        <f>tblComponents[Component_ID]</f>
        <v>C389</v>
      </c>
      <c r="B390" s="8" t="str">
        <f>tblComponents[Component_Name]</f>
        <v>Component 389</v>
      </c>
      <c r="C390" t="str">
        <f>tblComponents[Product_Family]</f>
        <v>Body &amp; Exterior</v>
      </c>
      <c r="D390" t="str">
        <f>tblComponents[Category]</f>
        <v>Electrical</v>
      </c>
      <c r="E390" t="str">
        <f>tblComponents[Sourcing_Type]</f>
        <v>Buy</v>
      </c>
      <c r="F390" t="str">
        <f>tblComponents[Criticality]</f>
        <v>Medium</v>
      </c>
      <c r="G390">
        <f>tblComponents[Monthly_Demand]</f>
        <v>453</v>
      </c>
      <c r="H390">
        <f>tblComponents[Demand_Growth_Rate]</f>
        <v>5.2989523758525489E-2</v>
      </c>
      <c r="I390">
        <f>tblComponents[Forecast_Demand]</f>
        <v>477</v>
      </c>
      <c r="J390">
        <f>tblComponents[Annual_Demand]</f>
        <v>27242</v>
      </c>
      <c r="K390">
        <f>tblComponents[Demand_Variability]</f>
        <v>0.18440000000000001</v>
      </c>
      <c r="L390">
        <f t="shared" si="6"/>
        <v>24</v>
      </c>
    </row>
    <row r="391" spans="1:12" x14ac:dyDescent="0.35">
      <c r="A391" s="8" t="str">
        <f>tblComponents[Component_ID]</f>
        <v>C390</v>
      </c>
      <c r="B391" s="8" t="str">
        <f>tblComponents[Component_Name]</f>
        <v>Component 390</v>
      </c>
      <c r="C391" t="str">
        <f>tblComponents[Product_Family]</f>
        <v>Electrical Systems</v>
      </c>
      <c r="D391" t="str">
        <f>tblComponents[Category]</f>
        <v>Metal</v>
      </c>
      <c r="E391" t="str">
        <f>tblComponents[Sourcing_Type]</f>
        <v>Buy</v>
      </c>
      <c r="F391" t="str">
        <f>tblComponents[Criticality]</f>
        <v>Medium</v>
      </c>
      <c r="G391">
        <f>tblComponents[Monthly_Demand]</f>
        <v>1924</v>
      </c>
      <c r="H391">
        <f>tblComponents[Demand_Growth_Rate]</f>
        <v>5.977389131270712E-2</v>
      </c>
      <c r="I391">
        <f>tblComponents[Forecast_Demand]</f>
        <v>2039</v>
      </c>
      <c r="J391">
        <f>tblComponents[Annual_Demand]</f>
        <v>98207</v>
      </c>
      <c r="K391">
        <f>tblComponents[Demand_Variability]</f>
        <v>0.1202</v>
      </c>
      <c r="L391">
        <f t="shared" si="6"/>
        <v>115</v>
      </c>
    </row>
    <row r="392" spans="1:12" x14ac:dyDescent="0.35">
      <c r="A392" s="8" t="str">
        <f>tblComponents[Component_ID]</f>
        <v>C391</v>
      </c>
      <c r="B392" s="8" t="str">
        <f>tblComponents[Component_Name]</f>
        <v>Component 391</v>
      </c>
      <c r="C392" t="str">
        <f>tblComponents[Product_Family]</f>
        <v>Electrical Systems</v>
      </c>
      <c r="D392" t="str">
        <f>tblComponents[Category]</f>
        <v>Metal</v>
      </c>
      <c r="E392" t="str">
        <f>tblComponents[Sourcing_Type]</f>
        <v>Buy</v>
      </c>
      <c r="F392" t="str">
        <f>tblComponents[Criticality]</f>
        <v>Medium</v>
      </c>
      <c r="G392">
        <f>tblComponents[Monthly_Demand]</f>
        <v>202</v>
      </c>
      <c r="H392">
        <f>tblComponents[Demand_Growth_Rate]</f>
        <v>5.4817915291505502E-2</v>
      </c>
      <c r="I392">
        <f>tblComponents[Forecast_Demand]</f>
        <v>213</v>
      </c>
      <c r="J392">
        <f>tblComponents[Annual_Demand]</f>
        <v>20930</v>
      </c>
      <c r="K392">
        <f>tblComponents[Demand_Variability]</f>
        <v>0.16220000000000001</v>
      </c>
      <c r="L392">
        <f t="shared" si="6"/>
        <v>11</v>
      </c>
    </row>
    <row r="393" spans="1:12" x14ac:dyDescent="0.35">
      <c r="A393" s="8" t="str">
        <f>tblComponents[Component_ID]</f>
        <v>C392</v>
      </c>
      <c r="B393" s="8" t="str">
        <f>tblComponents[Component_Name]</f>
        <v>Component 392</v>
      </c>
      <c r="C393" t="str">
        <f>tblComponents[Product_Family]</f>
        <v>Body &amp; Exterior</v>
      </c>
      <c r="D393" t="str">
        <f>tblComponents[Category]</f>
        <v>Metal</v>
      </c>
      <c r="E393" t="str">
        <f>tblComponents[Sourcing_Type]</f>
        <v>Buy</v>
      </c>
      <c r="F393" t="str">
        <f>tblComponents[Criticality]</f>
        <v>Medium</v>
      </c>
      <c r="G393">
        <f>tblComponents[Monthly_Demand]</f>
        <v>915</v>
      </c>
      <c r="H393">
        <f>tblComponents[Demand_Growth_Rate]</f>
        <v>0.12866031872718101</v>
      </c>
      <c r="I393">
        <f>tblComponents[Forecast_Demand]</f>
        <v>1033</v>
      </c>
      <c r="J393">
        <f>tblComponents[Annual_Demand]</f>
        <v>53170</v>
      </c>
      <c r="K393">
        <f>tblComponents[Demand_Variability]</f>
        <v>0.153</v>
      </c>
      <c r="L393">
        <f t="shared" si="6"/>
        <v>118</v>
      </c>
    </row>
    <row r="394" spans="1:12" x14ac:dyDescent="0.35">
      <c r="A394" s="8" t="str">
        <f>tblComponents[Component_ID]</f>
        <v>C393</v>
      </c>
      <c r="B394" s="8" t="str">
        <f>tblComponents[Component_Name]</f>
        <v>Component 393</v>
      </c>
      <c r="C394" t="str">
        <f>tblComponents[Product_Family]</f>
        <v>Body &amp; Exterior</v>
      </c>
      <c r="D394" t="str">
        <f>tblComponents[Category]</f>
        <v>Electrical</v>
      </c>
      <c r="E394" t="str">
        <f>tblComponents[Sourcing_Type]</f>
        <v>Buy</v>
      </c>
      <c r="F394" t="str">
        <f>tblComponents[Criticality]</f>
        <v>Medium</v>
      </c>
      <c r="G394">
        <f>tblComponents[Monthly_Demand]</f>
        <v>463</v>
      </c>
      <c r="H394">
        <f>tblComponents[Demand_Growth_Rate]</f>
        <v>3.3407098959216411E-2</v>
      </c>
      <c r="I394">
        <f>tblComponents[Forecast_Demand]</f>
        <v>478</v>
      </c>
      <c r="J394">
        <f>tblComponents[Annual_Demand]</f>
        <v>15507</v>
      </c>
      <c r="K394">
        <f>tblComponents[Demand_Variability]</f>
        <v>9.2700000000000005E-2</v>
      </c>
      <c r="L394">
        <f t="shared" si="6"/>
        <v>15</v>
      </c>
    </row>
    <row r="395" spans="1:12" x14ac:dyDescent="0.35">
      <c r="A395" s="8" t="str">
        <f>tblComponents[Component_ID]</f>
        <v>C394</v>
      </c>
      <c r="B395" s="8" t="str">
        <f>tblComponents[Component_Name]</f>
        <v>Component 394</v>
      </c>
      <c r="C395" t="str">
        <f>tblComponents[Product_Family]</f>
        <v>Electrical Systems</v>
      </c>
      <c r="D395" t="str">
        <f>tblComponents[Category]</f>
        <v>Metal</v>
      </c>
      <c r="E395" t="str">
        <f>tblComponents[Sourcing_Type]</f>
        <v>Buy</v>
      </c>
      <c r="F395" t="str">
        <f>tblComponents[Criticality]</f>
        <v>Low</v>
      </c>
      <c r="G395">
        <f>tblComponents[Monthly_Demand]</f>
        <v>1192</v>
      </c>
      <c r="H395">
        <f>tblComponents[Demand_Growth_Rate]</f>
        <v>5.2434809110734767E-2</v>
      </c>
      <c r="I395">
        <f>tblComponents[Forecast_Demand]</f>
        <v>1255</v>
      </c>
      <c r="J395">
        <f>tblComponents[Annual_Demand]</f>
        <v>11358</v>
      </c>
      <c r="K395">
        <f>tblComponents[Demand_Variability]</f>
        <v>9.8000000000000004E-2</v>
      </c>
      <c r="L395">
        <f t="shared" si="6"/>
        <v>63</v>
      </c>
    </row>
    <row r="396" spans="1:12" x14ac:dyDescent="0.35">
      <c r="A396" s="8" t="str">
        <f>tblComponents[Component_ID]</f>
        <v>C395</v>
      </c>
      <c r="B396" s="8" t="str">
        <f>tblComponents[Component_Name]</f>
        <v>Component 395</v>
      </c>
      <c r="C396" t="str">
        <f>tblComponents[Product_Family]</f>
        <v>Powertrain</v>
      </c>
      <c r="D396" t="str">
        <f>tblComponents[Category]</f>
        <v>Metal</v>
      </c>
      <c r="E396" t="str">
        <f>tblComponents[Sourcing_Type]</f>
        <v>Buy</v>
      </c>
      <c r="F396" t="str">
        <f>tblComponents[Criticality]</f>
        <v>Critical</v>
      </c>
      <c r="G396">
        <f>tblComponents[Monthly_Demand]</f>
        <v>1250</v>
      </c>
      <c r="H396">
        <f>tblComponents[Demand_Growth_Rate]</f>
        <v>8.5440241066890812E-2</v>
      </c>
      <c r="I396">
        <f>tblComponents[Forecast_Demand]</f>
        <v>1357</v>
      </c>
      <c r="J396">
        <f>tblComponents[Annual_Demand]</f>
        <v>73856</v>
      </c>
      <c r="K396">
        <f>tblComponents[Demand_Variability]</f>
        <v>0.22239999999999999</v>
      </c>
      <c r="L396">
        <f t="shared" si="6"/>
        <v>107</v>
      </c>
    </row>
    <row r="397" spans="1:12" x14ac:dyDescent="0.35">
      <c r="A397" s="8" t="str">
        <f>tblComponents[Component_ID]</f>
        <v>C396</v>
      </c>
      <c r="B397" s="8" t="str">
        <f>tblComponents[Component_Name]</f>
        <v>Component 396</v>
      </c>
      <c r="C397" t="str">
        <f>tblComponents[Product_Family]</f>
        <v>Powertrain</v>
      </c>
      <c r="D397" t="str">
        <f>tblComponents[Category]</f>
        <v>Electrical</v>
      </c>
      <c r="E397" t="str">
        <f>tblComponents[Sourcing_Type]</f>
        <v>Buy</v>
      </c>
      <c r="F397" t="str">
        <f>tblComponents[Criticality]</f>
        <v>Medium</v>
      </c>
      <c r="G397">
        <f>tblComponents[Monthly_Demand]</f>
        <v>434</v>
      </c>
      <c r="H397">
        <f>tblComponents[Demand_Growth_Rate]</f>
        <v>7.8871089912622011E-3</v>
      </c>
      <c r="I397">
        <f>tblComponents[Forecast_Demand]</f>
        <v>437</v>
      </c>
      <c r="J397">
        <f>tblComponents[Annual_Demand]</f>
        <v>63576</v>
      </c>
      <c r="K397">
        <f>tblComponents[Demand_Variability]</f>
        <v>0.1208</v>
      </c>
      <c r="L397">
        <f t="shared" si="6"/>
        <v>3</v>
      </c>
    </row>
    <row r="398" spans="1:12" x14ac:dyDescent="0.35">
      <c r="A398" s="8" t="str">
        <f>tblComponents[Component_ID]</f>
        <v>C397</v>
      </c>
      <c r="B398" s="8" t="str">
        <f>tblComponents[Component_Name]</f>
        <v>Component 397</v>
      </c>
      <c r="C398" t="str">
        <f>tblComponents[Product_Family]</f>
        <v>Powertrain</v>
      </c>
      <c r="D398" t="str">
        <f>tblComponents[Category]</f>
        <v>Metal</v>
      </c>
      <c r="E398" t="str">
        <f>tblComponents[Sourcing_Type]</f>
        <v>Buy</v>
      </c>
      <c r="F398" t="str">
        <f>tblComponents[Criticality]</f>
        <v>Medium</v>
      </c>
      <c r="G398">
        <f>tblComponents[Monthly_Demand]</f>
        <v>1450</v>
      </c>
      <c r="H398">
        <f>tblComponents[Demand_Growth_Rate]</f>
        <v>4.2393549856693288E-2</v>
      </c>
      <c r="I398">
        <f>tblComponents[Forecast_Demand]</f>
        <v>1511</v>
      </c>
      <c r="J398">
        <f>tblComponents[Annual_Demand]</f>
        <v>71938</v>
      </c>
      <c r="K398">
        <f>tblComponents[Demand_Variability]</f>
        <v>0.11310000000000001</v>
      </c>
      <c r="L398">
        <f t="shared" si="6"/>
        <v>61</v>
      </c>
    </row>
    <row r="399" spans="1:12" x14ac:dyDescent="0.35">
      <c r="A399" s="8" t="str">
        <f>tblComponents[Component_ID]</f>
        <v>C398</v>
      </c>
      <c r="B399" s="8" t="str">
        <f>tblComponents[Component_Name]</f>
        <v>Component 398</v>
      </c>
      <c r="C399" t="str">
        <f>tblComponents[Product_Family]</f>
        <v>Body &amp; Exterior</v>
      </c>
      <c r="D399" t="str">
        <f>tblComponents[Category]</f>
        <v>Electrical</v>
      </c>
      <c r="E399" t="str">
        <f>tblComponents[Sourcing_Type]</f>
        <v>Buy</v>
      </c>
      <c r="F399" t="str">
        <f>tblComponents[Criticality]</f>
        <v>Critical</v>
      </c>
      <c r="G399">
        <f>tblComponents[Monthly_Demand]</f>
        <v>561</v>
      </c>
      <c r="H399">
        <f>tblComponents[Demand_Growth_Rate]</f>
        <v>0.1605813761874835</v>
      </c>
      <c r="I399">
        <f>tblComponents[Forecast_Demand]</f>
        <v>651</v>
      </c>
      <c r="J399">
        <f>tblComponents[Annual_Demand]</f>
        <v>31122</v>
      </c>
      <c r="K399">
        <f>tblComponents[Demand_Variability]</f>
        <v>0.1658</v>
      </c>
      <c r="L399">
        <f t="shared" si="6"/>
        <v>90</v>
      </c>
    </row>
    <row r="400" spans="1:12" x14ac:dyDescent="0.35">
      <c r="A400" s="8" t="str">
        <f>tblComponents[Component_ID]</f>
        <v>C399</v>
      </c>
      <c r="B400" s="8" t="str">
        <f>tblComponents[Component_Name]</f>
        <v>Component 399</v>
      </c>
      <c r="C400" t="str">
        <f>tblComponents[Product_Family]</f>
        <v>Electrical Systems</v>
      </c>
      <c r="D400" t="str">
        <f>tblComponents[Category]</f>
        <v>Metal</v>
      </c>
      <c r="E400" t="str">
        <f>tblComponents[Sourcing_Type]</f>
        <v>Buy</v>
      </c>
      <c r="F400" t="str">
        <f>tblComponents[Criticality]</f>
        <v>Critical</v>
      </c>
      <c r="G400">
        <f>tblComponents[Monthly_Demand]</f>
        <v>700</v>
      </c>
      <c r="H400">
        <f>tblComponents[Demand_Growth_Rate]</f>
        <v>9.5928396932840984E-2</v>
      </c>
      <c r="I400">
        <f>tblComponents[Forecast_Demand]</f>
        <v>767</v>
      </c>
      <c r="J400">
        <f>tblComponents[Annual_Demand]</f>
        <v>89807</v>
      </c>
      <c r="K400">
        <f>tblComponents[Demand_Variability]</f>
        <v>0.2107</v>
      </c>
      <c r="L400">
        <f t="shared" si="6"/>
        <v>67</v>
      </c>
    </row>
    <row r="401" spans="1:12" x14ac:dyDescent="0.35">
      <c r="A401" s="8" t="str">
        <f>tblComponents[Component_ID]</f>
        <v>C400</v>
      </c>
      <c r="B401" s="8" t="str">
        <f>tblComponents[Component_Name]</f>
        <v>Component 400</v>
      </c>
      <c r="C401" t="str">
        <f>tblComponents[Product_Family]</f>
        <v>Body &amp; Exterior</v>
      </c>
      <c r="D401" t="str">
        <f>tblComponents[Category]</f>
        <v>Electrical</v>
      </c>
      <c r="E401" t="str">
        <f>tblComponents[Sourcing_Type]</f>
        <v>Buy</v>
      </c>
      <c r="F401" t="str">
        <f>tblComponents[Criticality]</f>
        <v>High</v>
      </c>
      <c r="G401">
        <f>tblComponents[Monthly_Demand]</f>
        <v>1203</v>
      </c>
      <c r="H401">
        <f>tblComponents[Demand_Growth_Rate]</f>
        <v>0.12830896702083419</v>
      </c>
      <c r="I401">
        <f>tblComponents[Forecast_Demand]</f>
        <v>1357</v>
      </c>
      <c r="J401">
        <f>tblComponents[Annual_Demand]</f>
        <v>59062</v>
      </c>
      <c r="K401">
        <f>tblComponents[Demand_Variability]</f>
        <v>9.0499999999999997E-2</v>
      </c>
      <c r="L401">
        <f t="shared" si="6"/>
        <v>154</v>
      </c>
    </row>
    <row r="402" spans="1:12" x14ac:dyDescent="0.35">
      <c r="A402" s="8" t="str">
        <f>tblComponents[Component_ID]</f>
        <v>C401</v>
      </c>
      <c r="B402" s="8" t="str">
        <f>tblComponents[Component_Name]</f>
        <v>Component 401</v>
      </c>
      <c r="C402" t="str">
        <f>tblComponents[Product_Family]</f>
        <v>Body &amp; Exterior</v>
      </c>
      <c r="D402" t="str">
        <f>tblComponents[Category]</f>
        <v>Metal</v>
      </c>
      <c r="E402" t="str">
        <f>tblComponents[Sourcing_Type]</f>
        <v>Buy</v>
      </c>
      <c r="F402" t="str">
        <f>tblComponents[Criticality]</f>
        <v>High</v>
      </c>
      <c r="G402">
        <f>tblComponents[Monthly_Demand]</f>
        <v>1490</v>
      </c>
      <c r="H402">
        <f>tblComponents[Demand_Growth_Rate]</f>
        <v>9.9288826497575464E-2</v>
      </c>
      <c r="I402">
        <f>tblComponents[Forecast_Demand]</f>
        <v>1638</v>
      </c>
      <c r="J402">
        <f>tblComponents[Annual_Demand]</f>
        <v>45979</v>
      </c>
      <c r="K402">
        <f>tblComponents[Demand_Variability]</f>
        <v>0.17810000000000001</v>
      </c>
      <c r="L402">
        <f t="shared" si="6"/>
        <v>148</v>
      </c>
    </row>
    <row r="403" spans="1:12" x14ac:dyDescent="0.35">
      <c r="A403" s="8" t="str">
        <f>tblComponents[Component_ID]</f>
        <v>C402</v>
      </c>
      <c r="B403" s="8" t="str">
        <f>tblComponents[Component_Name]</f>
        <v>Component 402</v>
      </c>
      <c r="C403" t="str">
        <f>tblComponents[Product_Family]</f>
        <v>Interior</v>
      </c>
      <c r="D403" t="str">
        <f>tblComponents[Category]</f>
        <v>Metal</v>
      </c>
      <c r="E403" t="str">
        <f>tblComponents[Sourcing_Type]</f>
        <v>Buy</v>
      </c>
      <c r="F403" t="str">
        <f>tblComponents[Criticality]</f>
        <v>High</v>
      </c>
      <c r="G403">
        <f>tblComponents[Monthly_Demand]</f>
        <v>768</v>
      </c>
      <c r="H403">
        <f>tblComponents[Demand_Growth_Rate]</f>
        <v>0.12819441905420781</v>
      </c>
      <c r="I403">
        <f>tblComponents[Forecast_Demand]</f>
        <v>866</v>
      </c>
      <c r="J403">
        <f>tblComponents[Annual_Demand]</f>
        <v>35900</v>
      </c>
      <c r="K403">
        <f>tblComponents[Demand_Variability]</f>
        <v>0.1003</v>
      </c>
      <c r="L403">
        <f t="shared" si="6"/>
        <v>98</v>
      </c>
    </row>
    <row r="404" spans="1:12" x14ac:dyDescent="0.35">
      <c r="A404" s="8" t="str">
        <f>tblComponents[Component_ID]</f>
        <v>C403</v>
      </c>
      <c r="B404" s="8" t="str">
        <f>tblComponents[Component_Name]</f>
        <v>Component 403</v>
      </c>
      <c r="C404" t="str">
        <f>tblComponents[Product_Family]</f>
        <v>Electrical Systems</v>
      </c>
      <c r="D404" t="str">
        <f>tblComponents[Category]</f>
        <v>Metal</v>
      </c>
      <c r="E404" t="str">
        <f>tblComponents[Sourcing_Type]</f>
        <v>Buy</v>
      </c>
      <c r="F404" t="str">
        <f>tblComponents[Criticality]</f>
        <v>Low</v>
      </c>
      <c r="G404">
        <f>tblComponents[Monthly_Demand]</f>
        <v>237</v>
      </c>
      <c r="H404">
        <f>tblComponents[Demand_Growth_Rate]</f>
        <v>7.6764911684679568E-2</v>
      </c>
      <c r="I404">
        <f>tblComponents[Forecast_Demand]</f>
        <v>255</v>
      </c>
      <c r="J404">
        <f>tblComponents[Annual_Demand]</f>
        <v>28840</v>
      </c>
      <c r="K404">
        <f>tblComponents[Demand_Variability]</f>
        <v>8.6199999999999999E-2</v>
      </c>
      <c r="L404">
        <f t="shared" si="6"/>
        <v>18</v>
      </c>
    </row>
    <row r="405" spans="1:12" x14ac:dyDescent="0.35">
      <c r="A405" s="8" t="str">
        <f>tblComponents[Component_ID]</f>
        <v>C404</v>
      </c>
      <c r="B405" s="8" t="str">
        <f>tblComponents[Component_Name]</f>
        <v>Component 404</v>
      </c>
      <c r="C405" t="str">
        <f>tblComponents[Product_Family]</f>
        <v>Powertrain</v>
      </c>
      <c r="D405" t="str">
        <f>tblComponents[Category]</f>
        <v>Electrical</v>
      </c>
      <c r="E405" t="str">
        <f>tblComponents[Sourcing_Type]</f>
        <v>Buy</v>
      </c>
      <c r="F405" t="str">
        <f>tblComponents[Criticality]</f>
        <v>Low</v>
      </c>
      <c r="G405">
        <f>tblComponents[Monthly_Demand]</f>
        <v>1235</v>
      </c>
      <c r="H405">
        <f>tblComponents[Demand_Growth_Rate]</f>
        <v>5.7771715655822363E-2</v>
      </c>
      <c r="I405">
        <f>tblComponents[Forecast_Demand]</f>
        <v>1306</v>
      </c>
      <c r="J405">
        <f>tblComponents[Annual_Demand]</f>
        <v>52167</v>
      </c>
      <c r="K405">
        <f>tblComponents[Demand_Variability]</f>
        <v>8.8999999999999996E-2</v>
      </c>
      <c r="L405">
        <f t="shared" si="6"/>
        <v>71</v>
      </c>
    </row>
    <row r="406" spans="1:12" x14ac:dyDescent="0.35">
      <c r="A406" s="8" t="str">
        <f>tblComponents[Component_ID]</f>
        <v>C405</v>
      </c>
      <c r="B406" s="8" t="str">
        <f>tblComponents[Component_Name]</f>
        <v>Component 405</v>
      </c>
      <c r="C406" t="str">
        <f>tblComponents[Product_Family]</f>
        <v>Electrical Systems</v>
      </c>
      <c r="D406" t="str">
        <f>tblComponents[Category]</f>
        <v>Electrical</v>
      </c>
      <c r="E406" t="str">
        <f>tblComponents[Sourcing_Type]</f>
        <v>Buy</v>
      </c>
      <c r="F406" t="str">
        <f>tblComponents[Criticality]</f>
        <v>High</v>
      </c>
      <c r="G406">
        <f>tblComponents[Monthly_Demand]</f>
        <v>1491</v>
      </c>
      <c r="H406">
        <f>tblComponents[Demand_Growth_Rate]</f>
        <v>-2.2683537320891262E-3</v>
      </c>
      <c r="I406">
        <f>tblComponents[Forecast_Demand]</f>
        <v>1488</v>
      </c>
      <c r="J406">
        <f>tblComponents[Annual_Demand]</f>
        <v>20037</v>
      </c>
      <c r="K406">
        <f>tblComponents[Demand_Variability]</f>
        <v>0.2218</v>
      </c>
      <c r="L406">
        <f t="shared" si="6"/>
        <v>-3</v>
      </c>
    </row>
    <row r="407" spans="1:12" x14ac:dyDescent="0.35">
      <c r="A407" s="8" t="str">
        <f>tblComponents[Component_ID]</f>
        <v>C406</v>
      </c>
      <c r="B407" s="8" t="str">
        <f>tblComponents[Component_Name]</f>
        <v>Component 406</v>
      </c>
      <c r="C407" t="str">
        <f>tblComponents[Product_Family]</f>
        <v>Powertrain</v>
      </c>
      <c r="D407" t="str">
        <f>tblComponents[Category]</f>
        <v>Metal</v>
      </c>
      <c r="E407" t="str">
        <f>tblComponents[Sourcing_Type]</f>
        <v>Buy</v>
      </c>
      <c r="F407" t="str">
        <f>tblComponents[Criticality]</f>
        <v>Medium</v>
      </c>
      <c r="G407">
        <f>tblComponents[Monthly_Demand]</f>
        <v>487</v>
      </c>
      <c r="H407">
        <f>tblComponents[Demand_Growth_Rate]</f>
        <v>6.5380731897151698E-2</v>
      </c>
      <c r="I407">
        <f>tblComponents[Forecast_Demand]</f>
        <v>519</v>
      </c>
      <c r="J407">
        <f>tblComponents[Annual_Demand]</f>
        <v>61721</v>
      </c>
      <c r="K407">
        <f>tblComponents[Demand_Variability]</f>
        <v>0.10009999999999999</v>
      </c>
      <c r="L407">
        <f t="shared" si="6"/>
        <v>32</v>
      </c>
    </row>
    <row r="408" spans="1:12" x14ac:dyDescent="0.35">
      <c r="A408" s="8" t="str">
        <f>tblComponents[Component_ID]</f>
        <v>C407</v>
      </c>
      <c r="B408" s="8" t="str">
        <f>tblComponents[Component_Name]</f>
        <v>Component 407</v>
      </c>
      <c r="C408" t="str">
        <f>tblComponents[Product_Family]</f>
        <v>Body &amp; Exterior</v>
      </c>
      <c r="D408" t="str">
        <f>tblComponents[Category]</f>
        <v>Electrical</v>
      </c>
      <c r="E408" t="str">
        <f>tblComponents[Sourcing_Type]</f>
        <v>Buy</v>
      </c>
      <c r="F408" t="str">
        <f>tblComponents[Criticality]</f>
        <v>High</v>
      </c>
      <c r="G408">
        <f>tblComponents[Monthly_Demand]</f>
        <v>1176</v>
      </c>
      <c r="H408">
        <f>tblComponents[Demand_Growth_Rate]</f>
        <v>1.4894112318762301E-2</v>
      </c>
      <c r="I408">
        <f>tblComponents[Forecast_Demand]</f>
        <v>1194</v>
      </c>
      <c r="J408">
        <f>tblComponents[Annual_Demand]</f>
        <v>39495</v>
      </c>
      <c r="K408">
        <f>tblComponents[Demand_Variability]</f>
        <v>8.77E-2</v>
      </c>
      <c r="L408">
        <f t="shared" si="6"/>
        <v>18</v>
      </c>
    </row>
    <row r="409" spans="1:12" x14ac:dyDescent="0.35">
      <c r="A409" s="8" t="str">
        <f>tblComponents[Component_ID]</f>
        <v>C408</v>
      </c>
      <c r="B409" s="8" t="str">
        <f>tblComponents[Component_Name]</f>
        <v>Component 408</v>
      </c>
      <c r="C409" t="str">
        <f>tblComponents[Product_Family]</f>
        <v>Interior</v>
      </c>
      <c r="D409" t="str">
        <f>tblComponents[Category]</f>
        <v>Metal</v>
      </c>
      <c r="E409" t="str">
        <f>tblComponents[Sourcing_Type]</f>
        <v>Buy</v>
      </c>
      <c r="F409" t="str">
        <f>tblComponents[Criticality]</f>
        <v>Critical</v>
      </c>
      <c r="G409">
        <f>tblComponents[Monthly_Demand]</f>
        <v>1401</v>
      </c>
      <c r="H409">
        <f>tblComponents[Demand_Growth_Rate]</f>
        <v>5.7246232960222618E-2</v>
      </c>
      <c r="I409">
        <f>tblComponents[Forecast_Demand]</f>
        <v>1481</v>
      </c>
      <c r="J409">
        <f>tblComponents[Annual_Demand]</f>
        <v>30848</v>
      </c>
      <c r="K409">
        <f>tblComponents[Demand_Variability]</f>
        <v>0.15440000000000001</v>
      </c>
      <c r="L409">
        <f t="shared" si="6"/>
        <v>80</v>
      </c>
    </row>
    <row r="410" spans="1:12" x14ac:dyDescent="0.35">
      <c r="A410" s="8" t="str">
        <f>tblComponents[Component_ID]</f>
        <v>C409</v>
      </c>
      <c r="B410" s="8" t="str">
        <f>tblComponents[Component_Name]</f>
        <v>Component 409</v>
      </c>
      <c r="C410" t="str">
        <f>tblComponents[Product_Family]</f>
        <v>Electrical Systems</v>
      </c>
      <c r="D410" t="str">
        <f>tblComponents[Category]</f>
        <v>Electrical</v>
      </c>
      <c r="E410" t="str">
        <f>tblComponents[Sourcing_Type]</f>
        <v>Buy</v>
      </c>
      <c r="F410" t="str">
        <f>tblComponents[Criticality]</f>
        <v>Medium</v>
      </c>
      <c r="G410">
        <f>tblComponents[Monthly_Demand]</f>
        <v>2287</v>
      </c>
      <c r="H410">
        <f>tblComponents[Demand_Growth_Rate]</f>
        <v>1.225218402727248E-2</v>
      </c>
      <c r="I410">
        <f>tblComponents[Forecast_Demand]</f>
        <v>2315</v>
      </c>
      <c r="J410">
        <f>tblComponents[Annual_Demand]</f>
        <v>51483</v>
      </c>
      <c r="K410">
        <f>tblComponents[Demand_Variability]</f>
        <v>0.2235</v>
      </c>
      <c r="L410">
        <f t="shared" si="6"/>
        <v>28</v>
      </c>
    </row>
    <row r="411" spans="1:12" x14ac:dyDescent="0.35">
      <c r="A411" s="8" t="str">
        <f>tblComponents[Component_ID]</f>
        <v>C410</v>
      </c>
      <c r="B411" s="8" t="str">
        <f>tblComponents[Component_Name]</f>
        <v>Component 410</v>
      </c>
      <c r="C411" t="str">
        <f>tblComponents[Product_Family]</f>
        <v>Powertrain</v>
      </c>
      <c r="D411" t="str">
        <f>tblComponents[Category]</f>
        <v>Metal</v>
      </c>
      <c r="E411" t="str">
        <f>tblComponents[Sourcing_Type]</f>
        <v>Buy</v>
      </c>
      <c r="F411" t="str">
        <f>tblComponents[Criticality]</f>
        <v>High</v>
      </c>
      <c r="G411">
        <f>tblComponents[Monthly_Demand]</f>
        <v>160</v>
      </c>
      <c r="H411">
        <f>tblComponents[Demand_Growth_Rate]</f>
        <v>0.16450581775180731</v>
      </c>
      <c r="I411">
        <f>tblComponents[Forecast_Demand]</f>
        <v>186</v>
      </c>
      <c r="J411">
        <f>tblComponents[Annual_Demand]</f>
        <v>28474</v>
      </c>
      <c r="K411">
        <f>tblComponents[Demand_Variability]</f>
        <v>0.1246</v>
      </c>
      <c r="L411">
        <f t="shared" si="6"/>
        <v>26</v>
      </c>
    </row>
    <row r="412" spans="1:12" x14ac:dyDescent="0.35">
      <c r="A412" s="8" t="str">
        <f>tblComponents[Component_ID]</f>
        <v>C411</v>
      </c>
      <c r="B412" s="8" t="str">
        <f>tblComponents[Component_Name]</f>
        <v>Component 411</v>
      </c>
      <c r="C412" t="str">
        <f>tblComponents[Product_Family]</f>
        <v>Chassis</v>
      </c>
      <c r="D412" t="str">
        <f>tblComponents[Category]</f>
        <v>Metal</v>
      </c>
      <c r="E412" t="str">
        <f>tblComponents[Sourcing_Type]</f>
        <v>Buy</v>
      </c>
      <c r="F412" t="str">
        <f>tblComponents[Criticality]</f>
        <v>High</v>
      </c>
      <c r="G412">
        <f>tblComponents[Monthly_Demand]</f>
        <v>2722</v>
      </c>
      <c r="H412">
        <f>tblComponents[Demand_Growth_Rate]</f>
        <v>0.16229475137542601</v>
      </c>
      <c r="I412">
        <f>tblComponents[Forecast_Demand]</f>
        <v>3164</v>
      </c>
      <c r="J412">
        <f>tblComponents[Annual_Demand]</f>
        <v>49069</v>
      </c>
      <c r="K412">
        <f>tblComponents[Demand_Variability]</f>
        <v>0.1517</v>
      </c>
      <c r="L412">
        <f t="shared" si="6"/>
        <v>442</v>
      </c>
    </row>
    <row r="413" spans="1:12" x14ac:dyDescent="0.35">
      <c r="A413" s="8" t="str">
        <f>tblComponents[Component_ID]</f>
        <v>C412</v>
      </c>
      <c r="B413" s="8" t="str">
        <f>tblComponents[Component_Name]</f>
        <v>Component 412</v>
      </c>
      <c r="C413" t="str">
        <f>tblComponents[Product_Family]</f>
        <v>Powertrain</v>
      </c>
      <c r="D413" t="str">
        <f>tblComponents[Category]</f>
        <v>Metal</v>
      </c>
      <c r="E413" t="str">
        <f>tblComponents[Sourcing_Type]</f>
        <v>Buy</v>
      </c>
      <c r="F413" t="str">
        <f>tblComponents[Criticality]</f>
        <v>Critical</v>
      </c>
      <c r="G413">
        <f>tblComponents[Monthly_Demand]</f>
        <v>1919</v>
      </c>
      <c r="H413">
        <f>tblComponents[Demand_Growth_Rate]</f>
        <v>0.1059357712160023</v>
      </c>
      <c r="I413">
        <f>tblComponents[Forecast_Demand]</f>
        <v>2122</v>
      </c>
      <c r="J413">
        <f>tblComponents[Annual_Demand]</f>
        <v>55416</v>
      </c>
      <c r="K413">
        <f>tblComponents[Demand_Variability]</f>
        <v>8.6800000000000002E-2</v>
      </c>
      <c r="L413">
        <f t="shared" si="6"/>
        <v>203</v>
      </c>
    </row>
    <row r="414" spans="1:12" x14ac:dyDescent="0.35">
      <c r="A414" s="8" t="str">
        <f>tblComponents[Component_ID]</f>
        <v>C413</v>
      </c>
      <c r="B414" s="8" t="str">
        <f>tblComponents[Component_Name]</f>
        <v>Component 413</v>
      </c>
      <c r="C414" t="str">
        <f>tblComponents[Product_Family]</f>
        <v>Powertrain</v>
      </c>
      <c r="D414" t="str">
        <f>tblComponents[Category]</f>
        <v>Electrical</v>
      </c>
      <c r="E414" t="str">
        <f>tblComponents[Sourcing_Type]</f>
        <v>Buy</v>
      </c>
      <c r="F414" t="str">
        <f>tblComponents[Criticality]</f>
        <v>Medium</v>
      </c>
      <c r="G414">
        <f>tblComponents[Monthly_Demand]</f>
        <v>1352</v>
      </c>
      <c r="H414">
        <f>tblComponents[Demand_Growth_Rate]</f>
        <v>5.0583738809333187E-2</v>
      </c>
      <c r="I414">
        <f>tblComponents[Forecast_Demand]</f>
        <v>1420</v>
      </c>
      <c r="J414">
        <f>tblComponents[Annual_Demand]</f>
        <v>21411</v>
      </c>
      <c r="K414">
        <f>tblComponents[Demand_Variability]</f>
        <v>0.15629999999999999</v>
      </c>
      <c r="L414">
        <f t="shared" si="6"/>
        <v>68</v>
      </c>
    </row>
    <row r="415" spans="1:12" x14ac:dyDescent="0.35">
      <c r="A415" s="8" t="str">
        <f>tblComponents[Component_ID]</f>
        <v>C414</v>
      </c>
      <c r="B415" s="8" t="str">
        <f>tblComponents[Component_Name]</f>
        <v>Component 414</v>
      </c>
      <c r="C415" t="str">
        <f>tblComponents[Product_Family]</f>
        <v>Powertrain</v>
      </c>
      <c r="D415" t="str">
        <f>tblComponents[Category]</f>
        <v>Electrical</v>
      </c>
      <c r="E415" t="str">
        <f>tblComponents[Sourcing_Type]</f>
        <v>Buy</v>
      </c>
      <c r="F415" t="str">
        <f>tblComponents[Criticality]</f>
        <v>Medium</v>
      </c>
      <c r="G415">
        <f>tblComponents[Monthly_Demand]</f>
        <v>2688</v>
      </c>
      <c r="H415">
        <f>tblComponents[Demand_Growth_Rate]</f>
        <v>7.2188656208747454E-3</v>
      </c>
      <c r="I415">
        <f>tblComponents[Forecast_Demand]</f>
        <v>2707</v>
      </c>
      <c r="J415">
        <f>tblComponents[Annual_Demand]</f>
        <v>54133</v>
      </c>
      <c r="K415">
        <f>tblComponents[Demand_Variability]</f>
        <v>0.1782</v>
      </c>
      <c r="L415">
        <f t="shared" si="6"/>
        <v>19</v>
      </c>
    </row>
    <row r="416" spans="1:12" x14ac:dyDescent="0.35">
      <c r="A416" s="8" t="str">
        <f>tblComponents[Component_ID]</f>
        <v>C415</v>
      </c>
      <c r="B416" s="8" t="str">
        <f>tblComponents[Component_Name]</f>
        <v>Component 415</v>
      </c>
      <c r="C416" t="str">
        <f>tblComponents[Product_Family]</f>
        <v>Interior</v>
      </c>
      <c r="D416" t="str">
        <f>tblComponents[Category]</f>
        <v>Electrical</v>
      </c>
      <c r="E416" t="str">
        <f>tblComponents[Sourcing_Type]</f>
        <v>Buy</v>
      </c>
      <c r="F416" t="str">
        <f>tblComponents[Criticality]</f>
        <v>Medium</v>
      </c>
      <c r="G416">
        <f>tblComponents[Monthly_Demand]</f>
        <v>1062</v>
      </c>
      <c r="H416">
        <f>tblComponents[Demand_Growth_Rate]</f>
        <v>6.076484058260527E-2</v>
      </c>
      <c r="I416">
        <f>tblComponents[Forecast_Demand]</f>
        <v>1127</v>
      </c>
      <c r="J416">
        <f>tblComponents[Annual_Demand]</f>
        <v>46508</v>
      </c>
      <c r="K416">
        <f>tblComponents[Demand_Variability]</f>
        <v>0.17710000000000001</v>
      </c>
      <c r="L416">
        <f t="shared" si="6"/>
        <v>65</v>
      </c>
    </row>
    <row r="417" spans="1:12" x14ac:dyDescent="0.35">
      <c r="A417" s="8" t="str">
        <f>tblComponents[Component_ID]</f>
        <v>C416</v>
      </c>
      <c r="B417" s="8" t="str">
        <f>tblComponents[Component_Name]</f>
        <v>Component 416</v>
      </c>
      <c r="C417" t="str">
        <f>tblComponents[Product_Family]</f>
        <v>Interior</v>
      </c>
      <c r="D417" t="str">
        <f>tblComponents[Category]</f>
        <v>Metal</v>
      </c>
      <c r="E417" t="str">
        <f>tblComponents[Sourcing_Type]</f>
        <v>Buy</v>
      </c>
      <c r="F417" t="str">
        <f>tblComponents[Criticality]</f>
        <v>Medium</v>
      </c>
      <c r="G417">
        <f>tblComponents[Monthly_Demand]</f>
        <v>288</v>
      </c>
      <c r="H417">
        <f>tblComponents[Demand_Growth_Rate]</f>
        <v>0.1186965755418526</v>
      </c>
      <c r="I417">
        <f>tblComponents[Forecast_Demand]</f>
        <v>322</v>
      </c>
      <c r="J417">
        <f>tblComponents[Annual_Demand]</f>
        <v>12389</v>
      </c>
      <c r="K417">
        <f>tblComponents[Demand_Variability]</f>
        <v>0.13650000000000001</v>
      </c>
      <c r="L417">
        <f t="shared" si="6"/>
        <v>34</v>
      </c>
    </row>
    <row r="418" spans="1:12" x14ac:dyDescent="0.35">
      <c r="A418" s="8" t="str">
        <f>tblComponents[Component_ID]</f>
        <v>C417</v>
      </c>
      <c r="B418" s="8" t="str">
        <f>tblComponents[Component_Name]</f>
        <v>Component 417</v>
      </c>
      <c r="C418" t="str">
        <f>tblComponents[Product_Family]</f>
        <v>Chassis</v>
      </c>
      <c r="D418" t="str">
        <f>tblComponents[Category]</f>
        <v>Electrical</v>
      </c>
      <c r="E418" t="str">
        <f>tblComponents[Sourcing_Type]</f>
        <v>Buy</v>
      </c>
      <c r="F418" t="str">
        <f>tblComponents[Criticality]</f>
        <v>Medium</v>
      </c>
      <c r="G418">
        <f>tblComponents[Monthly_Demand]</f>
        <v>1010</v>
      </c>
      <c r="H418">
        <f>tblComponents[Demand_Growth_Rate]</f>
        <v>0.19356191353618901</v>
      </c>
      <c r="I418">
        <f>tblComponents[Forecast_Demand]</f>
        <v>1205</v>
      </c>
      <c r="J418">
        <f>tblComponents[Annual_Demand]</f>
        <v>76335</v>
      </c>
      <c r="K418">
        <f>tblComponents[Demand_Variability]</f>
        <v>0.1336</v>
      </c>
      <c r="L418">
        <f t="shared" si="6"/>
        <v>195</v>
      </c>
    </row>
    <row r="419" spans="1:12" x14ac:dyDescent="0.35">
      <c r="A419" s="8" t="str">
        <f>tblComponents[Component_ID]</f>
        <v>C418</v>
      </c>
      <c r="B419" s="8" t="str">
        <f>tblComponents[Component_Name]</f>
        <v>Component 418</v>
      </c>
      <c r="C419" t="str">
        <f>tblComponents[Product_Family]</f>
        <v>Electrical Systems</v>
      </c>
      <c r="D419" t="str">
        <f>tblComponents[Category]</f>
        <v>Electrical</v>
      </c>
      <c r="E419" t="str">
        <f>tblComponents[Sourcing_Type]</f>
        <v>Buy</v>
      </c>
      <c r="F419" t="str">
        <f>tblComponents[Criticality]</f>
        <v>Medium</v>
      </c>
      <c r="G419">
        <f>tblComponents[Monthly_Demand]</f>
        <v>905</v>
      </c>
      <c r="H419">
        <f>tblComponents[Demand_Growth_Rate]</f>
        <v>6.37929979334141E-2</v>
      </c>
      <c r="I419">
        <f>tblComponents[Forecast_Demand]</f>
        <v>963</v>
      </c>
      <c r="J419">
        <f>tblComponents[Annual_Demand]</f>
        <v>18639</v>
      </c>
      <c r="K419">
        <f>tblComponents[Demand_Variability]</f>
        <v>9.8100000000000007E-2</v>
      </c>
      <c r="L419">
        <f t="shared" si="6"/>
        <v>58</v>
      </c>
    </row>
    <row r="420" spans="1:12" x14ac:dyDescent="0.35">
      <c r="A420" s="8" t="str">
        <f>tblComponents[Component_ID]</f>
        <v>C419</v>
      </c>
      <c r="B420" s="8" t="str">
        <f>tblComponents[Component_Name]</f>
        <v>Component 419</v>
      </c>
      <c r="C420" t="str">
        <f>tblComponents[Product_Family]</f>
        <v>Body &amp; Exterior</v>
      </c>
      <c r="D420" t="str">
        <f>tblComponents[Category]</f>
        <v>Metal</v>
      </c>
      <c r="E420" t="str">
        <f>tblComponents[Sourcing_Type]</f>
        <v>Buy</v>
      </c>
      <c r="F420" t="str">
        <f>tblComponents[Criticality]</f>
        <v>Medium</v>
      </c>
      <c r="G420">
        <f>tblComponents[Monthly_Demand]</f>
        <v>542</v>
      </c>
      <c r="H420">
        <f>tblComponents[Demand_Growth_Rate]</f>
        <v>6.3394749980708529E-2</v>
      </c>
      <c r="I420">
        <f>tblComponents[Forecast_Demand]</f>
        <v>576</v>
      </c>
      <c r="J420">
        <f>tblComponents[Annual_Demand]</f>
        <v>93768</v>
      </c>
      <c r="K420">
        <f>tblComponents[Demand_Variability]</f>
        <v>0.1424</v>
      </c>
      <c r="L420">
        <f t="shared" si="6"/>
        <v>34</v>
      </c>
    </row>
    <row r="421" spans="1:12" x14ac:dyDescent="0.35">
      <c r="A421" s="8" t="str">
        <f>tblComponents[Component_ID]</f>
        <v>C420</v>
      </c>
      <c r="B421" s="8" t="str">
        <f>tblComponents[Component_Name]</f>
        <v>Component 420</v>
      </c>
      <c r="C421" t="str">
        <f>tblComponents[Product_Family]</f>
        <v>Body &amp; Exterior</v>
      </c>
      <c r="D421" t="str">
        <f>tblComponents[Category]</f>
        <v>Electrical</v>
      </c>
      <c r="E421" t="str">
        <f>tblComponents[Sourcing_Type]</f>
        <v>Buy</v>
      </c>
      <c r="F421" t="str">
        <f>tblComponents[Criticality]</f>
        <v>Low</v>
      </c>
      <c r="G421">
        <f>tblComponents[Monthly_Demand]</f>
        <v>421</v>
      </c>
      <c r="H421">
        <f>tblComponents[Demand_Growth_Rate]</f>
        <v>9.3151808220505602E-2</v>
      </c>
      <c r="I421">
        <f>tblComponents[Forecast_Demand]</f>
        <v>460</v>
      </c>
      <c r="J421">
        <f>tblComponents[Annual_Demand]</f>
        <v>54164</v>
      </c>
      <c r="K421">
        <f>tblComponents[Demand_Variability]</f>
        <v>9.69E-2</v>
      </c>
      <c r="L421">
        <f t="shared" si="6"/>
        <v>39</v>
      </c>
    </row>
    <row r="422" spans="1:12" x14ac:dyDescent="0.35">
      <c r="A422" s="8" t="str">
        <f>tblComponents[Component_ID]</f>
        <v>C421</v>
      </c>
      <c r="B422" s="8" t="str">
        <f>tblComponents[Component_Name]</f>
        <v>Component 421</v>
      </c>
      <c r="C422" t="str">
        <f>tblComponents[Product_Family]</f>
        <v>Interior</v>
      </c>
      <c r="D422" t="str">
        <f>tblComponents[Category]</f>
        <v>Metal</v>
      </c>
      <c r="E422" t="str">
        <f>tblComponents[Sourcing_Type]</f>
        <v>Buy</v>
      </c>
      <c r="F422" t="str">
        <f>tblComponents[Criticality]</f>
        <v>Medium</v>
      </c>
      <c r="G422">
        <f>tblComponents[Monthly_Demand]</f>
        <v>2031</v>
      </c>
      <c r="H422">
        <f>tblComponents[Demand_Growth_Rate]</f>
        <v>-3.3368097947286193E-2</v>
      </c>
      <c r="I422">
        <f>tblComponents[Forecast_Demand]</f>
        <v>1963</v>
      </c>
      <c r="J422">
        <f>tblComponents[Annual_Demand]</f>
        <v>23448</v>
      </c>
      <c r="K422">
        <f>tblComponents[Demand_Variability]</f>
        <v>0.21029999999999999</v>
      </c>
      <c r="L422">
        <f t="shared" si="6"/>
        <v>-68</v>
      </c>
    </row>
    <row r="423" spans="1:12" x14ac:dyDescent="0.35">
      <c r="A423" s="8" t="str">
        <f>tblComponents[Component_ID]</f>
        <v>C422</v>
      </c>
      <c r="B423" s="8" t="str">
        <f>tblComponents[Component_Name]</f>
        <v>Component 422</v>
      </c>
      <c r="C423" t="str">
        <f>tblComponents[Product_Family]</f>
        <v>Interior</v>
      </c>
      <c r="D423" t="str">
        <f>tblComponents[Category]</f>
        <v>Electrical</v>
      </c>
      <c r="E423" t="str">
        <f>tblComponents[Sourcing_Type]</f>
        <v>Buy</v>
      </c>
      <c r="F423" t="str">
        <f>tblComponents[Criticality]</f>
        <v>Medium</v>
      </c>
      <c r="G423">
        <f>tblComponents[Monthly_Demand]</f>
        <v>1475</v>
      </c>
      <c r="H423">
        <f>tblComponents[Demand_Growth_Rate]</f>
        <v>0.165749207839718</v>
      </c>
      <c r="I423">
        <f>tblComponents[Forecast_Demand]</f>
        <v>1719</v>
      </c>
      <c r="J423">
        <f>tblComponents[Annual_Demand]</f>
        <v>61980</v>
      </c>
      <c r="K423">
        <f>tblComponents[Demand_Variability]</f>
        <v>0.24429999999999999</v>
      </c>
      <c r="L423">
        <f t="shared" si="6"/>
        <v>244</v>
      </c>
    </row>
    <row r="424" spans="1:12" x14ac:dyDescent="0.35">
      <c r="A424" s="8" t="str">
        <f>tblComponents[Component_ID]</f>
        <v>C423</v>
      </c>
      <c r="B424" s="8" t="str">
        <f>tblComponents[Component_Name]</f>
        <v>Component 423</v>
      </c>
      <c r="C424" t="str">
        <f>tblComponents[Product_Family]</f>
        <v>Powertrain</v>
      </c>
      <c r="D424" t="str">
        <f>tblComponents[Category]</f>
        <v>Electrical</v>
      </c>
      <c r="E424" t="str">
        <f>tblComponents[Sourcing_Type]</f>
        <v>Buy</v>
      </c>
      <c r="F424" t="str">
        <f>tblComponents[Criticality]</f>
        <v>Low</v>
      </c>
      <c r="G424">
        <f>tblComponents[Monthly_Demand]</f>
        <v>311</v>
      </c>
      <c r="H424">
        <f>tblComponents[Demand_Growth_Rate]</f>
        <v>4.0567522819449234E-3</v>
      </c>
      <c r="I424">
        <f>tblComponents[Forecast_Demand]</f>
        <v>312</v>
      </c>
      <c r="J424">
        <f>tblComponents[Annual_Demand]</f>
        <v>31609</v>
      </c>
      <c r="K424">
        <f>tblComponents[Demand_Variability]</f>
        <v>0.24490000000000001</v>
      </c>
      <c r="L424">
        <f t="shared" si="6"/>
        <v>1</v>
      </c>
    </row>
    <row r="425" spans="1:12" x14ac:dyDescent="0.35">
      <c r="A425" s="8" t="str">
        <f>tblComponents[Component_ID]</f>
        <v>C424</v>
      </c>
      <c r="B425" s="8" t="str">
        <f>tblComponents[Component_Name]</f>
        <v>Component 424</v>
      </c>
      <c r="C425" t="str">
        <f>tblComponents[Product_Family]</f>
        <v>Electrical Systems</v>
      </c>
      <c r="D425" t="str">
        <f>tblComponents[Category]</f>
        <v>Electrical</v>
      </c>
      <c r="E425" t="str">
        <f>tblComponents[Sourcing_Type]</f>
        <v>Buy</v>
      </c>
      <c r="F425" t="str">
        <f>tblComponents[Criticality]</f>
        <v>Medium</v>
      </c>
      <c r="G425">
        <f>tblComponents[Monthly_Demand]</f>
        <v>1379</v>
      </c>
      <c r="H425">
        <f>tblComponents[Demand_Growth_Rate]</f>
        <v>-3.324586556219751E-2</v>
      </c>
      <c r="I425">
        <f>tblComponents[Forecast_Demand]</f>
        <v>1333</v>
      </c>
      <c r="J425">
        <f>tblComponents[Annual_Demand]</f>
        <v>20240</v>
      </c>
      <c r="K425">
        <f>tblComponents[Demand_Variability]</f>
        <v>0.2271</v>
      </c>
      <c r="L425">
        <f t="shared" si="6"/>
        <v>-46</v>
      </c>
    </row>
    <row r="426" spans="1:12" x14ac:dyDescent="0.35">
      <c r="A426" s="8" t="str">
        <f>tblComponents[Component_ID]</f>
        <v>C425</v>
      </c>
      <c r="B426" s="8" t="str">
        <f>tblComponents[Component_Name]</f>
        <v>Component 425</v>
      </c>
      <c r="C426" t="str">
        <f>tblComponents[Product_Family]</f>
        <v>Body &amp; Exterior</v>
      </c>
      <c r="D426" t="str">
        <f>tblComponents[Category]</f>
        <v>Electrical</v>
      </c>
      <c r="E426" t="str">
        <f>tblComponents[Sourcing_Type]</f>
        <v>Buy</v>
      </c>
      <c r="F426" t="str">
        <f>tblComponents[Criticality]</f>
        <v>Critical</v>
      </c>
      <c r="G426">
        <f>tblComponents[Monthly_Demand]</f>
        <v>1445</v>
      </c>
      <c r="H426">
        <f>tblComponents[Demand_Growth_Rate]</f>
        <v>5.4054514711337327E-2</v>
      </c>
      <c r="I426">
        <f>tblComponents[Forecast_Demand]</f>
        <v>1523</v>
      </c>
      <c r="J426">
        <f>tblComponents[Annual_Demand]</f>
        <v>8968</v>
      </c>
      <c r="K426">
        <f>tblComponents[Demand_Variability]</f>
        <v>0.18210000000000001</v>
      </c>
      <c r="L426">
        <f t="shared" si="6"/>
        <v>78</v>
      </c>
    </row>
    <row r="427" spans="1:12" x14ac:dyDescent="0.35">
      <c r="A427" s="8" t="str">
        <f>tblComponents[Component_ID]</f>
        <v>C426</v>
      </c>
      <c r="B427" s="8" t="str">
        <f>tblComponents[Component_Name]</f>
        <v>Component 426</v>
      </c>
      <c r="C427" t="str">
        <f>tblComponents[Product_Family]</f>
        <v>Electrical Systems</v>
      </c>
      <c r="D427" t="str">
        <f>tblComponents[Category]</f>
        <v>Metal</v>
      </c>
      <c r="E427" t="str">
        <f>tblComponents[Sourcing_Type]</f>
        <v>Buy</v>
      </c>
      <c r="F427" t="str">
        <f>tblComponents[Criticality]</f>
        <v>Critical</v>
      </c>
      <c r="G427">
        <f>tblComponents[Monthly_Demand]</f>
        <v>583</v>
      </c>
      <c r="H427">
        <f>tblComponents[Demand_Growth_Rate]</f>
        <v>0.19326919947807461</v>
      </c>
      <c r="I427">
        <f>tblComponents[Forecast_Demand]</f>
        <v>696</v>
      </c>
      <c r="J427">
        <f>tblComponents[Annual_Demand]</f>
        <v>7716</v>
      </c>
      <c r="K427">
        <f>tblComponents[Demand_Variability]</f>
        <v>0.1991</v>
      </c>
      <c r="L427">
        <f t="shared" si="6"/>
        <v>113</v>
      </c>
    </row>
    <row r="428" spans="1:12" x14ac:dyDescent="0.35">
      <c r="A428" s="8" t="str">
        <f>tblComponents[Component_ID]</f>
        <v>C427</v>
      </c>
      <c r="B428" s="8" t="str">
        <f>tblComponents[Component_Name]</f>
        <v>Component 427</v>
      </c>
      <c r="C428" t="str">
        <f>tblComponents[Product_Family]</f>
        <v>Interior</v>
      </c>
      <c r="D428" t="str">
        <f>tblComponents[Category]</f>
        <v>Metal</v>
      </c>
      <c r="E428" t="str">
        <f>tblComponents[Sourcing_Type]</f>
        <v>Buy</v>
      </c>
      <c r="F428" t="str">
        <f>tblComponents[Criticality]</f>
        <v>Medium</v>
      </c>
      <c r="G428">
        <f>tblComponents[Monthly_Demand]</f>
        <v>1403</v>
      </c>
      <c r="H428">
        <f>tblComponents[Demand_Growth_Rate]</f>
        <v>4.9266975978500974E-3</v>
      </c>
      <c r="I428">
        <f>tblComponents[Forecast_Demand]</f>
        <v>1410</v>
      </c>
      <c r="J428">
        <f>tblComponents[Annual_Demand]</f>
        <v>36782</v>
      </c>
      <c r="K428">
        <f>tblComponents[Demand_Variability]</f>
        <v>0.1285</v>
      </c>
      <c r="L428">
        <f t="shared" si="6"/>
        <v>7</v>
      </c>
    </row>
    <row r="429" spans="1:12" x14ac:dyDescent="0.35">
      <c r="A429" s="8" t="str">
        <f>tblComponents[Component_ID]</f>
        <v>C428</v>
      </c>
      <c r="B429" s="8" t="str">
        <f>tblComponents[Component_Name]</f>
        <v>Component 428</v>
      </c>
      <c r="C429" t="str">
        <f>tblComponents[Product_Family]</f>
        <v>Body &amp; Exterior</v>
      </c>
      <c r="D429" t="str">
        <f>tblComponents[Category]</f>
        <v>Metal</v>
      </c>
      <c r="E429" t="str">
        <f>tblComponents[Sourcing_Type]</f>
        <v>Buy</v>
      </c>
      <c r="F429" t="str">
        <f>tblComponents[Criticality]</f>
        <v>High</v>
      </c>
      <c r="G429">
        <f>tblComponents[Monthly_Demand]</f>
        <v>381</v>
      </c>
      <c r="H429">
        <f>tblComponents[Demand_Growth_Rate]</f>
        <v>0.15225591007291911</v>
      </c>
      <c r="I429">
        <f>tblComponents[Forecast_Demand]</f>
        <v>439</v>
      </c>
      <c r="J429">
        <f>tblComponents[Annual_Demand]</f>
        <v>22211</v>
      </c>
      <c r="K429">
        <f>tblComponents[Demand_Variability]</f>
        <v>0.18720000000000001</v>
      </c>
      <c r="L429">
        <f t="shared" si="6"/>
        <v>58</v>
      </c>
    </row>
    <row r="430" spans="1:12" x14ac:dyDescent="0.35">
      <c r="A430" s="8" t="str">
        <f>tblComponents[Component_ID]</f>
        <v>C429</v>
      </c>
      <c r="B430" s="8" t="str">
        <f>tblComponents[Component_Name]</f>
        <v>Component 429</v>
      </c>
      <c r="C430" t="str">
        <f>tblComponents[Product_Family]</f>
        <v>Chassis</v>
      </c>
      <c r="D430" t="str">
        <f>tblComponents[Category]</f>
        <v>Electrical</v>
      </c>
      <c r="E430" t="str">
        <f>tblComponents[Sourcing_Type]</f>
        <v>Buy</v>
      </c>
      <c r="F430" t="str">
        <f>tblComponents[Criticality]</f>
        <v>Critical</v>
      </c>
      <c r="G430">
        <f>tblComponents[Monthly_Demand]</f>
        <v>874</v>
      </c>
      <c r="H430">
        <f>tblComponents[Demand_Growth_Rate]</f>
        <v>0.12666888341942489</v>
      </c>
      <c r="I430">
        <f>tblComponents[Forecast_Demand]</f>
        <v>985</v>
      </c>
      <c r="J430">
        <f>tblComponents[Annual_Demand]</f>
        <v>38307</v>
      </c>
      <c r="K430">
        <f>tblComponents[Demand_Variability]</f>
        <v>0.1575</v>
      </c>
      <c r="L430">
        <f t="shared" si="6"/>
        <v>111</v>
      </c>
    </row>
    <row r="431" spans="1:12" x14ac:dyDescent="0.35">
      <c r="A431" s="8" t="str">
        <f>tblComponents[Component_ID]</f>
        <v>C430</v>
      </c>
      <c r="B431" s="8" t="str">
        <f>tblComponents[Component_Name]</f>
        <v>Component 430</v>
      </c>
      <c r="C431" t="str">
        <f>tblComponents[Product_Family]</f>
        <v>Powertrain</v>
      </c>
      <c r="D431" t="str">
        <f>tblComponents[Category]</f>
        <v>Metal</v>
      </c>
      <c r="E431" t="str">
        <f>tblComponents[Sourcing_Type]</f>
        <v>Buy</v>
      </c>
      <c r="F431" t="str">
        <f>tblComponents[Criticality]</f>
        <v>High</v>
      </c>
      <c r="G431">
        <f>tblComponents[Monthly_Demand]</f>
        <v>1439</v>
      </c>
      <c r="H431">
        <f>tblComponents[Demand_Growth_Rate]</f>
        <v>1.8410104465192909E-2</v>
      </c>
      <c r="I431">
        <f>tblComponents[Forecast_Demand]</f>
        <v>1465</v>
      </c>
      <c r="J431">
        <f>tblComponents[Annual_Demand]</f>
        <v>26927</v>
      </c>
      <c r="K431">
        <f>tblComponents[Demand_Variability]</f>
        <v>0.16189999999999999</v>
      </c>
      <c r="L431">
        <f t="shared" si="6"/>
        <v>26</v>
      </c>
    </row>
    <row r="432" spans="1:12" x14ac:dyDescent="0.35">
      <c r="A432" s="8" t="str">
        <f>tblComponents[Component_ID]</f>
        <v>C431</v>
      </c>
      <c r="B432" s="8" t="str">
        <f>tblComponents[Component_Name]</f>
        <v>Component 431</v>
      </c>
      <c r="C432" t="str">
        <f>tblComponents[Product_Family]</f>
        <v>Powertrain</v>
      </c>
      <c r="D432" t="str">
        <f>tblComponents[Category]</f>
        <v>Metal</v>
      </c>
      <c r="E432" t="str">
        <f>tblComponents[Sourcing_Type]</f>
        <v>Buy</v>
      </c>
      <c r="F432" t="str">
        <f>tblComponents[Criticality]</f>
        <v>Low</v>
      </c>
      <c r="G432">
        <f>tblComponents[Monthly_Demand]</f>
        <v>1183</v>
      </c>
      <c r="H432">
        <f>tblComponents[Demand_Growth_Rate]</f>
        <v>4.0952410285233373E-2</v>
      </c>
      <c r="I432">
        <f>tblComponents[Forecast_Demand]</f>
        <v>1231</v>
      </c>
      <c r="J432">
        <f>tblComponents[Annual_Demand]</f>
        <v>80772</v>
      </c>
      <c r="K432">
        <f>tblComponents[Demand_Variability]</f>
        <v>0.20880000000000001</v>
      </c>
      <c r="L432">
        <f t="shared" si="6"/>
        <v>48</v>
      </c>
    </row>
    <row r="433" spans="1:12" x14ac:dyDescent="0.35">
      <c r="A433" s="8" t="str">
        <f>tblComponents[Component_ID]</f>
        <v>C432</v>
      </c>
      <c r="B433" s="8" t="str">
        <f>tblComponents[Component_Name]</f>
        <v>Component 432</v>
      </c>
      <c r="C433" t="str">
        <f>tblComponents[Product_Family]</f>
        <v>Chassis</v>
      </c>
      <c r="D433" t="str">
        <f>tblComponents[Category]</f>
        <v>Metal</v>
      </c>
      <c r="E433" t="str">
        <f>tblComponents[Sourcing_Type]</f>
        <v>Buy</v>
      </c>
      <c r="F433" t="str">
        <f>tblComponents[Criticality]</f>
        <v>Medium</v>
      </c>
      <c r="G433">
        <f>tblComponents[Monthly_Demand]</f>
        <v>2998</v>
      </c>
      <c r="H433">
        <f>tblComponents[Demand_Growth_Rate]</f>
        <v>8.4505676340975736E-2</v>
      </c>
      <c r="I433">
        <f>tblComponents[Forecast_Demand]</f>
        <v>3251</v>
      </c>
      <c r="J433">
        <f>tblComponents[Annual_Demand]</f>
        <v>16298</v>
      </c>
      <c r="K433">
        <f>tblComponents[Demand_Variability]</f>
        <v>0.12790000000000001</v>
      </c>
      <c r="L433">
        <f t="shared" si="6"/>
        <v>253</v>
      </c>
    </row>
    <row r="434" spans="1:12" x14ac:dyDescent="0.35">
      <c r="A434" s="8" t="str">
        <f>tblComponents[Component_ID]</f>
        <v>C433</v>
      </c>
      <c r="B434" s="8" t="str">
        <f>tblComponents[Component_Name]</f>
        <v>Component 433</v>
      </c>
      <c r="C434" t="str">
        <f>tblComponents[Product_Family]</f>
        <v>Interior</v>
      </c>
      <c r="D434" t="str">
        <f>tblComponents[Category]</f>
        <v>Electrical</v>
      </c>
      <c r="E434" t="str">
        <f>tblComponents[Sourcing_Type]</f>
        <v>Buy</v>
      </c>
      <c r="F434" t="str">
        <f>tblComponents[Criticality]</f>
        <v>High</v>
      </c>
      <c r="G434">
        <f>tblComponents[Monthly_Demand]</f>
        <v>1219</v>
      </c>
      <c r="H434">
        <f>tblComponents[Demand_Growth_Rate]</f>
        <v>0.11401375549392601</v>
      </c>
      <c r="I434">
        <f>tblComponents[Forecast_Demand]</f>
        <v>1358</v>
      </c>
      <c r="J434">
        <f>tblComponents[Annual_Demand]</f>
        <v>27177</v>
      </c>
      <c r="K434">
        <f>tblComponents[Demand_Variability]</f>
        <v>0.1341</v>
      </c>
      <c r="L434">
        <f t="shared" si="6"/>
        <v>139</v>
      </c>
    </row>
    <row r="435" spans="1:12" x14ac:dyDescent="0.35">
      <c r="A435" s="8" t="str">
        <f>tblComponents[Component_ID]</f>
        <v>C434</v>
      </c>
      <c r="B435" s="8" t="str">
        <f>tblComponents[Component_Name]</f>
        <v>Component 434</v>
      </c>
      <c r="C435" t="str">
        <f>tblComponents[Product_Family]</f>
        <v>Body &amp; Exterior</v>
      </c>
      <c r="D435" t="str">
        <f>tblComponents[Category]</f>
        <v>Electrical</v>
      </c>
      <c r="E435" t="str">
        <f>tblComponents[Sourcing_Type]</f>
        <v>Buy</v>
      </c>
      <c r="F435" t="str">
        <f>tblComponents[Criticality]</f>
        <v>Medium</v>
      </c>
      <c r="G435">
        <f>tblComponents[Monthly_Demand]</f>
        <v>2830</v>
      </c>
      <c r="H435">
        <f>tblComponents[Demand_Growth_Rate]</f>
        <v>6.3497477799924748E-2</v>
      </c>
      <c r="I435">
        <f>tblComponents[Forecast_Demand]</f>
        <v>3010</v>
      </c>
      <c r="J435">
        <f>tblComponents[Annual_Demand]</f>
        <v>98477</v>
      </c>
      <c r="K435">
        <f>tblComponents[Demand_Variability]</f>
        <v>0.23719999999999999</v>
      </c>
      <c r="L435">
        <f t="shared" si="6"/>
        <v>180</v>
      </c>
    </row>
    <row r="436" spans="1:12" x14ac:dyDescent="0.35">
      <c r="A436" s="8" t="str">
        <f>tblComponents[Component_ID]</f>
        <v>C435</v>
      </c>
      <c r="B436" s="8" t="str">
        <f>tblComponents[Component_Name]</f>
        <v>Component 435</v>
      </c>
      <c r="C436" t="str">
        <f>tblComponents[Product_Family]</f>
        <v>Powertrain</v>
      </c>
      <c r="D436" t="str">
        <f>tblComponents[Category]</f>
        <v>Metal</v>
      </c>
      <c r="E436" t="str">
        <f>tblComponents[Sourcing_Type]</f>
        <v>Buy</v>
      </c>
      <c r="F436" t="str">
        <f>tblComponents[Criticality]</f>
        <v>High</v>
      </c>
      <c r="G436">
        <f>tblComponents[Monthly_Demand]</f>
        <v>687</v>
      </c>
      <c r="H436">
        <f>tblComponents[Demand_Growth_Rate]</f>
        <v>7.2406115512561195E-2</v>
      </c>
      <c r="I436">
        <f>tblComponents[Forecast_Demand]</f>
        <v>737</v>
      </c>
      <c r="J436">
        <f>tblComponents[Annual_Demand]</f>
        <v>11380</v>
      </c>
      <c r="K436">
        <f>tblComponents[Demand_Variability]</f>
        <v>8.9599999999999999E-2</v>
      </c>
      <c r="L436">
        <f t="shared" si="6"/>
        <v>50</v>
      </c>
    </row>
    <row r="437" spans="1:12" x14ac:dyDescent="0.35">
      <c r="A437" s="8" t="str">
        <f>tblComponents[Component_ID]</f>
        <v>C436</v>
      </c>
      <c r="B437" s="8" t="str">
        <f>tblComponents[Component_Name]</f>
        <v>Component 436</v>
      </c>
      <c r="C437" t="str">
        <f>tblComponents[Product_Family]</f>
        <v>Chassis</v>
      </c>
      <c r="D437" t="str">
        <f>tblComponents[Category]</f>
        <v>Metal</v>
      </c>
      <c r="E437" t="str">
        <f>tblComponents[Sourcing_Type]</f>
        <v>Buy</v>
      </c>
      <c r="F437" t="str">
        <f>tblComponents[Criticality]</f>
        <v>Medium</v>
      </c>
      <c r="G437">
        <f>tblComponents[Monthly_Demand]</f>
        <v>2445</v>
      </c>
      <c r="H437">
        <f>tblComponents[Demand_Growth_Rate]</f>
        <v>0.16367586252329941</v>
      </c>
      <c r="I437">
        <f>tblComponents[Forecast_Demand]</f>
        <v>2845</v>
      </c>
      <c r="J437">
        <f>tblComponents[Annual_Demand]</f>
        <v>53244</v>
      </c>
      <c r="K437">
        <f>tblComponents[Demand_Variability]</f>
        <v>0.16259999999999999</v>
      </c>
      <c r="L437">
        <f t="shared" si="6"/>
        <v>400</v>
      </c>
    </row>
    <row r="438" spans="1:12" x14ac:dyDescent="0.35">
      <c r="A438" s="8" t="str">
        <f>tblComponents[Component_ID]</f>
        <v>C437</v>
      </c>
      <c r="B438" s="8" t="str">
        <f>tblComponents[Component_Name]</f>
        <v>Component 437</v>
      </c>
      <c r="C438" t="str">
        <f>tblComponents[Product_Family]</f>
        <v>Interior</v>
      </c>
      <c r="D438" t="str">
        <f>tblComponents[Category]</f>
        <v>Metal</v>
      </c>
      <c r="E438" t="str">
        <f>tblComponents[Sourcing_Type]</f>
        <v>Buy</v>
      </c>
      <c r="F438" t="str">
        <f>tblComponents[Criticality]</f>
        <v>Low</v>
      </c>
      <c r="G438">
        <f>tblComponents[Monthly_Demand]</f>
        <v>921</v>
      </c>
      <c r="H438">
        <f>tblComponents[Demand_Growth_Rate]</f>
        <v>0.1924816313362977</v>
      </c>
      <c r="I438">
        <f>tblComponents[Forecast_Demand]</f>
        <v>1098</v>
      </c>
      <c r="J438">
        <f>tblComponents[Annual_Demand]</f>
        <v>55696</v>
      </c>
      <c r="K438">
        <f>tblComponents[Demand_Variability]</f>
        <v>0.23519999999999999</v>
      </c>
      <c r="L438">
        <f t="shared" si="6"/>
        <v>177</v>
      </c>
    </row>
    <row r="439" spans="1:12" x14ac:dyDescent="0.35">
      <c r="A439" s="8" t="str">
        <f>tblComponents[Component_ID]</f>
        <v>C438</v>
      </c>
      <c r="B439" s="8" t="str">
        <f>tblComponents[Component_Name]</f>
        <v>Component 438</v>
      </c>
      <c r="C439" t="str">
        <f>tblComponents[Product_Family]</f>
        <v>Powertrain</v>
      </c>
      <c r="D439" t="str">
        <f>tblComponents[Category]</f>
        <v>Metal</v>
      </c>
      <c r="E439" t="str">
        <f>tblComponents[Sourcing_Type]</f>
        <v>Buy</v>
      </c>
      <c r="F439" t="str">
        <f>tblComponents[Criticality]</f>
        <v>Medium</v>
      </c>
      <c r="G439">
        <f>tblComponents[Monthly_Demand]</f>
        <v>2200</v>
      </c>
      <c r="H439">
        <f>tblComponents[Demand_Growth_Rate]</f>
        <v>0.13236594245791591</v>
      </c>
      <c r="I439">
        <f>tblComponents[Forecast_Demand]</f>
        <v>2491</v>
      </c>
      <c r="J439">
        <f>tblComponents[Annual_Demand]</f>
        <v>17080</v>
      </c>
      <c r="K439">
        <f>tblComponents[Demand_Variability]</f>
        <v>0.18379999999999999</v>
      </c>
      <c r="L439">
        <f t="shared" si="6"/>
        <v>291</v>
      </c>
    </row>
    <row r="440" spans="1:12" x14ac:dyDescent="0.35">
      <c r="A440" s="8" t="str">
        <f>tblComponents[Component_ID]</f>
        <v>C439</v>
      </c>
      <c r="B440" s="8" t="str">
        <f>tblComponents[Component_Name]</f>
        <v>Component 439</v>
      </c>
      <c r="C440" t="str">
        <f>tblComponents[Product_Family]</f>
        <v>Chassis</v>
      </c>
      <c r="D440" t="str">
        <f>tblComponents[Category]</f>
        <v>Electrical</v>
      </c>
      <c r="E440" t="str">
        <f>tblComponents[Sourcing_Type]</f>
        <v>Buy</v>
      </c>
      <c r="F440" t="str">
        <f>tblComponents[Criticality]</f>
        <v>High</v>
      </c>
      <c r="G440">
        <f>tblComponents[Monthly_Demand]</f>
        <v>1095</v>
      </c>
      <c r="H440">
        <f>tblComponents[Demand_Growth_Rate]</f>
        <v>1.2417238185057539E-2</v>
      </c>
      <c r="I440">
        <f>tblComponents[Forecast_Demand]</f>
        <v>1109</v>
      </c>
      <c r="J440">
        <f>tblComponents[Annual_Demand]</f>
        <v>75865</v>
      </c>
      <c r="K440">
        <f>tblComponents[Demand_Variability]</f>
        <v>0.1729</v>
      </c>
      <c r="L440">
        <f t="shared" si="6"/>
        <v>14</v>
      </c>
    </row>
    <row r="441" spans="1:12" x14ac:dyDescent="0.35">
      <c r="A441" s="8" t="str">
        <f>tblComponents[Component_ID]</f>
        <v>C440</v>
      </c>
      <c r="B441" s="8" t="str">
        <f>tblComponents[Component_Name]</f>
        <v>Component 440</v>
      </c>
      <c r="C441" t="str">
        <f>tblComponents[Product_Family]</f>
        <v>Powertrain</v>
      </c>
      <c r="D441" t="str">
        <f>tblComponents[Category]</f>
        <v>Electrical</v>
      </c>
      <c r="E441" t="str">
        <f>tblComponents[Sourcing_Type]</f>
        <v>Buy</v>
      </c>
      <c r="F441" t="str">
        <f>tblComponents[Criticality]</f>
        <v>Medium</v>
      </c>
      <c r="G441">
        <f>tblComponents[Monthly_Demand]</f>
        <v>484</v>
      </c>
      <c r="H441">
        <f>tblComponents[Demand_Growth_Rate]</f>
        <v>3.7804846837195219E-2</v>
      </c>
      <c r="I441">
        <f>tblComponents[Forecast_Demand]</f>
        <v>502</v>
      </c>
      <c r="J441">
        <f>tblComponents[Annual_Demand]</f>
        <v>41123</v>
      </c>
      <c r="K441">
        <f>tblComponents[Demand_Variability]</f>
        <v>0.1225</v>
      </c>
      <c r="L441">
        <f t="shared" si="6"/>
        <v>18</v>
      </c>
    </row>
    <row r="442" spans="1:12" x14ac:dyDescent="0.35">
      <c r="A442" s="8" t="str">
        <f>tblComponents[Component_ID]</f>
        <v>C441</v>
      </c>
      <c r="B442" s="8" t="str">
        <f>tblComponents[Component_Name]</f>
        <v>Component 441</v>
      </c>
      <c r="C442" t="str">
        <f>tblComponents[Product_Family]</f>
        <v>Electrical Systems</v>
      </c>
      <c r="D442" t="str">
        <f>tblComponents[Category]</f>
        <v>Electrical</v>
      </c>
      <c r="E442" t="str">
        <f>tblComponents[Sourcing_Type]</f>
        <v>Buy</v>
      </c>
      <c r="F442" t="str">
        <f>tblComponents[Criticality]</f>
        <v>High</v>
      </c>
      <c r="G442">
        <f>tblComponents[Monthly_Demand]</f>
        <v>973</v>
      </c>
      <c r="H442">
        <f>tblComponents[Demand_Growth_Rate]</f>
        <v>0.1464531613670933</v>
      </c>
      <c r="I442">
        <f>tblComponents[Forecast_Demand]</f>
        <v>1115</v>
      </c>
      <c r="J442">
        <f>tblComponents[Annual_Demand]</f>
        <v>90410</v>
      </c>
      <c r="K442">
        <f>tblComponents[Demand_Variability]</f>
        <v>0.1384</v>
      </c>
      <c r="L442">
        <f t="shared" si="6"/>
        <v>142</v>
      </c>
    </row>
    <row r="443" spans="1:12" x14ac:dyDescent="0.35">
      <c r="A443" s="8" t="str">
        <f>tblComponents[Component_ID]</f>
        <v>C442</v>
      </c>
      <c r="B443" s="8" t="str">
        <f>tblComponents[Component_Name]</f>
        <v>Component 442</v>
      </c>
      <c r="C443" t="str">
        <f>tblComponents[Product_Family]</f>
        <v>Powertrain</v>
      </c>
      <c r="D443" t="str">
        <f>tblComponents[Category]</f>
        <v>Electrical</v>
      </c>
      <c r="E443" t="str">
        <f>tblComponents[Sourcing_Type]</f>
        <v>Buy</v>
      </c>
      <c r="F443" t="str">
        <f>tblComponents[Criticality]</f>
        <v>Medium</v>
      </c>
      <c r="G443">
        <f>tblComponents[Monthly_Demand]</f>
        <v>500</v>
      </c>
      <c r="H443">
        <f>tblComponents[Demand_Growth_Rate]</f>
        <v>0.12602081783033481</v>
      </c>
      <c r="I443">
        <f>tblComponents[Forecast_Demand]</f>
        <v>563</v>
      </c>
      <c r="J443">
        <f>tblComponents[Annual_Demand]</f>
        <v>23346</v>
      </c>
      <c r="K443">
        <f>tblComponents[Demand_Variability]</f>
        <v>0.2248</v>
      </c>
      <c r="L443">
        <f t="shared" si="6"/>
        <v>63</v>
      </c>
    </row>
    <row r="444" spans="1:12" x14ac:dyDescent="0.35">
      <c r="A444" s="8" t="str">
        <f>tblComponents[Component_ID]</f>
        <v>C443</v>
      </c>
      <c r="B444" s="8" t="str">
        <f>tblComponents[Component_Name]</f>
        <v>Component 443</v>
      </c>
      <c r="C444" t="str">
        <f>tblComponents[Product_Family]</f>
        <v>Chassis</v>
      </c>
      <c r="D444" t="str">
        <f>tblComponents[Category]</f>
        <v>Electrical</v>
      </c>
      <c r="E444" t="str">
        <f>tblComponents[Sourcing_Type]</f>
        <v>Buy</v>
      </c>
      <c r="F444" t="str">
        <f>tblComponents[Criticality]</f>
        <v>Medium</v>
      </c>
      <c r="G444">
        <f>tblComponents[Monthly_Demand]</f>
        <v>211</v>
      </c>
      <c r="H444">
        <f>tblComponents[Demand_Growth_Rate]</f>
        <v>3.5102889028564913E-2</v>
      </c>
      <c r="I444">
        <f>tblComponents[Forecast_Demand]</f>
        <v>218</v>
      </c>
      <c r="J444">
        <f>tblComponents[Annual_Demand]</f>
        <v>34878</v>
      </c>
      <c r="K444">
        <f>tblComponents[Demand_Variability]</f>
        <v>0.17510000000000001</v>
      </c>
      <c r="L444">
        <f t="shared" si="6"/>
        <v>7</v>
      </c>
    </row>
    <row r="445" spans="1:12" x14ac:dyDescent="0.35">
      <c r="A445" s="8" t="str">
        <f>tblComponents[Component_ID]</f>
        <v>C444</v>
      </c>
      <c r="B445" s="8" t="str">
        <f>tblComponents[Component_Name]</f>
        <v>Component 444</v>
      </c>
      <c r="C445" t="str">
        <f>tblComponents[Product_Family]</f>
        <v>Electrical Systems</v>
      </c>
      <c r="D445" t="str">
        <f>tblComponents[Category]</f>
        <v>Electrical</v>
      </c>
      <c r="E445" t="str">
        <f>tblComponents[Sourcing_Type]</f>
        <v>Buy</v>
      </c>
      <c r="F445" t="str">
        <f>tblComponents[Criticality]</f>
        <v>Medium</v>
      </c>
      <c r="G445">
        <f>tblComponents[Monthly_Demand]</f>
        <v>2715</v>
      </c>
      <c r="H445">
        <f>tblComponents[Demand_Growth_Rate]</f>
        <v>1.9617682231888079E-2</v>
      </c>
      <c r="I445">
        <f>tblComponents[Forecast_Demand]</f>
        <v>2768</v>
      </c>
      <c r="J445">
        <f>tblComponents[Annual_Demand]</f>
        <v>48672</v>
      </c>
      <c r="K445">
        <f>tblComponents[Demand_Variability]</f>
        <v>0.16750000000000001</v>
      </c>
      <c r="L445">
        <f t="shared" si="6"/>
        <v>53</v>
      </c>
    </row>
    <row r="446" spans="1:12" x14ac:dyDescent="0.35">
      <c r="A446" s="8" t="str">
        <f>tblComponents[Component_ID]</f>
        <v>C445</v>
      </c>
      <c r="B446" s="8" t="str">
        <f>tblComponents[Component_Name]</f>
        <v>Component 445</v>
      </c>
      <c r="C446" t="str">
        <f>tblComponents[Product_Family]</f>
        <v>Interior</v>
      </c>
      <c r="D446" t="str">
        <f>tblComponents[Category]</f>
        <v>Electrical</v>
      </c>
      <c r="E446" t="str">
        <f>tblComponents[Sourcing_Type]</f>
        <v>Buy</v>
      </c>
      <c r="F446" t="str">
        <f>tblComponents[Criticality]</f>
        <v>Medium</v>
      </c>
      <c r="G446">
        <f>tblComponents[Monthly_Demand]</f>
        <v>1299</v>
      </c>
      <c r="H446">
        <f>tblComponents[Demand_Growth_Rate]</f>
        <v>-3.7596406665290641E-2</v>
      </c>
      <c r="I446">
        <f>tblComponents[Forecast_Demand]</f>
        <v>1250</v>
      </c>
      <c r="J446">
        <f>tblComponents[Annual_Demand]</f>
        <v>32653</v>
      </c>
      <c r="K446">
        <f>tblComponents[Demand_Variability]</f>
        <v>9.69E-2</v>
      </c>
      <c r="L446">
        <f t="shared" si="6"/>
        <v>-49</v>
      </c>
    </row>
    <row r="447" spans="1:12" x14ac:dyDescent="0.35">
      <c r="A447" s="8" t="str">
        <f>tblComponents[Component_ID]</f>
        <v>C446</v>
      </c>
      <c r="B447" s="8" t="str">
        <f>tblComponents[Component_Name]</f>
        <v>Component 446</v>
      </c>
      <c r="C447" t="str">
        <f>tblComponents[Product_Family]</f>
        <v>Powertrain</v>
      </c>
      <c r="D447" t="str">
        <f>tblComponents[Category]</f>
        <v>Electrical</v>
      </c>
      <c r="E447" t="str">
        <f>tblComponents[Sourcing_Type]</f>
        <v>Buy</v>
      </c>
      <c r="F447" t="str">
        <f>tblComponents[Criticality]</f>
        <v>High</v>
      </c>
      <c r="G447">
        <f>tblComponents[Monthly_Demand]</f>
        <v>731</v>
      </c>
      <c r="H447">
        <f>tblComponents[Demand_Growth_Rate]</f>
        <v>-3.9682179515124212E-5</v>
      </c>
      <c r="I447">
        <f>tblComponents[Forecast_Demand]</f>
        <v>731</v>
      </c>
      <c r="J447">
        <f>tblComponents[Annual_Demand]</f>
        <v>31881</v>
      </c>
      <c r="K447">
        <f>tblComponents[Demand_Variability]</f>
        <v>8.2699999999999996E-2</v>
      </c>
      <c r="L447">
        <f t="shared" si="6"/>
        <v>0</v>
      </c>
    </row>
    <row r="448" spans="1:12" x14ac:dyDescent="0.35">
      <c r="A448" s="8" t="str">
        <f>tblComponents[Component_ID]</f>
        <v>C447</v>
      </c>
      <c r="B448" s="8" t="str">
        <f>tblComponents[Component_Name]</f>
        <v>Component 447</v>
      </c>
      <c r="C448" t="str">
        <f>tblComponents[Product_Family]</f>
        <v>Electrical Systems</v>
      </c>
      <c r="D448" t="str">
        <f>tblComponents[Category]</f>
        <v>Electrical</v>
      </c>
      <c r="E448" t="str">
        <f>tblComponents[Sourcing_Type]</f>
        <v>Buy</v>
      </c>
      <c r="F448" t="str">
        <f>tblComponents[Criticality]</f>
        <v>Medium</v>
      </c>
      <c r="G448">
        <f>tblComponents[Monthly_Demand]</f>
        <v>155</v>
      </c>
      <c r="H448">
        <f>tblComponents[Demand_Growth_Rate]</f>
        <v>4.6830629493828498E-2</v>
      </c>
      <c r="I448">
        <f>tblComponents[Forecast_Demand]</f>
        <v>162</v>
      </c>
      <c r="J448">
        <f>tblComponents[Annual_Demand]</f>
        <v>69567</v>
      </c>
      <c r="K448">
        <f>tblComponents[Demand_Variability]</f>
        <v>0.24379999999999999</v>
      </c>
      <c r="L448">
        <f t="shared" si="6"/>
        <v>7</v>
      </c>
    </row>
    <row r="449" spans="1:12" x14ac:dyDescent="0.35">
      <c r="A449" s="8" t="str">
        <f>tblComponents[Component_ID]</f>
        <v>C448</v>
      </c>
      <c r="B449" s="8" t="str">
        <f>tblComponents[Component_Name]</f>
        <v>Component 448</v>
      </c>
      <c r="C449" t="str">
        <f>tblComponents[Product_Family]</f>
        <v>Powertrain</v>
      </c>
      <c r="D449" t="str">
        <f>tblComponents[Category]</f>
        <v>Electrical</v>
      </c>
      <c r="E449" t="str">
        <f>tblComponents[Sourcing_Type]</f>
        <v>Buy</v>
      </c>
      <c r="F449" t="str">
        <f>tblComponents[Criticality]</f>
        <v>Medium</v>
      </c>
      <c r="G449">
        <f>tblComponents[Monthly_Demand]</f>
        <v>638</v>
      </c>
      <c r="H449">
        <f>tblComponents[Demand_Growth_Rate]</f>
        <v>2.3129106369062999E-2</v>
      </c>
      <c r="I449">
        <f>tblComponents[Forecast_Demand]</f>
        <v>653</v>
      </c>
      <c r="J449">
        <f>tblComponents[Annual_Demand]</f>
        <v>16184</v>
      </c>
      <c r="K449">
        <f>tblComponents[Demand_Variability]</f>
        <v>0.14410000000000001</v>
      </c>
      <c r="L449">
        <f t="shared" si="6"/>
        <v>15</v>
      </c>
    </row>
    <row r="450" spans="1:12" x14ac:dyDescent="0.35">
      <c r="A450" s="8" t="str">
        <f>tblComponents[Component_ID]</f>
        <v>C449</v>
      </c>
      <c r="B450" s="8" t="str">
        <f>tblComponents[Component_Name]</f>
        <v>Component 449</v>
      </c>
      <c r="C450" t="str">
        <f>tblComponents[Product_Family]</f>
        <v>Chassis</v>
      </c>
      <c r="D450" t="str">
        <f>tblComponents[Category]</f>
        <v>Metal</v>
      </c>
      <c r="E450" t="str">
        <f>tblComponents[Sourcing_Type]</f>
        <v>Buy</v>
      </c>
      <c r="F450" t="str">
        <f>tblComponents[Criticality]</f>
        <v>Medium</v>
      </c>
      <c r="G450">
        <f>tblComponents[Monthly_Demand]</f>
        <v>683</v>
      </c>
      <c r="H450">
        <f>tblComponents[Demand_Growth_Rate]</f>
        <v>2.9387425064397111E-2</v>
      </c>
      <c r="I450">
        <f>tblComponents[Forecast_Demand]</f>
        <v>703</v>
      </c>
      <c r="J450">
        <f>tblComponents[Annual_Demand]</f>
        <v>49493</v>
      </c>
      <c r="K450">
        <f>tblComponents[Demand_Variability]</f>
        <v>0.1825</v>
      </c>
      <c r="L450">
        <f t="shared" si="6"/>
        <v>20</v>
      </c>
    </row>
    <row r="451" spans="1:12" x14ac:dyDescent="0.35">
      <c r="A451" s="8" t="str">
        <f>tblComponents[Component_ID]</f>
        <v>C450</v>
      </c>
      <c r="B451" s="8" t="str">
        <f>tblComponents[Component_Name]</f>
        <v>Component 450</v>
      </c>
      <c r="C451" t="str">
        <f>tblComponents[Product_Family]</f>
        <v>Interior</v>
      </c>
      <c r="D451" t="str">
        <f>tblComponents[Category]</f>
        <v>Electrical</v>
      </c>
      <c r="E451" t="str">
        <f>tblComponents[Sourcing_Type]</f>
        <v>Buy</v>
      </c>
      <c r="F451" t="str">
        <f>tblComponents[Criticality]</f>
        <v>High</v>
      </c>
      <c r="G451">
        <f>tblComponents[Monthly_Demand]</f>
        <v>557</v>
      </c>
      <c r="H451">
        <f>tblComponents[Demand_Growth_Rate]</f>
        <v>6.3904789109312896E-2</v>
      </c>
      <c r="I451">
        <f>tblComponents[Forecast_Demand]</f>
        <v>593</v>
      </c>
      <c r="J451">
        <f>tblComponents[Annual_Demand]</f>
        <v>59148</v>
      </c>
      <c r="K451">
        <f>tblComponents[Demand_Variability]</f>
        <v>9.3600000000000003E-2</v>
      </c>
      <c r="L451">
        <f t="shared" ref="L451:L501" si="7">I451-G451</f>
        <v>36</v>
      </c>
    </row>
    <row r="452" spans="1:12" x14ac:dyDescent="0.35">
      <c r="A452" s="8" t="str">
        <f>tblComponents[Component_ID]</f>
        <v>C451</v>
      </c>
      <c r="B452" s="8" t="str">
        <f>tblComponents[Component_Name]</f>
        <v>Component 451</v>
      </c>
      <c r="C452" t="str">
        <f>tblComponents[Product_Family]</f>
        <v>Electrical Systems</v>
      </c>
      <c r="D452" t="str">
        <f>tblComponents[Category]</f>
        <v>Metal</v>
      </c>
      <c r="E452" t="str">
        <f>tblComponents[Sourcing_Type]</f>
        <v>Buy</v>
      </c>
      <c r="F452" t="str">
        <f>tblComponents[Criticality]</f>
        <v>Medium</v>
      </c>
      <c r="G452">
        <f>tblComponents[Monthly_Demand]</f>
        <v>1249</v>
      </c>
      <c r="H452">
        <f>tblComponents[Demand_Growth_Rate]</f>
        <v>-3.0265149263361119E-2</v>
      </c>
      <c r="I452">
        <f>tblComponents[Forecast_Demand]</f>
        <v>1211</v>
      </c>
      <c r="J452">
        <f>tblComponents[Annual_Demand]</f>
        <v>39846</v>
      </c>
      <c r="K452">
        <f>tblComponents[Demand_Variability]</f>
        <v>0.1961</v>
      </c>
      <c r="L452">
        <f t="shared" si="7"/>
        <v>-38</v>
      </c>
    </row>
    <row r="453" spans="1:12" x14ac:dyDescent="0.35">
      <c r="A453" s="8" t="str">
        <f>tblComponents[Component_ID]</f>
        <v>C452</v>
      </c>
      <c r="B453" s="8" t="str">
        <f>tblComponents[Component_Name]</f>
        <v>Component 452</v>
      </c>
      <c r="C453" t="str">
        <f>tblComponents[Product_Family]</f>
        <v>Chassis</v>
      </c>
      <c r="D453" t="str">
        <f>tblComponents[Category]</f>
        <v>Metal</v>
      </c>
      <c r="E453" t="str">
        <f>tblComponents[Sourcing_Type]</f>
        <v>Buy</v>
      </c>
      <c r="F453" t="str">
        <f>tblComponents[Criticality]</f>
        <v>Low</v>
      </c>
      <c r="G453">
        <f>tblComponents[Monthly_Demand]</f>
        <v>2743</v>
      </c>
      <c r="H453">
        <f>tblComponents[Demand_Growth_Rate]</f>
        <v>6.3203428552729188E-2</v>
      </c>
      <c r="I453">
        <f>tblComponents[Forecast_Demand]</f>
        <v>2916</v>
      </c>
      <c r="J453">
        <f>tblComponents[Annual_Demand]</f>
        <v>27202</v>
      </c>
      <c r="K453">
        <f>tblComponents[Demand_Variability]</f>
        <v>0.23849999999999999</v>
      </c>
      <c r="L453">
        <f t="shared" si="7"/>
        <v>173</v>
      </c>
    </row>
    <row r="454" spans="1:12" x14ac:dyDescent="0.35">
      <c r="A454" s="8" t="str">
        <f>tblComponents[Component_ID]</f>
        <v>C453</v>
      </c>
      <c r="B454" s="8" t="str">
        <f>tblComponents[Component_Name]</f>
        <v>Component 453</v>
      </c>
      <c r="C454" t="str">
        <f>tblComponents[Product_Family]</f>
        <v>Powertrain</v>
      </c>
      <c r="D454" t="str">
        <f>tblComponents[Category]</f>
        <v>Metal</v>
      </c>
      <c r="E454" t="str">
        <f>tblComponents[Sourcing_Type]</f>
        <v>Buy</v>
      </c>
      <c r="F454" t="str">
        <f>tblComponents[Criticality]</f>
        <v>High</v>
      </c>
      <c r="G454">
        <f>tblComponents[Monthly_Demand]</f>
        <v>1248</v>
      </c>
      <c r="H454">
        <f>tblComponents[Demand_Growth_Rate]</f>
        <v>6.1678631814630083E-2</v>
      </c>
      <c r="I454">
        <f>tblComponents[Forecast_Demand]</f>
        <v>1325</v>
      </c>
      <c r="J454">
        <f>tblComponents[Annual_Demand]</f>
        <v>20606</v>
      </c>
      <c r="K454">
        <f>tblComponents[Demand_Variability]</f>
        <v>0.1779</v>
      </c>
      <c r="L454">
        <f t="shared" si="7"/>
        <v>77</v>
      </c>
    </row>
    <row r="455" spans="1:12" x14ac:dyDescent="0.35">
      <c r="A455" s="8" t="str">
        <f>tblComponents[Component_ID]</f>
        <v>C454</v>
      </c>
      <c r="B455" s="8" t="str">
        <f>tblComponents[Component_Name]</f>
        <v>Component 454</v>
      </c>
      <c r="C455" t="str">
        <f>tblComponents[Product_Family]</f>
        <v>Chassis</v>
      </c>
      <c r="D455" t="str">
        <f>tblComponents[Category]</f>
        <v>Metal</v>
      </c>
      <c r="E455" t="str">
        <f>tblComponents[Sourcing_Type]</f>
        <v>Buy</v>
      </c>
      <c r="F455" t="str">
        <f>tblComponents[Criticality]</f>
        <v>Medium</v>
      </c>
      <c r="G455">
        <f>tblComponents[Monthly_Demand]</f>
        <v>109</v>
      </c>
      <c r="H455">
        <f>tblComponents[Demand_Growth_Rate]</f>
        <v>-5.7018747472022263E-3</v>
      </c>
      <c r="I455">
        <f>tblComponents[Forecast_Demand]</f>
        <v>108</v>
      </c>
      <c r="J455">
        <f>tblComponents[Annual_Demand]</f>
        <v>18956</v>
      </c>
      <c r="K455">
        <f>tblComponents[Demand_Variability]</f>
        <v>0.1014</v>
      </c>
      <c r="L455">
        <f t="shared" si="7"/>
        <v>-1</v>
      </c>
    </row>
    <row r="456" spans="1:12" x14ac:dyDescent="0.35">
      <c r="A456" s="8" t="str">
        <f>tblComponents[Component_ID]</f>
        <v>C455</v>
      </c>
      <c r="B456" s="8" t="str">
        <f>tblComponents[Component_Name]</f>
        <v>Component 455</v>
      </c>
      <c r="C456" t="str">
        <f>tblComponents[Product_Family]</f>
        <v>Powertrain</v>
      </c>
      <c r="D456" t="str">
        <f>tblComponents[Category]</f>
        <v>Electrical</v>
      </c>
      <c r="E456" t="str">
        <f>tblComponents[Sourcing_Type]</f>
        <v>Buy</v>
      </c>
      <c r="F456" t="str">
        <f>tblComponents[Criticality]</f>
        <v>Medium</v>
      </c>
      <c r="G456">
        <f>tblComponents[Monthly_Demand]</f>
        <v>143</v>
      </c>
      <c r="H456">
        <f>tblComponents[Demand_Growth_Rate]</f>
        <v>5.2799372220636451E-2</v>
      </c>
      <c r="I456">
        <f>tblComponents[Forecast_Demand]</f>
        <v>151</v>
      </c>
      <c r="J456">
        <f>tblComponents[Annual_Demand]</f>
        <v>31555</v>
      </c>
      <c r="K456">
        <f>tblComponents[Demand_Variability]</f>
        <v>0.1789</v>
      </c>
      <c r="L456">
        <f t="shared" si="7"/>
        <v>8</v>
      </c>
    </row>
    <row r="457" spans="1:12" x14ac:dyDescent="0.35">
      <c r="A457" s="8" t="str">
        <f>tblComponents[Component_ID]</f>
        <v>C456</v>
      </c>
      <c r="B457" s="8" t="str">
        <f>tblComponents[Component_Name]</f>
        <v>Component 456</v>
      </c>
      <c r="C457" t="str">
        <f>tblComponents[Product_Family]</f>
        <v>Interior</v>
      </c>
      <c r="D457" t="str">
        <f>tblComponents[Category]</f>
        <v>Electrical</v>
      </c>
      <c r="E457" t="str">
        <f>tblComponents[Sourcing_Type]</f>
        <v>Buy</v>
      </c>
      <c r="F457" t="str">
        <f>tblComponents[Criticality]</f>
        <v>High</v>
      </c>
      <c r="G457">
        <f>tblComponents[Monthly_Demand]</f>
        <v>628</v>
      </c>
      <c r="H457">
        <f>tblComponents[Demand_Growth_Rate]</f>
        <v>6.0014511627349679E-2</v>
      </c>
      <c r="I457">
        <f>tblComponents[Forecast_Demand]</f>
        <v>666</v>
      </c>
      <c r="J457">
        <f>tblComponents[Annual_Demand]</f>
        <v>22796</v>
      </c>
      <c r="K457">
        <f>tblComponents[Demand_Variability]</f>
        <v>0.21029999999999999</v>
      </c>
      <c r="L457">
        <f t="shared" si="7"/>
        <v>38</v>
      </c>
    </row>
    <row r="458" spans="1:12" x14ac:dyDescent="0.35">
      <c r="A458" s="8" t="str">
        <f>tblComponents[Component_ID]</f>
        <v>C457</v>
      </c>
      <c r="B458" s="8" t="str">
        <f>tblComponents[Component_Name]</f>
        <v>Component 457</v>
      </c>
      <c r="C458" t="str">
        <f>tblComponents[Product_Family]</f>
        <v>Interior</v>
      </c>
      <c r="D458" t="str">
        <f>tblComponents[Category]</f>
        <v>Electrical</v>
      </c>
      <c r="E458" t="str">
        <f>tblComponents[Sourcing_Type]</f>
        <v>Buy</v>
      </c>
      <c r="F458" t="str">
        <f>tblComponents[Criticality]</f>
        <v>Low</v>
      </c>
      <c r="G458">
        <f>tblComponents[Monthly_Demand]</f>
        <v>2504</v>
      </c>
      <c r="H458">
        <f>tblComponents[Demand_Growth_Rate]</f>
        <v>-2.076911611865213E-2</v>
      </c>
      <c r="I458">
        <f>tblComponents[Forecast_Demand]</f>
        <v>2452</v>
      </c>
      <c r="J458">
        <f>tblComponents[Annual_Demand]</f>
        <v>14775</v>
      </c>
      <c r="K458">
        <f>tblComponents[Demand_Variability]</f>
        <v>0.14910000000000001</v>
      </c>
      <c r="L458">
        <f t="shared" si="7"/>
        <v>-52</v>
      </c>
    </row>
    <row r="459" spans="1:12" x14ac:dyDescent="0.35">
      <c r="A459" s="8" t="str">
        <f>tblComponents[Component_ID]</f>
        <v>C458</v>
      </c>
      <c r="B459" s="8" t="str">
        <f>tblComponents[Component_Name]</f>
        <v>Component 458</v>
      </c>
      <c r="C459" t="str">
        <f>tblComponents[Product_Family]</f>
        <v>Interior</v>
      </c>
      <c r="D459" t="str">
        <f>tblComponents[Category]</f>
        <v>Metal</v>
      </c>
      <c r="E459" t="str">
        <f>tblComponents[Sourcing_Type]</f>
        <v>Buy</v>
      </c>
      <c r="F459" t="str">
        <f>tblComponents[Criticality]</f>
        <v>Medium</v>
      </c>
      <c r="G459">
        <f>tblComponents[Monthly_Demand]</f>
        <v>1389</v>
      </c>
      <c r="H459">
        <f>tblComponents[Demand_Growth_Rate]</f>
        <v>8.6673920518032535E-2</v>
      </c>
      <c r="I459">
        <f>tblComponents[Forecast_Demand]</f>
        <v>1509</v>
      </c>
      <c r="J459">
        <f>tblComponents[Annual_Demand]</f>
        <v>41347</v>
      </c>
      <c r="K459">
        <f>tblComponents[Demand_Variability]</f>
        <v>0.2296</v>
      </c>
      <c r="L459">
        <f t="shared" si="7"/>
        <v>120</v>
      </c>
    </row>
    <row r="460" spans="1:12" x14ac:dyDescent="0.35">
      <c r="A460" s="8" t="str">
        <f>tblComponents[Component_ID]</f>
        <v>C459</v>
      </c>
      <c r="B460" s="8" t="str">
        <f>tblComponents[Component_Name]</f>
        <v>Component 459</v>
      </c>
      <c r="C460" t="str">
        <f>tblComponents[Product_Family]</f>
        <v>Chassis</v>
      </c>
      <c r="D460" t="str">
        <f>tblComponents[Category]</f>
        <v>Electrical</v>
      </c>
      <c r="E460" t="str">
        <f>tblComponents[Sourcing_Type]</f>
        <v>Buy</v>
      </c>
      <c r="F460" t="str">
        <f>tblComponents[Criticality]</f>
        <v>Low</v>
      </c>
      <c r="G460">
        <f>tblComponents[Monthly_Demand]</f>
        <v>313</v>
      </c>
      <c r="H460">
        <f>tblComponents[Demand_Growth_Rate]</f>
        <v>8.0785755174291304E-2</v>
      </c>
      <c r="I460">
        <f>tblComponents[Forecast_Demand]</f>
        <v>338</v>
      </c>
      <c r="J460">
        <f>tblComponents[Annual_Demand]</f>
        <v>48189</v>
      </c>
      <c r="K460">
        <f>tblComponents[Demand_Variability]</f>
        <v>0.1903</v>
      </c>
      <c r="L460">
        <f t="shared" si="7"/>
        <v>25</v>
      </c>
    </row>
    <row r="461" spans="1:12" x14ac:dyDescent="0.35">
      <c r="A461" s="8" t="str">
        <f>tblComponents[Component_ID]</f>
        <v>C460</v>
      </c>
      <c r="B461" s="8" t="str">
        <f>tblComponents[Component_Name]</f>
        <v>Component 460</v>
      </c>
      <c r="C461" t="str">
        <f>tblComponents[Product_Family]</f>
        <v>Chassis</v>
      </c>
      <c r="D461" t="str">
        <f>tblComponents[Category]</f>
        <v>Metal</v>
      </c>
      <c r="E461" t="str">
        <f>tblComponents[Sourcing_Type]</f>
        <v>Buy</v>
      </c>
      <c r="F461" t="str">
        <f>tblComponents[Criticality]</f>
        <v>Critical</v>
      </c>
      <c r="G461">
        <f>tblComponents[Monthly_Demand]</f>
        <v>691</v>
      </c>
      <c r="H461">
        <f>tblComponents[Demand_Growth_Rate]</f>
        <v>-2.388637047496216E-2</v>
      </c>
      <c r="I461">
        <f>tblComponents[Forecast_Demand]</f>
        <v>674</v>
      </c>
      <c r="J461">
        <f>tblComponents[Annual_Demand]</f>
        <v>5371</v>
      </c>
      <c r="K461">
        <f>tblComponents[Demand_Variability]</f>
        <v>0.2329</v>
      </c>
      <c r="L461">
        <f t="shared" si="7"/>
        <v>-17</v>
      </c>
    </row>
    <row r="462" spans="1:12" x14ac:dyDescent="0.35">
      <c r="A462" s="8" t="str">
        <f>tblComponents[Component_ID]</f>
        <v>C461</v>
      </c>
      <c r="B462" s="8" t="str">
        <f>tblComponents[Component_Name]</f>
        <v>Component 461</v>
      </c>
      <c r="C462" t="str">
        <f>tblComponents[Product_Family]</f>
        <v>Electrical Systems</v>
      </c>
      <c r="D462" t="str">
        <f>tblComponents[Category]</f>
        <v>Metal</v>
      </c>
      <c r="E462" t="str">
        <f>tblComponents[Sourcing_Type]</f>
        <v>Buy</v>
      </c>
      <c r="F462" t="str">
        <f>tblComponents[Criticality]</f>
        <v>High</v>
      </c>
      <c r="G462">
        <f>tblComponents[Monthly_Demand]</f>
        <v>1751</v>
      </c>
      <c r="H462">
        <f>tblComponents[Demand_Growth_Rate]</f>
        <v>0.14587502021131421</v>
      </c>
      <c r="I462">
        <f>tblComponents[Forecast_Demand]</f>
        <v>2006</v>
      </c>
      <c r="J462">
        <f>tblComponents[Annual_Demand]</f>
        <v>27190</v>
      </c>
      <c r="K462">
        <f>tblComponents[Demand_Variability]</f>
        <v>0.186</v>
      </c>
      <c r="L462">
        <f t="shared" si="7"/>
        <v>255</v>
      </c>
    </row>
    <row r="463" spans="1:12" x14ac:dyDescent="0.35">
      <c r="A463" s="8" t="str">
        <f>tblComponents[Component_ID]</f>
        <v>C462</v>
      </c>
      <c r="B463" s="8" t="str">
        <f>tblComponents[Component_Name]</f>
        <v>Component 462</v>
      </c>
      <c r="C463" t="str">
        <f>tblComponents[Product_Family]</f>
        <v>Electrical Systems</v>
      </c>
      <c r="D463" t="str">
        <f>tblComponents[Category]</f>
        <v>Electrical</v>
      </c>
      <c r="E463" t="str">
        <f>tblComponents[Sourcing_Type]</f>
        <v>Buy</v>
      </c>
      <c r="F463" t="str">
        <f>tblComponents[Criticality]</f>
        <v>Low</v>
      </c>
      <c r="G463">
        <f>tblComponents[Monthly_Demand]</f>
        <v>480</v>
      </c>
      <c r="H463">
        <f>tblComponents[Demand_Growth_Rate]</f>
        <v>0.15468505737101271</v>
      </c>
      <c r="I463">
        <f>tblComponents[Forecast_Demand]</f>
        <v>554</v>
      </c>
      <c r="J463">
        <f>tblComponents[Annual_Demand]</f>
        <v>61422</v>
      </c>
      <c r="K463">
        <f>tblComponents[Demand_Variability]</f>
        <v>0.1023</v>
      </c>
      <c r="L463">
        <f t="shared" si="7"/>
        <v>74</v>
      </c>
    </row>
    <row r="464" spans="1:12" x14ac:dyDescent="0.35">
      <c r="A464" s="8" t="str">
        <f>tblComponents[Component_ID]</f>
        <v>C463</v>
      </c>
      <c r="B464" s="8" t="str">
        <f>tblComponents[Component_Name]</f>
        <v>Component 463</v>
      </c>
      <c r="C464" t="str">
        <f>tblComponents[Product_Family]</f>
        <v>Chassis</v>
      </c>
      <c r="D464" t="str">
        <f>tblComponents[Category]</f>
        <v>Electrical</v>
      </c>
      <c r="E464" t="str">
        <f>tblComponents[Sourcing_Type]</f>
        <v>Buy</v>
      </c>
      <c r="F464" t="str">
        <f>tblComponents[Criticality]</f>
        <v>High</v>
      </c>
      <c r="G464">
        <f>tblComponents[Monthly_Demand]</f>
        <v>2587</v>
      </c>
      <c r="H464">
        <f>tblComponents[Demand_Growth_Rate]</f>
        <v>-4.3187497012296218E-2</v>
      </c>
      <c r="I464">
        <f>tblComponents[Forecast_Demand]</f>
        <v>2475</v>
      </c>
      <c r="J464">
        <f>tblComponents[Annual_Demand]</f>
        <v>30966</v>
      </c>
      <c r="K464">
        <f>tblComponents[Demand_Variability]</f>
        <v>0.1326</v>
      </c>
      <c r="L464">
        <f t="shared" si="7"/>
        <v>-112</v>
      </c>
    </row>
    <row r="465" spans="1:12" x14ac:dyDescent="0.35">
      <c r="A465" s="8" t="str">
        <f>tblComponents[Component_ID]</f>
        <v>C464</v>
      </c>
      <c r="B465" s="8" t="str">
        <f>tblComponents[Component_Name]</f>
        <v>Component 464</v>
      </c>
      <c r="C465" t="str">
        <f>tblComponents[Product_Family]</f>
        <v>Powertrain</v>
      </c>
      <c r="D465" t="str">
        <f>tblComponents[Category]</f>
        <v>Electrical</v>
      </c>
      <c r="E465" t="str">
        <f>tblComponents[Sourcing_Type]</f>
        <v>Buy</v>
      </c>
      <c r="F465" t="str">
        <f>tblComponents[Criticality]</f>
        <v>High</v>
      </c>
      <c r="G465">
        <f>tblComponents[Monthly_Demand]</f>
        <v>925</v>
      </c>
      <c r="H465">
        <f>tblComponents[Demand_Growth_Rate]</f>
        <v>0.15588805665295469</v>
      </c>
      <c r="I465">
        <f>tblComponents[Forecast_Demand]</f>
        <v>1069</v>
      </c>
      <c r="J465">
        <f>tblComponents[Annual_Demand]</f>
        <v>46097</v>
      </c>
      <c r="K465">
        <f>tblComponents[Demand_Variability]</f>
        <v>0.1143</v>
      </c>
      <c r="L465">
        <f t="shared" si="7"/>
        <v>144</v>
      </c>
    </row>
    <row r="466" spans="1:12" x14ac:dyDescent="0.35">
      <c r="A466" s="8" t="str">
        <f>tblComponents[Component_ID]</f>
        <v>C465</v>
      </c>
      <c r="B466" s="8" t="str">
        <f>tblComponents[Component_Name]</f>
        <v>Component 465</v>
      </c>
      <c r="C466" t="str">
        <f>tblComponents[Product_Family]</f>
        <v>Electrical Systems</v>
      </c>
      <c r="D466" t="str">
        <f>tblComponents[Category]</f>
        <v>Metal</v>
      </c>
      <c r="E466" t="str">
        <f>tblComponents[Sourcing_Type]</f>
        <v>Buy</v>
      </c>
      <c r="F466" t="str">
        <f>tblComponents[Criticality]</f>
        <v>Low</v>
      </c>
      <c r="G466">
        <f>tblComponents[Monthly_Demand]</f>
        <v>1101</v>
      </c>
      <c r="H466">
        <f>tblComponents[Demand_Growth_Rate]</f>
        <v>-1.099104716500578E-2</v>
      </c>
      <c r="I466">
        <f>tblComponents[Forecast_Demand]</f>
        <v>1089</v>
      </c>
      <c r="J466">
        <f>tblComponents[Annual_Demand]</f>
        <v>30882</v>
      </c>
      <c r="K466">
        <f>tblComponents[Demand_Variability]</f>
        <v>0.23449999999999999</v>
      </c>
      <c r="L466">
        <f t="shared" si="7"/>
        <v>-12</v>
      </c>
    </row>
    <row r="467" spans="1:12" x14ac:dyDescent="0.35">
      <c r="A467" s="8" t="str">
        <f>tblComponents[Component_ID]</f>
        <v>C466</v>
      </c>
      <c r="B467" s="8" t="str">
        <f>tblComponents[Component_Name]</f>
        <v>Component 466</v>
      </c>
      <c r="C467" t="str">
        <f>tblComponents[Product_Family]</f>
        <v>Chassis</v>
      </c>
      <c r="D467" t="str">
        <f>tblComponents[Category]</f>
        <v>Electrical</v>
      </c>
      <c r="E467" t="str">
        <f>tblComponents[Sourcing_Type]</f>
        <v>Buy</v>
      </c>
      <c r="F467" t="str">
        <f>tblComponents[Criticality]</f>
        <v>High</v>
      </c>
      <c r="G467">
        <f>tblComponents[Monthly_Demand]</f>
        <v>1654</v>
      </c>
      <c r="H467">
        <f>tblComponents[Demand_Growth_Rate]</f>
        <v>0.15590590268724339</v>
      </c>
      <c r="I467">
        <f>tblComponents[Forecast_Demand]</f>
        <v>1912</v>
      </c>
      <c r="J467">
        <f>tblComponents[Annual_Demand]</f>
        <v>19675</v>
      </c>
      <c r="K467">
        <f>tblComponents[Demand_Variability]</f>
        <v>0.20930000000000001</v>
      </c>
      <c r="L467">
        <f t="shared" si="7"/>
        <v>258</v>
      </c>
    </row>
    <row r="468" spans="1:12" x14ac:dyDescent="0.35">
      <c r="A468" s="8" t="str">
        <f>tblComponents[Component_ID]</f>
        <v>C467</v>
      </c>
      <c r="B468" s="8" t="str">
        <f>tblComponents[Component_Name]</f>
        <v>Component 467</v>
      </c>
      <c r="C468" t="str">
        <f>tblComponents[Product_Family]</f>
        <v>Electrical Systems</v>
      </c>
      <c r="D468" t="str">
        <f>tblComponents[Category]</f>
        <v>Metal</v>
      </c>
      <c r="E468" t="str">
        <f>tblComponents[Sourcing_Type]</f>
        <v>Buy</v>
      </c>
      <c r="F468" t="str">
        <f>tblComponents[Criticality]</f>
        <v>High</v>
      </c>
      <c r="G468">
        <f>tblComponents[Monthly_Demand]</f>
        <v>404</v>
      </c>
      <c r="H468">
        <f>tblComponents[Demand_Growth_Rate]</f>
        <v>5.5190300441481453E-2</v>
      </c>
      <c r="I468">
        <f>tblComponents[Forecast_Demand]</f>
        <v>426</v>
      </c>
      <c r="J468">
        <f>tblComponents[Annual_Demand]</f>
        <v>6391</v>
      </c>
      <c r="K468">
        <f>tblComponents[Demand_Variability]</f>
        <v>0.19500000000000001</v>
      </c>
      <c r="L468">
        <f t="shared" si="7"/>
        <v>22</v>
      </c>
    </row>
    <row r="469" spans="1:12" x14ac:dyDescent="0.35">
      <c r="A469" s="8" t="str">
        <f>tblComponents[Component_ID]</f>
        <v>C468</v>
      </c>
      <c r="B469" s="8" t="str">
        <f>tblComponents[Component_Name]</f>
        <v>Component 468</v>
      </c>
      <c r="C469" t="str">
        <f>tblComponents[Product_Family]</f>
        <v>Interior</v>
      </c>
      <c r="D469" t="str">
        <f>tblComponents[Category]</f>
        <v>Metal</v>
      </c>
      <c r="E469" t="str">
        <f>tblComponents[Sourcing_Type]</f>
        <v>Buy</v>
      </c>
      <c r="F469" t="str">
        <f>tblComponents[Criticality]</f>
        <v>Medium</v>
      </c>
      <c r="G469">
        <f>tblComponents[Monthly_Demand]</f>
        <v>887</v>
      </c>
      <c r="H469">
        <f>tblComponents[Demand_Growth_Rate]</f>
        <v>9.0547202766131277E-2</v>
      </c>
      <c r="I469">
        <f>tblComponents[Forecast_Demand]</f>
        <v>967</v>
      </c>
      <c r="J469">
        <f>tblComponents[Annual_Demand]</f>
        <v>95552</v>
      </c>
      <c r="K469">
        <f>tblComponents[Demand_Variability]</f>
        <v>0.13120000000000001</v>
      </c>
      <c r="L469">
        <f t="shared" si="7"/>
        <v>80</v>
      </c>
    </row>
    <row r="470" spans="1:12" x14ac:dyDescent="0.35">
      <c r="A470" s="8" t="str">
        <f>tblComponents[Component_ID]</f>
        <v>C469</v>
      </c>
      <c r="B470" s="8" t="str">
        <f>tblComponents[Component_Name]</f>
        <v>Component 469</v>
      </c>
      <c r="C470" t="str">
        <f>tblComponents[Product_Family]</f>
        <v>Powertrain</v>
      </c>
      <c r="D470" t="str">
        <f>tblComponents[Category]</f>
        <v>Metal</v>
      </c>
      <c r="E470" t="str">
        <f>tblComponents[Sourcing_Type]</f>
        <v>Buy</v>
      </c>
      <c r="F470" t="str">
        <f>tblComponents[Criticality]</f>
        <v>Medium</v>
      </c>
      <c r="G470">
        <f>tblComponents[Monthly_Demand]</f>
        <v>436</v>
      </c>
      <c r="H470">
        <f>tblComponents[Demand_Growth_Rate]</f>
        <v>0.1120589743455242</v>
      </c>
      <c r="I470">
        <f>tblComponents[Forecast_Demand]</f>
        <v>485</v>
      </c>
      <c r="J470">
        <f>tblComponents[Annual_Demand]</f>
        <v>76142</v>
      </c>
      <c r="K470">
        <f>tblComponents[Demand_Variability]</f>
        <v>0.1113</v>
      </c>
      <c r="L470">
        <f t="shared" si="7"/>
        <v>49</v>
      </c>
    </row>
    <row r="471" spans="1:12" x14ac:dyDescent="0.35">
      <c r="A471" s="8" t="str">
        <f>tblComponents[Component_ID]</f>
        <v>C470</v>
      </c>
      <c r="B471" s="8" t="str">
        <f>tblComponents[Component_Name]</f>
        <v>Component 470</v>
      </c>
      <c r="C471" t="str">
        <f>tblComponents[Product_Family]</f>
        <v>Body &amp; Exterior</v>
      </c>
      <c r="D471" t="str">
        <f>tblComponents[Category]</f>
        <v>Electrical</v>
      </c>
      <c r="E471" t="str">
        <f>tblComponents[Sourcing_Type]</f>
        <v>Buy</v>
      </c>
      <c r="F471" t="str">
        <f>tblComponents[Criticality]</f>
        <v>High</v>
      </c>
      <c r="G471">
        <f>tblComponents[Monthly_Demand]</f>
        <v>826</v>
      </c>
      <c r="H471">
        <f>tblComponents[Demand_Growth_Rate]</f>
        <v>1.383409344081103E-2</v>
      </c>
      <c r="I471">
        <f>tblComponents[Forecast_Demand]</f>
        <v>837</v>
      </c>
      <c r="J471">
        <f>tblComponents[Annual_Demand]</f>
        <v>91692</v>
      </c>
      <c r="K471">
        <f>tblComponents[Demand_Variability]</f>
        <v>0.20860000000000001</v>
      </c>
      <c r="L471">
        <f t="shared" si="7"/>
        <v>11</v>
      </c>
    </row>
    <row r="472" spans="1:12" x14ac:dyDescent="0.35">
      <c r="A472" s="8" t="str">
        <f>tblComponents[Component_ID]</f>
        <v>C471</v>
      </c>
      <c r="B472" s="8" t="str">
        <f>tblComponents[Component_Name]</f>
        <v>Component 471</v>
      </c>
      <c r="C472" t="str">
        <f>tblComponents[Product_Family]</f>
        <v>Chassis</v>
      </c>
      <c r="D472" t="str">
        <f>tblComponents[Category]</f>
        <v>Metal</v>
      </c>
      <c r="E472" t="str">
        <f>tblComponents[Sourcing_Type]</f>
        <v>Buy</v>
      </c>
      <c r="F472" t="str">
        <f>tblComponents[Criticality]</f>
        <v>Medium</v>
      </c>
      <c r="G472">
        <f>tblComponents[Monthly_Demand]</f>
        <v>2774</v>
      </c>
      <c r="H472">
        <f>tblComponents[Demand_Growth_Rate]</f>
        <v>2.200133648101028E-2</v>
      </c>
      <c r="I472">
        <f>tblComponents[Forecast_Demand]</f>
        <v>2835</v>
      </c>
      <c r="J472">
        <f>tblComponents[Annual_Demand]</f>
        <v>54516</v>
      </c>
      <c r="K472">
        <f>tblComponents[Demand_Variability]</f>
        <v>0.16059999999999999</v>
      </c>
      <c r="L472">
        <f t="shared" si="7"/>
        <v>61</v>
      </c>
    </row>
    <row r="473" spans="1:12" x14ac:dyDescent="0.35">
      <c r="A473" s="8" t="str">
        <f>tblComponents[Component_ID]</f>
        <v>C472</v>
      </c>
      <c r="B473" s="8" t="str">
        <f>tblComponents[Component_Name]</f>
        <v>Component 472</v>
      </c>
      <c r="C473" t="str">
        <f>tblComponents[Product_Family]</f>
        <v>Powertrain</v>
      </c>
      <c r="D473" t="str">
        <f>tblComponents[Category]</f>
        <v>Electrical</v>
      </c>
      <c r="E473" t="str">
        <f>tblComponents[Sourcing_Type]</f>
        <v>Buy</v>
      </c>
      <c r="F473" t="str">
        <f>tblComponents[Criticality]</f>
        <v>High</v>
      </c>
      <c r="G473">
        <f>tblComponents[Monthly_Demand]</f>
        <v>693</v>
      </c>
      <c r="H473">
        <f>tblComponents[Demand_Growth_Rate]</f>
        <v>8.9260128318758777E-2</v>
      </c>
      <c r="I473">
        <f>tblComponents[Forecast_Demand]</f>
        <v>755</v>
      </c>
      <c r="J473">
        <f>tblComponents[Annual_Demand]</f>
        <v>90372</v>
      </c>
      <c r="K473">
        <f>tblComponents[Demand_Variability]</f>
        <v>0.11840000000000001</v>
      </c>
      <c r="L473">
        <f t="shared" si="7"/>
        <v>62</v>
      </c>
    </row>
    <row r="474" spans="1:12" x14ac:dyDescent="0.35">
      <c r="A474" s="8" t="str">
        <f>tblComponents[Component_ID]</f>
        <v>C473</v>
      </c>
      <c r="B474" s="8" t="str">
        <f>tblComponents[Component_Name]</f>
        <v>Component 473</v>
      </c>
      <c r="C474" t="str">
        <f>tblComponents[Product_Family]</f>
        <v>Electrical Systems</v>
      </c>
      <c r="D474" t="str">
        <f>tblComponents[Category]</f>
        <v>Electrical</v>
      </c>
      <c r="E474" t="str">
        <f>tblComponents[Sourcing_Type]</f>
        <v>Buy</v>
      </c>
      <c r="F474" t="str">
        <f>tblComponents[Criticality]</f>
        <v>High</v>
      </c>
      <c r="G474">
        <f>tblComponents[Monthly_Demand]</f>
        <v>463</v>
      </c>
      <c r="H474">
        <f>tblComponents[Demand_Growth_Rate]</f>
        <v>0.17910513613301651</v>
      </c>
      <c r="I474">
        <f>tblComponents[Forecast_Demand]</f>
        <v>546</v>
      </c>
      <c r="J474">
        <f>tblComponents[Annual_Demand]</f>
        <v>19998</v>
      </c>
      <c r="K474">
        <f>tblComponents[Demand_Variability]</f>
        <v>0.18479999999999999</v>
      </c>
      <c r="L474">
        <f t="shared" si="7"/>
        <v>83</v>
      </c>
    </row>
    <row r="475" spans="1:12" x14ac:dyDescent="0.35">
      <c r="A475" s="8" t="str">
        <f>tblComponents[Component_ID]</f>
        <v>C474</v>
      </c>
      <c r="B475" s="8" t="str">
        <f>tblComponents[Component_Name]</f>
        <v>Component 474</v>
      </c>
      <c r="C475" t="str">
        <f>tblComponents[Product_Family]</f>
        <v>Electrical Systems</v>
      </c>
      <c r="D475" t="str">
        <f>tblComponents[Category]</f>
        <v>Metal</v>
      </c>
      <c r="E475" t="str">
        <f>tblComponents[Sourcing_Type]</f>
        <v>Buy</v>
      </c>
      <c r="F475" t="str">
        <f>tblComponents[Criticality]</f>
        <v>Medium</v>
      </c>
      <c r="G475">
        <f>tblComponents[Monthly_Demand]</f>
        <v>1232</v>
      </c>
      <c r="H475">
        <f>tblComponents[Demand_Growth_Rate]</f>
        <v>4.9556948489502907E-2</v>
      </c>
      <c r="I475">
        <f>tblComponents[Forecast_Demand]</f>
        <v>1293</v>
      </c>
      <c r="J475">
        <f>tblComponents[Annual_Demand]</f>
        <v>34627</v>
      </c>
      <c r="K475">
        <f>tblComponents[Demand_Variability]</f>
        <v>8.6900000000000005E-2</v>
      </c>
      <c r="L475">
        <f t="shared" si="7"/>
        <v>61</v>
      </c>
    </row>
    <row r="476" spans="1:12" x14ac:dyDescent="0.35">
      <c r="A476" s="8" t="str">
        <f>tblComponents[Component_ID]</f>
        <v>C475</v>
      </c>
      <c r="B476" s="8" t="str">
        <f>tblComponents[Component_Name]</f>
        <v>Component 475</v>
      </c>
      <c r="C476" t="str">
        <f>tblComponents[Product_Family]</f>
        <v>Interior</v>
      </c>
      <c r="D476" t="str">
        <f>tblComponents[Category]</f>
        <v>Electrical</v>
      </c>
      <c r="E476" t="str">
        <f>tblComponents[Sourcing_Type]</f>
        <v>Buy</v>
      </c>
      <c r="F476" t="str">
        <f>tblComponents[Criticality]</f>
        <v>Low</v>
      </c>
      <c r="G476">
        <f>tblComponents[Monthly_Demand]</f>
        <v>1119</v>
      </c>
      <c r="H476">
        <f>tblComponents[Demand_Growth_Rate]</f>
        <v>4.4760121345758748E-2</v>
      </c>
      <c r="I476">
        <f>tblComponents[Forecast_Demand]</f>
        <v>1169</v>
      </c>
      <c r="J476">
        <f>tblComponents[Annual_Demand]</f>
        <v>79241</v>
      </c>
      <c r="K476">
        <f>tblComponents[Demand_Variability]</f>
        <v>0.13539999999999999</v>
      </c>
      <c r="L476">
        <f t="shared" si="7"/>
        <v>50</v>
      </c>
    </row>
    <row r="477" spans="1:12" x14ac:dyDescent="0.35">
      <c r="A477" s="8" t="str">
        <f>tblComponents[Component_ID]</f>
        <v>C476</v>
      </c>
      <c r="B477" s="8" t="str">
        <f>tblComponents[Component_Name]</f>
        <v>Component 476</v>
      </c>
      <c r="C477" t="str">
        <f>tblComponents[Product_Family]</f>
        <v>Chassis</v>
      </c>
      <c r="D477" t="str">
        <f>tblComponents[Category]</f>
        <v>Electrical</v>
      </c>
      <c r="E477" t="str">
        <f>tblComponents[Sourcing_Type]</f>
        <v>Buy</v>
      </c>
      <c r="F477" t="str">
        <f>tblComponents[Criticality]</f>
        <v>Medium</v>
      </c>
      <c r="G477">
        <f>tblComponents[Monthly_Demand]</f>
        <v>711</v>
      </c>
      <c r="H477">
        <f>tblComponents[Demand_Growth_Rate]</f>
        <v>3.8011199332981939E-3</v>
      </c>
      <c r="I477">
        <f>tblComponents[Forecast_Demand]</f>
        <v>714</v>
      </c>
      <c r="J477">
        <f>tblComponents[Annual_Demand]</f>
        <v>41025</v>
      </c>
      <c r="K477">
        <f>tblComponents[Demand_Variability]</f>
        <v>0.15970000000000001</v>
      </c>
      <c r="L477">
        <f t="shared" si="7"/>
        <v>3</v>
      </c>
    </row>
    <row r="478" spans="1:12" x14ac:dyDescent="0.35">
      <c r="A478" s="8" t="str">
        <f>tblComponents[Component_ID]</f>
        <v>C477</v>
      </c>
      <c r="B478" s="8" t="str">
        <f>tblComponents[Component_Name]</f>
        <v>Component 477</v>
      </c>
      <c r="C478" t="str">
        <f>tblComponents[Product_Family]</f>
        <v>Electrical Systems</v>
      </c>
      <c r="D478" t="str">
        <f>tblComponents[Category]</f>
        <v>Electrical</v>
      </c>
      <c r="E478" t="str">
        <f>tblComponents[Sourcing_Type]</f>
        <v>Buy</v>
      </c>
      <c r="F478" t="str">
        <f>tblComponents[Criticality]</f>
        <v>Medium</v>
      </c>
      <c r="G478">
        <f>tblComponents[Monthly_Demand]</f>
        <v>1348</v>
      </c>
      <c r="H478">
        <f>tblComponents[Demand_Growth_Rate]</f>
        <v>0.13209271358491151</v>
      </c>
      <c r="I478">
        <f>tblComponents[Forecast_Demand]</f>
        <v>1526</v>
      </c>
      <c r="J478">
        <f>tblComponents[Annual_Demand]</f>
        <v>42832</v>
      </c>
      <c r="K478">
        <f>tblComponents[Demand_Variability]</f>
        <v>0.1052</v>
      </c>
      <c r="L478">
        <f t="shared" si="7"/>
        <v>178</v>
      </c>
    </row>
    <row r="479" spans="1:12" x14ac:dyDescent="0.35">
      <c r="A479" s="8" t="str">
        <f>tblComponents[Component_ID]</f>
        <v>C478</v>
      </c>
      <c r="B479" s="8" t="str">
        <f>tblComponents[Component_Name]</f>
        <v>Component 478</v>
      </c>
      <c r="C479" t="str">
        <f>tblComponents[Product_Family]</f>
        <v>Body &amp; Exterior</v>
      </c>
      <c r="D479" t="str">
        <f>tblComponents[Category]</f>
        <v>Electrical</v>
      </c>
      <c r="E479" t="str">
        <f>tblComponents[Sourcing_Type]</f>
        <v>Buy</v>
      </c>
      <c r="F479" t="str">
        <f>tblComponents[Criticality]</f>
        <v>Medium</v>
      </c>
      <c r="G479">
        <f>tblComponents[Monthly_Demand]</f>
        <v>366</v>
      </c>
      <c r="H479">
        <f>tblComponents[Demand_Growth_Rate]</f>
        <v>6.3600788619988205E-2</v>
      </c>
      <c r="I479">
        <f>tblComponents[Forecast_Demand]</f>
        <v>389</v>
      </c>
      <c r="J479">
        <f>tblComponents[Annual_Demand]</f>
        <v>24953</v>
      </c>
      <c r="K479">
        <f>tblComponents[Demand_Variability]</f>
        <v>0.24740000000000001</v>
      </c>
      <c r="L479">
        <f t="shared" si="7"/>
        <v>23</v>
      </c>
    </row>
    <row r="480" spans="1:12" x14ac:dyDescent="0.35">
      <c r="A480" s="8" t="str">
        <f>tblComponents[Component_ID]</f>
        <v>C479</v>
      </c>
      <c r="B480" s="8" t="str">
        <f>tblComponents[Component_Name]</f>
        <v>Component 479</v>
      </c>
      <c r="C480" t="str">
        <f>tblComponents[Product_Family]</f>
        <v>Interior</v>
      </c>
      <c r="D480" t="str">
        <f>tblComponents[Category]</f>
        <v>Metal</v>
      </c>
      <c r="E480" t="str">
        <f>tblComponents[Sourcing_Type]</f>
        <v>Buy</v>
      </c>
      <c r="F480" t="str">
        <f>tblComponents[Criticality]</f>
        <v>Medium</v>
      </c>
      <c r="G480">
        <f>tblComponents[Monthly_Demand]</f>
        <v>1340</v>
      </c>
      <c r="H480">
        <f>tblComponents[Demand_Growth_Rate]</f>
        <v>-4.7041802374793024E-3</v>
      </c>
      <c r="I480">
        <f>tblComponents[Forecast_Demand]</f>
        <v>1334</v>
      </c>
      <c r="J480">
        <f>tblComponents[Annual_Demand]</f>
        <v>24782</v>
      </c>
      <c r="K480">
        <f>tblComponents[Demand_Variability]</f>
        <v>0.11550000000000001</v>
      </c>
      <c r="L480">
        <f t="shared" si="7"/>
        <v>-6</v>
      </c>
    </row>
    <row r="481" spans="1:12" x14ac:dyDescent="0.35">
      <c r="A481" s="8" t="str">
        <f>tblComponents[Component_ID]</f>
        <v>C480</v>
      </c>
      <c r="B481" s="8" t="str">
        <f>tblComponents[Component_Name]</f>
        <v>Component 480</v>
      </c>
      <c r="C481" t="str">
        <f>tblComponents[Product_Family]</f>
        <v>Chassis</v>
      </c>
      <c r="D481" t="str">
        <f>tblComponents[Category]</f>
        <v>Metal</v>
      </c>
      <c r="E481" t="str">
        <f>tblComponents[Sourcing_Type]</f>
        <v>Buy</v>
      </c>
      <c r="F481" t="str">
        <f>tblComponents[Criticality]</f>
        <v>Medium</v>
      </c>
      <c r="G481">
        <f>tblComponents[Monthly_Demand]</f>
        <v>2260</v>
      </c>
      <c r="H481">
        <f>tblComponents[Demand_Growth_Rate]</f>
        <v>9.1354991901935592E-2</v>
      </c>
      <c r="I481">
        <f>tblComponents[Forecast_Demand]</f>
        <v>2466</v>
      </c>
      <c r="J481">
        <f>tblComponents[Annual_Demand]</f>
        <v>53650</v>
      </c>
      <c r="K481">
        <f>tblComponents[Demand_Variability]</f>
        <v>0.1022</v>
      </c>
      <c r="L481">
        <f t="shared" si="7"/>
        <v>206</v>
      </c>
    </row>
    <row r="482" spans="1:12" x14ac:dyDescent="0.35">
      <c r="A482" s="8" t="str">
        <f>tblComponents[Component_ID]</f>
        <v>C481</v>
      </c>
      <c r="B482" s="8" t="str">
        <f>tblComponents[Component_Name]</f>
        <v>Component 481</v>
      </c>
      <c r="C482" t="str">
        <f>tblComponents[Product_Family]</f>
        <v>Body &amp; Exterior</v>
      </c>
      <c r="D482" t="str">
        <f>tblComponents[Category]</f>
        <v>Electrical</v>
      </c>
      <c r="E482" t="str">
        <f>tblComponents[Sourcing_Type]</f>
        <v>Buy</v>
      </c>
      <c r="F482" t="str">
        <f>tblComponents[Criticality]</f>
        <v>High</v>
      </c>
      <c r="G482">
        <f>tblComponents[Monthly_Demand]</f>
        <v>124</v>
      </c>
      <c r="H482">
        <f>tblComponents[Demand_Growth_Rate]</f>
        <v>0.11542967066098921</v>
      </c>
      <c r="I482">
        <f>tblComponents[Forecast_Demand]</f>
        <v>138</v>
      </c>
      <c r="J482">
        <f>tblComponents[Annual_Demand]</f>
        <v>37366</v>
      </c>
      <c r="K482">
        <f>tblComponents[Demand_Variability]</f>
        <v>0.11459999999999999</v>
      </c>
      <c r="L482">
        <f t="shared" si="7"/>
        <v>14</v>
      </c>
    </row>
    <row r="483" spans="1:12" x14ac:dyDescent="0.35">
      <c r="A483" s="8" t="str">
        <f>tblComponents[Component_ID]</f>
        <v>C482</v>
      </c>
      <c r="B483" s="8" t="str">
        <f>tblComponents[Component_Name]</f>
        <v>Component 482</v>
      </c>
      <c r="C483" t="str">
        <f>tblComponents[Product_Family]</f>
        <v>Powertrain</v>
      </c>
      <c r="D483" t="str">
        <f>tblComponents[Category]</f>
        <v>Metal</v>
      </c>
      <c r="E483" t="str">
        <f>tblComponents[Sourcing_Type]</f>
        <v>Buy</v>
      </c>
      <c r="F483" t="str">
        <f>tblComponents[Criticality]</f>
        <v>Low</v>
      </c>
      <c r="G483">
        <f>tblComponents[Monthly_Demand]</f>
        <v>308</v>
      </c>
      <c r="H483">
        <f>tblComponents[Demand_Growth_Rate]</f>
        <v>7.8688034413245261E-3</v>
      </c>
      <c r="I483">
        <f>tblComponents[Forecast_Demand]</f>
        <v>310</v>
      </c>
      <c r="J483">
        <f>tblComponents[Annual_Demand]</f>
        <v>99518</v>
      </c>
      <c r="K483">
        <f>tblComponents[Demand_Variability]</f>
        <v>0.2107</v>
      </c>
      <c r="L483">
        <f t="shared" si="7"/>
        <v>2</v>
      </c>
    </row>
    <row r="484" spans="1:12" x14ac:dyDescent="0.35">
      <c r="A484" s="8" t="str">
        <f>tblComponents[Component_ID]</f>
        <v>C483</v>
      </c>
      <c r="B484" s="8" t="str">
        <f>tblComponents[Component_Name]</f>
        <v>Component 483</v>
      </c>
      <c r="C484" t="str">
        <f>tblComponents[Product_Family]</f>
        <v>Interior</v>
      </c>
      <c r="D484" t="str">
        <f>tblComponents[Category]</f>
        <v>Metal</v>
      </c>
      <c r="E484" t="str">
        <f>tblComponents[Sourcing_Type]</f>
        <v>Buy</v>
      </c>
      <c r="F484" t="str">
        <f>tblComponents[Criticality]</f>
        <v>Critical</v>
      </c>
      <c r="G484">
        <f>tblComponents[Monthly_Demand]</f>
        <v>1029</v>
      </c>
      <c r="H484">
        <f>tblComponents[Demand_Growth_Rate]</f>
        <v>0.1644887727287643</v>
      </c>
      <c r="I484">
        <f>tblComponents[Forecast_Demand]</f>
        <v>1198</v>
      </c>
      <c r="J484">
        <f>tblComponents[Annual_Demand]</f>
        <v>75283</v>
      </c>
      <c r="K484">
        <f>tblComponents[Demand_Variability]</f>
        <v>0.15229999999999999</v>
      </c>
      <c r="L484">
        <f t="shared" si="7"/>
        <v>169</v>
      </c>
    </row>
    <row r="485" spans="1:12" x14ac:dyDescent="0.35">
      <c r="A485" s="8" t="str">
        <f>tblComponents[Component_ID]</f>
        <v>C484</v>
      </c>
      <c r="B485" s="8" t="str">
        <f>tblComponents[Component_Name]</f>
        <v>Component 484</v>
      </c>
      <c r="C485" t="str">
        <f>tblComponents[Product_Family]</f>
        <v>Interior</v>
      </c>
      <c r="D485" t="str">
        <f>tblComponents[Category]</f>
        <v>Electrical</v>
      </c>
      <c r="E485" t="str">
        <f>tblComponents[Sourcing_Type]</f>
        <v>Buy</v>
      </c>
      <c r="F485" t="str">
        <f>tblComponents[Criticality]</f>
        <v>High</v>
      </c>
      <c r="G485">
        <f>tblComponents[Monthly_Demand]</f>
        <v>1199</v>
      </c>
      <c r="H485">
        <f>tblComponents[Demand_Growth_Rate]</f>
        <v>4.942110360826367E-2</v>
      </c>
      <c r="I485">
        <f>tblComponents[Forecast_Demand]</f>
        <v>1258</v>
      </c>
      <c r="J485">
        <f>tblComponents[Annual_Demand]</f>
        <v>42205</v>
      </c>
      <c r="K485">
        <f>tblComponents[Demand_Variability]</f>
        <v>0.17610000000000001</v>
      </c>
      <c r="L485">
        <f t="shared" si="7"/>
        <v>59</v>
      </c>
    </row>
    <row r="486" spans="1:12" x14ac:dyDescent="0.35">
      <c r="A486" s="8" t="str">
        <f>tblComponents[Component_ID]</f>
        <v>C485</v>
      </c>
      <c r="B486" s="8" t="str">
        <f>tblComponents[Component_Name]</f>
        <v>Component 485</v>
      </c>
      <c r="C486" t="str">
        <f>tblComponents[Product_Family]</f>
        <v>Electrical Systems</v>
      </c>
      <c r="D486" t="str">
        <f>tblComponents[Category]</f>
        <v>Metal</v>
      </c>
      <c r="E486" t="str">
        <f>tblComponents[Sourcing_Type]</f>
        <v>Buy</v>
      </c>
      <c r="F486" t="str">
        <f>tblComponents[Criticality]</f>
        <v>High</v>
      </c>
      <c r="G486">
        <f>tblComponents[Monthly_Demand]</f>
        <v>466</v>
      </c>
      <c r="H486">
        <f>tblComponents[Demand_Growth_Rate]</f>
        <v>7.8295770939194695E-2</v>
      </c>
      <c r="I486">
        <f>tblComponents[Forecast_Demand]</f>
        <v>502</v>
      </c>
      <c r="J486">
        <f>tblComponents[Annual_Demand]</f>
        <v>56183</v>
      </c>
      <c r="K486">
        <f>tblComponents[Demand_Variability]</f>
        <v>8.3599999999999994E-2</v>
      </c>
      <c r="L486">
        <f t="shared" si="7"/>
        <v>36</v>
      </c>
    </row>
    <row r="487" spans="1:12" x14ac:dyDescent="0.35">
      <c r="A487" s="8" t="str">
        <f>tblComponents[Component_ID]</f>
        <v>C486</v>
      </c>
      <c r="B487" s="8" t="str">
        <f>tblComponents[Component_Name]</f>
        <v>Component 486</v>
      </c>
      <c r="C487" t="str">
        <f>tblComponents[Product_Family]</f>
        <v>Powertrain</v>
      </c>
      <c r="D487" t="str">
        <f>tblComponents[Category]</f>
        <v>Metal</v>
      </c>
      <c r="E487" t="str">
        <f>tblComponents[Sourcing_Type]</f>
        <v>Buy</v>
      </c>
      <c r="F487" t="str">
        <f>tblComponents[Criticality]</f>
        <v>High</v>
      </c>
      <c r="G487">
        <f>tblComponents[Monthly_Demand]</f>
        <v>1303</v>
      </c>
      <c r="H487">
        <f>tblComponents[Demand_Growth_Rate]</f>
        <v>0.1543263280533092</v>
      </c>
      <c r="I487">
        <f>tblComponents[Forecast_Demand]</f>
        <v>1504</v>
      </c>
      <c r="J487">
        <f>tblComponents[Annual_Demand]</f>
        <v>51097</v>
      </c>
      <c r="K487">
        <f>tblComponents[Demand_Variability]</f>
        <v>8.5900000000000004E-2</v>
      </c>
      <c r="L487">
        <f t="shared" si="7"/>
        <v>201</v>
      </c>
    </row>
    <row r="488" spans="1:12" x14ac:dyDescent="0.35">
      <c r="A488" s="8" t="str">
        <f>tblComponents[Component_ID]</f>
        <v>C487</v>
      </c>
      <c r="B488" s="8" t="str">
        <f>tblComponents[Component_Name]</f>
        <v>Component 487</v>
      </c>
      <c r="C488" t="str">
        <f>tblComponents[Product_Family]</f>
        <v>Powertrain</v>
      </c>
      <c r="D488" t="str">
        <f>tblComponents[Category]</f>
        <v>Metal</v>
      </c>
      <c r="E488" t="str">
        <f>tblComponents[Sourcing_Type]</f>
        <v>Buy</v>
      </c>
      <c r="F488" t="str">
        <f>tblComponents[Criticality]</f>
        <v>Low</v>
      </c>
      <c r="G488">
        <f>tblComponents[Monthly_Demand]</f>
        <v>1399</v>
      </c>
      <c r="H488">
        <f>tblComponents[Demand_Growth_Rate]</f>
        <v>3.2999573559441289E-2</v>
      </c>
      <c r="I488">
        <f>tblComponents[Forecast_Demand]</f>
        <v>1445</v>
      </c>
      <c r="J488">
        <f>tblComponents[Annual_Demand]</f>
        <v>33092</v>
      </c>
      <c r="K488">
        <f>tblComponents[Demand_Variability]</f>
        <v>0.15579999999999999</v>
      </c>
      <c r="L488">
        <f t="shared" si="7"/>
        <v>46</v>
      </c>
    </row>
    <row r="489" spans="1:12" x14ac:dyDescent="0.35">
      <c r="A489" s="8" t="str">
        <f>tblComponents[Component_ID]</f>
        <v>C488</v>
      </c>
      <c r="B489" s="8" t="str">
        <f>tblComponents[Component_Name]</f>
        <v>Component 488</v>
      </c>
      <c r="C489" t="str">
        <f>tblComponents[Product_Family]</f>
        <v>Interior</v>
      </c>
      <c r="D489" t="str">
        <f>tblComponents[Category]</f>
        <v>Electrical</v>
      </c>
      <c r="E489" t="str">
        <f>tblComponents[Sourcing_Type]</f>
        <v>Buy</v>
      </c>
      <c r="F489" t="str">
        <f>tblComponents[Criticality]</f>
        <v>Medium</v>
      </c>
      <c r="G489">
        <f>tblComponents[Monthly_Demand]</f>
        <v>935</v>
      </c>
      <c r="H489">
        <f>tblComponents[Demand_Growth_Rate]</f>
        <v>-9.6581604029042228E-3</v>
      </c>
      <c r="I489">
        <f>tblComponents[Forecast_Demand]</f>
        <v>926</v>
      </c>
      <c r="J489">
        <f>tblComponents[Annual_Demand]</f>
        <v>27720</v>
      </c>
      <c r="K489">
        <f>tblComponents[Demand_Variability]</f>
        <v>0.21879999999999999</v>
      </c>
      <c r="L489">
        <f t="shared" si="7"/>
        <v>-9</v>
      </c>
    </row>
    <row r="490" spans="1:12" x14ac:dyDescent="0.35">
      <c r="A490" s="8" t="str">
        <f>tblComponents[Component_ID]</f>
        <v>C489</v>
      </c>
      <c r="B490" s="8" t="str">
        <f>tblComponents[Component_Name]</f>
        <v>Component 489</v>
      </c>
      <c r="C490" t="str">
        <f>tblComponents[Product_Family]</f>
        <v>Body &amp; Exterior</v>
      </c>
      <c r="D490" t="str">
        <f>tblComponents[Category]</f>
        <v>Electrical</v>
      </c>
      <c r="E490" t="str">
        <f>tblComponents[Sourcing_Type]</f>
        <v>Buy</v>
      </c>
      <c r="F490" t="str">
        <f>tblComponents[Criticality]</f>
        <v>High</v>
      </c>
      <c r="G490">
        <f>tblComponents[Monthly_Demand]</f>
        <v>663</v>
      </c>
      <c r="H490">
        <f>tblComponents[Demand_Growth_Rate]</f>
        <v>5.1928942666306308E-2</v>
      </c>
      <c r="I490">
        <f>tblComponents[Forecast_Demand]</f>
        <v>697</v>
      </c>
      <c r="J490">
        <f>tblComponents[Annual_Demand]</f>
        <v>52692</v>
      </c>
      <c r="K490">
        <f>tblComponents[Demand_Variability]</f>
        <v>0.23050000000000001</v>
      </c>
      <c r="L490">
        <f t="shared" si="7"/>
        <v>34</v>
      </c>
    </row>
    <row r="491" spans="1:12" x14ac:dyDescent="0.35">
      <c r="A491" s="8" t="str">
        <f>tblComponents[Component_ID]</f>
        <v>C490</v>
      </c>
      <c r="B491" s="8" t="str">
        <f>tblComponents[Component_Name]</f>
        <v>Component 490</v>
      </c>
      <c r="C491" t="str">
        <f>tblComponents[Product_Family]</f>
        <v>Powertrain</v>
      </c>
      <c r="D491" t="str">
        <f>tblComponents[Category]</f>
        <v>Electrical</v>
      </c>
      <c r="E491" t="str">
        <f>tblComponents[Sourcing_Type]</f>
        <v>Buy</v>
      </c>
      <c r="F491" t="str">
        <f>tblComponents[Criticality]</f>
        <v>High</v>
      </c>
      <c r="G491">
        <f>tblComponents[Monthly_Demand]</f>
        <v>417</v>
      </c>
      <c r="H491">
        <f>tblComponents[Demand_Growth_Rate]</f>
        <v>0.19400817465005091</v>
      </c>
      <c r="I491">
        <f>tblComponents[Forecast_Demand]</f>
        <v>498</v>
      </c>
      <c r="J491">
        <f>tblComponents[Annual_Demand]</f>
        <v>52292</v>
      </c>
      <c r="K491">
        <f>tblComponents[Demand_Variability]</f>
        <v>9.4700000000000006E-2</v>
      </c>
      <c r="L491">
        <f t="shared" si="7"/>
        <v>81</v>
      </c>
    </row>
    <row r="492" spans="1:12" x14ac:dyDescent="0.35">
      <c r="A492" s="8" t="str">
        <f>tblComponents[Component_ID]</f>
        <v>C491</v>
      </c>
      <c r="B492" s="8" t="str">
        <f>tblComponents[Component_Name]</f>
        <v>Component 491</v>
      </c>
      <c r="C492" t="str">
        <f>tblComponents[Product_Family]</f>
        <v>Chassis</v>
      </c>
      <c r="D492" t="str">
        <f>tblComponents[Category]</f>
        <v>Metal</v>
      </c>
      <c r="E492" t="str">
        <f>tblComponents[Sourcing_Type]</f>
        <v>Buy</v>
      </c>
      <c r="F492" t="str">
        <f>tblComponents[Criticality]</f>
        <v>High</v>
      </c>
      <c r="G492">
        <f>tblComponents[Monthly_Demand]</f>
        <v>615</v>
      </c>
      <c r="H492">
        <f>tblComponents[Demand_Growth_Rate]</f>
        <v>0.11809596082292589</v>
      </c>
      <c r="I492">
        <f>tblComponents[Forecast_Demand]</f>
        <v>688</v>
      </c>
      <c r="J492">
        <f>tblComponents[Annual_Demand]</f>
        <v>34926</v>
      </c>
      <c r="K492">
        <f>tblComponents[Demand_Variability]</f>
        <v>0.17150000000000001</v>
      </c>
      <c r="L492">
        <f t="shared" si="7"/>
        <v>73</v>
      </c>
    </row>
    <row r="493" spans="1:12" x14ac:dyDescent="0.35">
      <c r="A493" s="8" t="str">
        <f>tblComponents[Component_ID]</f>
        <v>C492</v>
      </c>
      <c r="B493" s="8" t="str">
        <f>tblComponents[Component_Name]</f>
        <v>Component 492</v>
      </c>
      <c r="C493" t="str">
        <f>tblComponents[Product_Family]</f>
        <v>Body &amp; Exterior</v>
      </c>
      <c r="D493" t="str">
        <f>tblComponents[Category]</f>
        <v>Electrical</v>
      </c>
      <c r="E493" t="str">
        <f>tblComponents[Sourcing_Type]</f>
        <v>Buy</v>
      </c>
      <c r="F493" t="str">
        <f>tblComponents[Criticality]</f>
        <v>High</v>
      </c>
      <c r="G493">
        <f>tblComponents[Monthly_Demand]</f>
        <v>264</v>
      </c>
      <c r="H493">
        <f>tblComponents[Demand_Growth_Rate]</f>
        <v>-2.9494078697132289E-2</v>
      </c>
      <c r="I493">
        <f>tblComponents[Forecast_Demand]</f>
        <v>256</v>
      </c>
      <c r="J493">
        <f>tblComponents[Annual_Demand]</f>
        <v>55388</v>
      </c>
      <c r="K493">
        <f>tblComponents[Demand_Variability]</f>
        <v>0.23519999999999999</v>
      </c>
      <c r="L493">
        <f t="shared" si="7"/>
        <v>-8</v>
      </c>
    </row>
    <row r="494" spans="1:12" x14ac:dyDescent="0.35">
      <c r="A494" s="8" t="str">
        <f>tblComponents[Component_ID]</f>
        <v>C493</v>
      </c>
      <c r="B494" s="8" t="str">
        <f>tblComponents[Component_Name]</f>
        <v>Component 493</v>
      </c>
      <c r="C494" t="str">
        <f>tblComponents[Product_Family]</f>
        <v>Interior</v>
      </c>
      <c r="D494" t="str">
        <f>tblComponents[Category]</f>
        <v>Metal</v>
      </c>
      <c r="E494" t="str">
        <f>tblComponents[Sourcing_Type]</f>
        <v>Buy</v>
      </c>
      <c r="F494" t="str">
        <f>tblComponents[Criticality]</f>
        <v>Medium</v>
      </c>
      <c r="G494">
        <f>tblComponents[Monthly_Demand]</f>
        <v>1489</v>
      </c>
      <c r="H494">
        <f>tblComponents[Demand_Growth_Rate]</f>
        <v>0.14845452597700989</v>
      </c>
      <c r="I494">
        <f>tblComponents[Forecast_Demand]</f>
        <v>1710</v>
      </c>
      <c r="J494">
        <f>tblComponents[Annual_Demand]</f>
        <v>34158</v>
      </c>
      <c r="K494">
        <f>tblComponents[Demand_Variability]</f>
        <v>0.14599999999999999</v>
      </c>
      <c r="L494">
        <f t="shared" si="7"/>
        <v>221</v>
      </c>
    </row>
    <row r="495" spans="1:12" x14ac:dyDescent="0.35">
      <c r="A495" s="8" t="str">
        <f>tblComponents[Component_ID]</f>
        <v>C494</v>
      </c>
      <c r="B495" s="8" t="str">
        <f>tblComponents[Component_Name]</f>
        <v>Component 494</v>
      </c>
      <c r="C495" t="str">
        <f>tblComponents[Product_Family]</f>
        <v>Electrical Systems</v>
      </c>
      <c r="D495" t="str">
        <f>tblComponents[Category]</f>
        <v>Electrical</v>
      </c>
      <c r="E495" t="str">
        <f>tblComponents[Sourcing_Type]</f>
        <v>Buy</v>
      </c>
      <c r="F495" t="str">
        <f>tblComponents[Criticality]</f>
        <v>Medium</v>
      </c>
      <c r="G495">
        <f>tblComponents[Monthly_Demand]</f>
        <v>1383</v>
      </c>
      <c r="H495">
        <f>tblComponents[Demand_Growth_Rate]</f>
        <v>6.1610480449137181E-2</v>
      </c>
      <c r="I495">
        <f>tblComponents[Forecast_Demand]</f>
        <v>1468</v>
      </c>
      <c r="J495">
        <f>tblComponents[Annual_Demand]</f>
        <v>99855</v>
      </c>
      <c r="K495">
        <f>tblComponents[Demand_Variability]</f>
        <v>0.221</v>
      </c>
      <c r="L495">
        <f t="shared" si="7"/>
        <v>85</v>
      </c>
    </row>
    <row r="496" spans="1:12" x14ac:dyDescent="0.35">
      <c r="A496" s="8" t="str">
        <f>tblComponents[Component_ID]</f>
        <v>C495</v>
      </c>
      <c r="B496" s="8" t="str">
        <f>tblComponents[Component_Name]</f>
        <v>Component 495</v>
      </c>
      <c r="C496" t="str">
        <f>tblComponents[Product_Family]</f>
        <v>Body &amp; Exterior</v>
      </c>
      <c r="D496" t="str">
        <f>tblComponents[Category]</f>
        <v>Metal</v>
      </c>
      <c r="E496" t="str">
        <f>tblComponents[Sourcing_Type]</f>
        <v>Buy</v>
      </c>
      <c r="F496" t="str">
        <f>tblComponents[Criticality]</f>
        <v>Critical</v>
      </c>
      <c r="G496">
        <f>tblComponents[Monthly_Demand]</f>
        <v>587</v>
      </c>
      <c r="H496">
        <f>tblComponents[Demand_Growth_Rate]</f>
        <v>0.15581830317000761</v>
      </c>
      <c r="I496">
        <f>tblComponents[Forecast_Demand]</f>
        <v>678</v>
      </c>
      <c r="J496">
        <f>tblComponents[Annual_Demand]</f>
        <v>37057</v>
      </c>
      <c r="K496">
        <f>tblComponents[Demand_Variability]</f>
        <v>0.1027</v>
      </c>
      <c r="L496">
        <f t="shared" si="7"/>
        <v>91</v>
      </c>
    </row>
    <row r="497" spans="1:12" x14ac:dyDescent="0.35">
      <c r="A497" s="8" t="str">
        <f>tblComponents[Component_ID]</f>
        <v>C496</v>
      </c>
      <c r="B497" s="8" t="str">
        <f>tblComponents[Component_Name]</f>
        <v>Component 496</v>
      </c>
      <c r="C497" t="str">
        <f>tblComponents[Product_Family]</f>
        <v>Body &amp; Exterior</v>
      </c>
      <c r="D497" t="str">
        <f>tblComponents[Category]</f>
        <v>Metal</v>
      </c>
      <c r="E497" t="str">
        <f>tblComponents[Sourcing_Type]</f>
        <v>Buy</v>
      </c>
      <c r="F497" t="str">
        <f>tblComponents[Criticality]</f>
        <v>Critical</v>
      </c>
      <c r="G497">
        <f>tblComponents[Monthly_Demand]</f>
        <v>447</v>
      </c>
      <c r="H497">
        <f>tblComponents[Demand_Growth_Rate]</f>
        <v>-1.247754890346051E-3</v>
      </c>
      <c r="I497">
        <f>tblComponents[Forecast_Demand]</f>
        <v>446</v>
      </c>
      <c r="J497">
        <f>tblComponents[Annual_Demand]</f>
        <v>13543</v>
      </c>
      <c r="K497">
        <f>tblComponents[Demand_Variability]</f>
        <v>0.23899999999999999</v>
      </c>
      <c r="L497">
        <f t="shared" si="7"/>
        <v>-1</v>
      </c>
    </row>
    <row r="498" spans="1:12" x14ac:dyDescent="0.35">
      <c r="A498" s="8" t="str">
        <f>tblComponents[Component_ID]</f>
        <v>C497</v>
      </c>
      <c r="B498" s="8" t="str">
        <f>tblComponents[Component_Name]</f>
        <v>Component 497</v>
      </c>
      <c r="C498" t="str">
        <f>tblComponents[Product_Family]</f>
        <v>Body &amp; Exterior</v>
      </c>
      <c r="D498" t="str">
        <f>tblComponents[Category]</f>
        <v>Electrical</v>
      </c>
      <c r="E498" t="str">
        <f>tblComponents[Sourcing_Type]</f>
        <v>Buy</v>
      </c>
      <c r="F498" t="str">
        <f>tblComponents[Criticality]</f>
        <v>Medium</v>
      </c>
      <c r="G498">
        <f>tblComponents[Monthly_Demand]</f>
        <v>2994</v>
      </c>
      <c r="H498">
        <f>tblComponents[Demand_Growth_Rate]</f>
        <v>0.19478788877515391</v>
      </c>
      <c r="I498">
        <f>tblComponents[Forecast_Demand]</f>
        <v>3577</v>
      </c>
      <c r="J498">
        <f>tblComponents[Annual_Demand]</f>
        <v>56439</v>
      </c>
      <c r="K498">
        <f>tblComponents[Demand_Variability]</f>
        <v>0.2077</v>
      </c>
      <c r="L498">
        <f t="shared" si="7"/>
        <v>583</v>
      </c>
    </row>
    <row r="499" spans="1:12" x14ac:dyDescent="0.35">
      <c r="A499" s="8" t="str">
        <f>tblComponents[Component_ID]</f>
        <v>C498</v>
      </c>
      <c r="B499" s="8" t="str">
        <f>tblComponents[Component_Name]</f>
        <v>Component 498</v>
      </c>
      <c r="C499" t="str">
        <f>tblComponents[Product_Family]</f>
        <v>Interior</v>
      </c>
      <c r="D499" t="str">
        <f>tblComponents[Category]</f>
        <v>Metal</v>
      </c>
      <c r="E499" t="str">
        <f>tblComponents[Sourcing_Type]</f>
        <v>Buy</v>
      </c>
      <c r="F499" t="str">
        <f>tblComponents[Criticality]</f>
        <v>Medium</v>
      </c>
      <c r="G499">
        <f>tblComponents[Monthly_Demand]</f>
        <v>1155</v>
      </c>
      <c r="H499">
        <f>tblComponents[Demand_Growth_Rate]</f>
        <v>-4.8648769081832542E-2</v>
      </c>
      <c r="I499">
        <f>tblComponents[Forecast_Demand]</f>
        <v>1099</v>
      </c>
      <c r="J499">
        <f>tblComponents[Annual_Demand]</f>
        <v>26706</v>
      </c>
      <c r="K499">
        <f>tblComponents[Demand_Variability]</f>
        <v>0.24</v>
      </c>
      <c r="L499">
        <f t="shared" si="7"/>
        <v>-56</v>
      </c>
    </row>
    <row r="500" spans="1:12" x14ac:dyDescent="0.35">
      <c r="A500" s="8" t="str">
        <f>tblComponents[Component_ID]</f>
        <v>C499</v>
      </c>
      <c r="B500" s="8" t="str">
        <f>tblComponents[Component_Name]</f>
        <v>Component 499</v>
      </c>
      <c r="C500" t="str">
        <f>tblComponents[Product_Family]</f>
        <v>Chassis</v>
      </c>
      <c r="D500" t="str">
        <f>tblComponents[Category]</f>
        <v>Metal</v>
      </c>
      <c r="E500" t="str">
        <f>tblComponents[Sourcing_Type]</f>
        <v>Buy</v>
      </c>
      <c r="F500" t="str">
        <f>tblComponents[Criticality]</f>
        <v>Medium</v>
      </c>
      <c r="G500">
        <f>tblComponents[Monthly_Demand]</f>
        <v>324</v>
      </c>
      <c r="H500">
        <f>tblComponents[Demand_Growth_Rate]</f>
        <v>0.1063325424886135</v>
      </c>
      <c r="I500">
        <f>tblComponents[Forecast_Demand]</f>
        <v>358</v>
      </c>
      <c r="J500">
        <f>tblComponents[Annual_Demand]</f>
        <v>64578</v>
      </c>
      <c r="K500">
        <f>tblComponents[Demand_Variability]</f>
        <v>0.19500000000000001</v>
      </c>
      <c r="L500">
        <f t="shared" si="7"/>
        <v>34</v>
      </c>
    </row>
    <row r="501" spans="1:12" x14ac:dyDescent="0.35">
      <c r="A501" s="8" t="str">
        <f>tblComponents[Component_ID]</f>
        <v>C500</v>
      </c>
      <c r="B501" s="8" t="str">
        <f>tblComponents[Component_Name]</f>
        <v>Component 500</v>
      </c>
      <c r="C501" t="str">
        <f>tblComponents[Product_Family]</f>
        <v>Powertrain</v>
      </c>
      <c r="D501" t="str">
        <f>tblComponents[Category]</f>
        <v>Metal</v>
      </c>
      <c r="E501" t="str">
        <f>tblComponents[Sourcing_Type]</f>
        <v>Buy</v>
      </c>
      <c r="F501" t="str">
        <f>tblComponents[Criticality]</f>
        <v>Medium</v>
      </c>
      <c r="G501">
        <f>tblComponents[Monthly_Demand]</f>
        <v>462</v>
      </c>
      <c r="H501">
        <f>tblComponents[Demand_Growth_Rate]</f>
        <v>-2.1639795724020819E-2</v>
      </c>
      <c r="I501">
        <f>tblComponents[Forecast_Demand]</f>
        <v>452</v>
      </c>
      <c r="J501">
        <f>tblComponents[Annual_Demand]</f>
        <v>94140</v>
      </c>
      <c r="K501">
        <f>tblComponents[Demand_Variability]</f>
        <v>0.14180000000000001</v>
      </c>
      <c r="L501">
        <f t="shared" si="7"/>
        <v>-10</v>
      </c>
    </row>
    <row r="502" spans="1:12" x14ac:dyDescent="0.35">
      <c r="A502" s="8"/>
    </row>
    <row r="503" spans="1:12" x14ac:dyDescent="0.35">
      <c r="A503" s="8"/>
    </row>
    <row r="504" spans="1:12" x14ac:dyDescent="0.35">
      <c r="A504" s="8"/>
    </row>
    <row r="505" spans="1:12" x14ac:dyDescent="0.35">
      <c r="A505" s="8"/>
    </row>
    <row r="506" spans="1:12" x14ac:dyDescent="0.35">
      <c r="A506" s="8"/>
    </row>
    <row r="507" spans="1:12" x14ac:dyDescent="0.35">
      <c r="A507" s="8"/>
    </row>
    <row r="508" spans="1:12" x14ac:dyDescent="0.35">
      <c r="A508" s="8"/>
    </row>
    <row r="509" spans="1:12" x14ac:dyDescent="0.35">
      <c r="A509" s="8"/>
    </row>
    <row r="510" spans="1:12" x14ac:dyDescent="0.35">
      <c r="A510" s="8"/>
    </row>
    <row r="511" spans="1:12" x14ac:dyDescent="0.35">
      <c r="A511" s="8"/>
    </row>
    <row r="512" spans="1:12" x14ac:dyDescent="0.35">
      <c r="A512" s="8"/>
    </row>
    <row r="513" spans="1:1" x14ac:dyDescent="0.35">
      <c r="A513" s="8"/>
    </row>
    <row r="514" spans="1:1" x14ac:dyDescent="0.35">
      <c r="A514" s="8"/>
    </row>
    <row r="515" spans="1:1" x14ac:dyDescent="0.35">
      <c r="A515" s="8"/>
    </row>
    <row r="516" spans="1:1" x14ac:dyDescent="0.35">
      <c r="A516" s="8"/>
    </row>
    <row r="517" spans="1:1" x14ac:dyDescent="0.35">
      <c r="A517" s="8"/>
    </row>
    <row r="518" spans="1:1" x14ac:dyDescent="0.35">
      <c r="A518" s="8"/>
    </row>
    <row r="519" spans="1:1" x14ac:dyDescent="0.35">
      <c r="A519" s="8"/>
    </row>
    <row r="520" spans="1:1" x14ac:dyDescent="0.35">
      <c r="A520" s="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EF1E8-0EFB-429D-BFB6-232DF3BA1833}">
  <dimension ref="A1:T502"/>
  <sheetViews>
    <sheetView topLeftCell="M1" zoomScale="96" zoomScaleNormal="70" workbookViewId="0">
      <selection activeCell="M5" sqref="M5"/>
    </sheetView>
  </sheetViews>
  <sheetFormatPr defaultRowHeight="14.5" x14ac:dyDescent="0.35"/>
  <cols>
    <col min="1" max="1" width="13.54296875" bestFit="1" customWidth="1"/>
    <col min="2" max="2" width="16.6328125" bestFit="1" customWidth="1"/>
    <col min="3" max="3" width="13.7265625" bestFit="1" customWidth="1"/>
    <col min="4" max="4" width="13" bestFit="1" customWidth="1"/>
    <col min="5" max="5" width="8.54296875" bestFit="1" customWidth="1"/>
    <col min="6" max="6" width="16" bestFit="1" customWidth="1"/>
    <col min="7" max="7" width="17" bestFit="1" customWidth="1"/>
    <col min="8" max="8" width="11.26953125" bestFit="1" customWidth="1"/>
    <col min="9" max="9" width="15.6328125" bestFit="1" customWidth="1"/>
    <col min="10" max="10" width="10.90625" style="15" bestFit="1" customWidth="1"/>
    <col min="11" max="11" width="17.54296875" bestFit="1" customWidth="1"/>
    <col min="12" max="12" width="14.7265625" bestFit="1" customWidth="1"/>
    <col min="13" max="13" width="34.08984375" bestFit="1" customWidth="1"/>
    <col min="15" max="15" width="21.7265625" bestFit="1" customWidth="1"/>
    <col min="16" max="16" width="11.453125" bestFit="1" customWidth="1"/>
    <col min="17" max="17" width="11.81640625" bestFit="1" customWidth="1"/>
  </cols>
  <sheetData>
    <row r="1" spans="1:20" x14ac:dyDescent="0.35">
      <c r="A1" s="7" t="s">
        <v>492</v>
      </c>
      <c r="B1" s="7" t="s">
        <v>493</v>
      </c>
      <c r="C1" s="7" t="s">
        <v>494</v>
      </c>
      <c r="D1" s="7" t="s">
        <v>497</v>
      </c>
      <c r="E1" s="7" t="s">
        <v>93</v>
      </c>
      <c r="F1" s="7" t="s">
        <v>500</v>
      </c>
      <c r="G1" s="7" t="s">
        <v>501</v>
      </c>
      <c r="H1" s="7" t="s">
        <v>502</v>
      </c>
      <c r="I1" s="7" t="s">
        <v>536</v>
      </c>
      <c r="J1" s="14" t="s">
        <v>510</v>
      </c>
      <c r="K1" s="7" t="s">
        <v>538</v>
      </c>
      <c r="L1" s="7" t="s">
        <v>1688</v>
      </c>
      <c r="M1" s="7" t="s">
        <v>1689</v>
      </c>
    </row>
    <row r="2" spans="1:20" x14ac:dyDescent="0.35">
      <c r="A2" s="12" t="str">
        <f>tblComponents[Component_ID]</f>
        <v>C001</v>
      </c>
      <c r="B2" s="12" t="str">
        <f>tblComponents[Component_Name]</f>
        <v>Component 001</v>
      </c>
      <c r="C2" t="str">
        <f>tblComponents[Product_Family]</f>
        <v>Powertrain</v>
      </c>
      <c r="D2" t="str">
        <f>tblComponents[Sourcing_Type]</f>
        <v>Make</v>
      </c>
      <c r="E2" t="str">
        <f>tblComponents[Criticality]</f>
        <v>Medium</v>
      </c>
      <c r="F2">
        <f>tblComponents[Forecast_Demand]</f>
        <v>657</v>
      </c>
      <c r="G2">
        <f>tblComponents[Opening_Inventory]</f>
        <v>1130</v>
      </c>
      <c r="H2">
        <f>tblComponents[Safety_Stock]</f>
        <v>98</v>
      </c>
      <c r="I2">
        <f>MAX(0,F2+H2-G2)</f>
        <v>0</v>
      </c>
      <c r="J2" s="15">
        <f>tblComponents[Defect_Rate]</f>
        <v>1.5100000000000001E-2</v>
      </c>
      <c r="K2">
        <f>IFERROR(I2/(1-J2),0)</f>
        <v>0</v>
      </c>
      <c r="L2" t="str">
        <f>IF(D2="Make","Production","Procurement")</f>
        <v>Production</v>
      </c>
      <c r="M2">
        <f>K2</f>
        <v>0</v>
      </c>
      <c r="O2" s="9" t="s">
        <v>1690</v>
      </c>
      <c r="S2" t="s">
        <v>1686</v>
      </c>
      <c r="T2" s="1" t="s">
        <v>1699</v>
      </c>
    </row>
    <row r="3" spans="1:20" x14ac:dyDescent="0.35">
      <c r="A3" s="12" t="str">
        <f>tblComponents[Component_ID]</f>
        <v>C002</v>
      </c>
      <c r="B3" s="12" t="str">
        <f>tblComponents[Component_Name]</f>
        <v>Component 002</v>
      </c>
      <c r="C3" t="str">
        <f>tblComponents[Product_Family]</f>
        <v>Chassis</v>
      </c>
      <c r="D3" t="str">
        <f>tblComponents[Sourcing_Type]</f>
        <v>Make</v>
      </c>
      <c r="E3" t="str">
        <f>tblComponents[Criticality]</f>
        <v>Low</v>
      </c>
      <c r="F3">
        <f>tblComponents[Forecast_Demand]</f>
        <v>781</v>
      </c>
      <c r="G3">
        <f>tblComponents[Opening_Inventory]</f>
        <v>4186</v>
      </c>
      <c r="H3">
        <f>tblComponents[Safety_Stock]</f>
        <v>1546</v>
      </c>
      <c r="I3">
        <f t="shared" ref="I3:I66" si="0">MAX(0,F3+H3-G3)</f>
        <v>0</v>
      </c>
      <c r="J3" s="15">
        <f>tblComponents[Defect_Rate]</f>
        <v>5.4000000000000003E-3</v>
      </c>
      <c r="K3">
        <f t="shared" ref="K3:K66" si="1">IFERROR(I3/(1-J3),0)</f>
        <v>0</v>
      </c>
      <c r="L3" t="str">
        <f t="shared" ref="L3:L66" si="2">IF(D3="Make","Production","Procurement")</f>
        <v>Production</v>
      </c>
      <c r="M3">
        <f t="shared" ref="M3:M66" si="3">K3</f>
        <v>0</v>
      </c>
      <c r="O3" s="13" t="s">
        <v>1691</v>
      </c>
      <c r="P3" s="13" t="s">
        <v>1677</v>
      </c>
      <c r="Q3" s="13" t="s">
        <v>1692</v>
      </c>
    </row>
    <row r="4" spans="1:20" x14ac:dyDescent="0.35">
      <c r="A4" s="12" t="str">
        <f>tblComponents[Component_ID]</f>
        <v>C003</v>
      </c>
      <c r="B4" s="12" t="str">
        <f>tblComponents[Component_Name]</f>
        <v>Component 003</v>
      </c>
      <c r="C4" t="str">
        <f>tblComponents[Product_Family]</f>
        <v>Electrical Systems</v>
      </c>
      <c r="D4" t="str">
        <f>tblComponents[Sourcing_Type]</f>
        <v>Make</v>
      </c>
      <c r="E4" t="str">
        <f>tblComponents[Criticality]</f>
        <v>Medium</v>
      </c>
      <c r="F4">
        <f>tblComponents[Forecast_Demand]</f>
        <v>294</v>
      </c>
      <c r="G4">
        <f>tblComponents[Opening_Inventory]</f>
        <v>7776</v>
      </c>
      <c r="H4">
        <f>tblComponents[Safety_Stock]</f>
        <v>1143</v>
      </c>
      <c r="I4">
        <f t="shared" si="0"/>
        <v>0</v>
      </c>
      <c r="J4" s="15">
        <f>tblComponents[Defect_Rate]</f>
        <v>1.6899999999999998E-2</v>
      </c>
      <c r="K4">
        <f t="shared" si="1"/>
        <v>0</v>
      </c>
      <c r="L4" t="str">
        <f t="shared" si="2"/>
        <v>Production</v>
      </c>
      <c r="M4">
        <f t="shared" si="3"/>
        <v>0</v>
      </c>
      <c r="O4" s="7" t="s">
        <v>157</v>
      </c>
      <c r="P4" s="7">
        <f>COUNTIF(L:L,"Production")</f>
        <v>300</v>
      </c>
      <c r="Q4" s="7">
        <f>SUMIF(L:L,"Production",M:M)</f>
        <v>18065.531477560155</v>
      </c>
    </row>
    <row r="5" spans="1:20" x14ac:dyDescent="0.35">
      <c r="A5" s="12" t="str">
        <f>tblComponents[Component_ID]</f>
        <v>C004</v>
      </c>
      <c r="B5" s="12" t="str">
        <f>tblComponents[Component_Name]</f>
        <v>Component 004</v>
      </c>
      <c r="C5" t="str">
        <f>tblComponents[Product_Family]</f>
        <v>Powertrain</v>
      </c>
      <c r="D5" t="str">
        <f>tblComponents[Sourcing_Type]</f>
        <v>Make</v>
      </c>
      <c r="E5" t="str">
        <f>tblComponents[Criticality]</f>
        <v>High</v>
      </c>
      <c r="F5">
        <f>tblComponents[Forecast_Demand]</f>
        <v>1580</v>
      </c>
      <c r="G5">
        <f>tblComponents[Opening_Inventory]</f>
        <v>2893</v>
      </c>
      <c r="H5">
        <f>tblComponents[Safety_Stock]</f>
        <v>253</v>
      </c>
      <c r="I5">
        <f t="shared" si="0"/>
        <v>0</v>
      </c>
      <c r="J5" s="15">
        <f>tblComponents[Defect_Rate]</f>
        <v>6.8999999999999999E-3</v>
      </c>
      <c r="K5">
        <f t="shared" si="1"/>
        <v>0</v>
      </c>
      <c r="L5" t="str">
        <f t="shared" si="2"/>
        <v>Production</v>
      </c>
      <c r="M5">
        <f t="shared" si="3"/>
        <v>0</v>
      </c>
      <c r="O5" s="7" t="s">
        <v>1693</v>
      </c>
      <c r="P5" s="7">
        <f>COUNTIF(L:L,"Procurement")</f>
        <v>200</v>
      </c>
      <c r="Q5" s="7">
        <f>SUMIF(L:L,"Procurement",M:M)</f>
        <v>13941</v>
      </c>
    </row>
    <row r="6" spans="1:20" x14ac:dyDescent="0.35">
      <c r="A6" s="12" t="str">
        <f>tblComponents[Component_ID]</f>
        <v>C005</v>
      </c>
      <c r="B6" s="12" t="str">
        <f>tblComponents[Component_Name]</f>
        <v>Component 005</v>
      </c>
      <c r="C6" t="str">
        <f>tblComponents[Product_Family]</f>
        <v>Powertrain</v>
      </c>
      <c r="D6" t="str">
        <f>tblComponents[Sourcing_Type]</f>
        <v>Make</v>
      </c>
      <c r="E6" t="str">
        <f>tblComponents[Criticality]</f>
        <v>Medium</v>
      </c>
      <c r="F6">
        <f>tblComponents[Forecast_Demand]</f>
        <v>1321</v>
      </c>
      <c r="G6">
        <f>tblComponents[Opening_Inventory]</f>
        <v>2586</v>
      </c>
      <c r="H6">
        <f>tblComponents[Safety_Stock]</f>
        <v>305</v>
      </c>
      <c r="I6">
        <f t="shared" si="0"/>
        <v>0</v>
      </c>
      <c r="J6" s="15">
        <f>tblComponents[Defect_Rate]</f>
        <v>2.76E-2</v>
      </c>
      <c r="K6">
        <f t="shared" si="1"/>
        <v>0</v>
      </c>
      <c r="L6" t="str">
        <f t="shared" si="2"/>
        <v>Production</v>
      </c>
      <c r="M6">
        <f t="shared" si="3"/>
        <v>0</v>
      </c>
      <c r="O6" s="7" t="s">
        <v>1678</v>
      </c>
      <c r="P6" s="7"/>
      <c r="Q6" s="7">
        <f>SUM(M:M)</f>
        <v>32006.531477560155</v>
      </c>
    </row>
    <row r="7" spans="1:20" x14ac:dyDescent="0.35">
      <c r="A7" s="12" t="str">
        <f>tblComponents[Component_ID]</f>
        <v>C006</v>
      </c>
      <c r="B7" s="12" t="str">
        <f>tblComponents[Component_Name]</f>
        <v>Component 006</v>
      </c>
      <c r="C7" t="str">
        <f>tblComponents[Product_Family]</f>
        <v>Interior</v>
      </c>
      <c r="D7" t="str">
        <f>tblComponents[Sourcing_Type]</f>
        <v>Make</v>
      </c>
      <c r="E7" t="str">
        <f>tblComponents[Criticality]</f>
        <v>Medium</v>
      </c>
      <c r="F7">
        <f>tblComponents[Forecast_Demand]</f>
        <v>927</v>
      </c>
      <c r="G7">
        <f>tblComponents[Opening_Inventory]</f>
        <v>8535</v>
      </c>
      <c r="H7">
        <f>tblComponents[Safety_Stock]</f>
        <v>1008</v>
      </c>
      <c r="I7">
        <f t="shared" si="0"/>
        <v>0</v>
      </c>
      <c r="J7" s="15">
        <f>tblComponents[Defect_Rate]</f>
        <v>1.61E-2</v>
      </c>
      <c r="K7">
        <f t="shared" si="1"/>
        <v>0</v>
      </c>
      <c r="L7" t="str">
        <f t="shared" si="2"/>
        <v>Production</v>
      </c>
      <c r="M7">
        <f t="shared" si="3"/>
        <v>0</v>
      </c>
    </row>
    <row r="8" spans="1:20" x14ac:dyDescent="0.35">
      <c r="A8" s="12" t="str">
        <f>tblComponents[Component_ID]</f>
        <v>C007</v>
      </c>
      <c r="B8" s="12" t="str">
        <f>tblComponents[Component_Name]</f>
        <v>Component 007</v>
      </c>
      <c r="C8" t="str">
        <f>tblComponents[Product_Family]</f>
        <v>Electrical Systems</v>
      </c>
      <c r="D8" t="str">
        <f>tblComponents[Sourcing_Type]</f>
        <v>Make</v>
      </c>
      <c r="E8" t="str">
        <f>tblComponents[Criticality]</f>
        <v>Medium</v>
      </c>
      <c r="F8">
        <f>tblComponents[Forecast_Demand]</f>
        <v>1646</v>
      </c>
      <c r="G8">
        <f>tblComponents[Opening_Inventory]</f>
        <v>1286</v>
      </c>
      <c r="H8">
        <f>tblComponents[Safety_Stock]</f>
        <v>361</v>
      </c>
      <c r="I8">
        <f t="shared" si="0"/>
        <v>721</v>
      </c>
      <c r="J8" s="15">
        <f>tblComponents[Defect_Rate]</f>
        <v>5.5999999999999999E-3</v>
      </c>
      <c r="K8">
        <f t="shared" si="1"/>
        <v>725.06033789219634</v>
      </c>
      <c r="L8" t="str">
        <f t="shared" si="2"/>
        <v>Production</v>
      </c>
      <c r="M8">
        <f t="shared" si="3"/>
        <v>725.06033789219634</v>
      </c>
      <c r="O8" s="1" t="s">
        <v>1694</v>
      </c>
    </row>
    <row r="9" spans="1:20" x14ac:dyDescent="0.35">
      <c r="A9" s="12" t="str">
        <f>tblComponents[Component_ID]</f>
        <v>C008</v>
      </c>
      <c r="B9" s="12" t="str">
        <f>tblComponents[Component_Name]</f>
        <v>Component 008</v>
      </c>
      <c r="C9" t="str">
        <f>tblComponents[Product_Family]</f>
        <v>Electrical Systems</v>
      </c>
      <c r="D9" t="str">
        <f>tblComponents[Sourcing_Type]</f>
        <v>Make</v>
      </c>
      <c r="E9" t="str">
        <f>tblComponents[Criticality]</f>
        <v>High</v>
      </c>
      <c r="F9">
        <f>tblComponents[Forecast_Demand]</f>
        <v>498</v>
      </c>
      <c r="G9">
        <f>tblComponents[Opening_Inventory]</f>
        <v>7930</v>
      </c>
      <c r="H9">
        <f>tblComponents[Safety_Stock]</f>
        <v>1171</v>
      </c>
      <c r="I9">
        <f t="shared" si="0"/>
        <v>0</v>
      </c>
      <c r="J9" s="15">
        <f>tblComponents[Defect_Rate]</f>
        <v>2.41E-2</v>
      </c>
      <c r="K9">
        <f t="shared" si="1"/>
        <v>0</v>
      </c>
      <c r="L9" t="str">
        <f t="shared" si="2"/>
        <v>Production</v>
      </c>
      <c r="M9">
        <f t="shared" si="3"/>
        <v>0</v>
      </c>
      <c r="O9" s="7" t="s">
        <v>1665</v>
      </c>
      <c r="P9" t="s">
        <v>1666</v>
      </c>
    </row>
    <row r="10" spans="1:20" x14ac:dyDescent="0.35">
      <c r="A10" s="12" t="str">
        <f>tblComponents[Component_ID]</f>
        <v>C009</v>
      </c>
      <c r="B10" s="12" t="str">
        <f>tblComponents[Component_Name]</f>
        <v>Component 009</v>
      </c>
      <c r="C10" t="str">
        <f>tblComponents[Product_Family]</f>
        <v>Powertrain</v>
      </c>
      <c r="D10" t="str">
        <f>tblComponents[Sourcing_Type]</f>
        <v>Make</v>
      </c>
      <c r="E10" t="str">
        <f>tblComponents[Criticality]</f>
        <v>High</v>
      </c>
      <c r="F10">
        <f>tblComponents[Forecast_Demand]</f>
        <v>196</v>
      </c>
      <c r="G10">
        <f>tblComponents[Opening_Inventory]</f>
        <v>6543</v>
      </c>
      <c r="H10">
        <f>tblComponents[Safety_Stock]</f>
        <v>815</v>
      </c>
      <c r="I10">
        <f t="shared" si="0"/>
        <v>0</v>
      </c>
      <c r="J10" s="15">
        <f>tblComponents[Defect_Rate]</f>
        <v>1.3899999999999999E-2</v>
      </c>
      <c r="K10">
        <f t="shared" si="1"/>
        <v>0</v>
      </c>
      <c r="L10" t="str">
        <f t="shared" si="2"/>
        <v>Production</v>
      </c>
      <c r="M10">
        <f t="shared" si="3"/>
        <v>0</v>
      </c>
      <c r="O10" s="7" t="s">
        <v>1675</v>
      </c>
      <c r="P10" s="7">
        <f>SUM(F:F)</f>
        <v>544289</v>
      </c>
    </row>
    <row r="11" spans="1:20" x14ac:dyDescent="0.35">
      <c r="A11" s="12" t="str">
        <f>tblComponents[Component_ID]</f>
        <v>C010</v>
      </c>
      <c r="B11" s="12" t="str">
        <f>tblComponents[Component_Name]</f>
        <v>Component 010</v>
      </c>
      <c r="C11" t="str">
        <f>tblComponents[Product_Family]</f>
        <v>Electrical Systems</v>
      </c>
      <c r="D11" t="str">
        <f>tblComponents[Sourcing_Type]</f>
        <v>Make</v>
      </c>
      <c r="E11" t="str">
        <f>tblComponents[Criticality]</f>
        <v>Low</v>
      </c>
      <c r="F11">
        <f>tblComponents[Forecast_Demand]</f>
        <v>1989</v>
      </c>
      <c r="G11">
        <f>tblComponents[Opening_Inventory]</f>
        <v>4604</v>
      </c>
      <c r="H11">
        <f>tblComponents[Safety_Stock]</f>
        <v>1505</v>
      </c>
      <c r="I11">
        <f t="shared" si="0"/>
        <v>0</v>
      </c>
      <c r="J11" s="15">
        <f>tblComponents[Defect_Rate]</f>
        <v>3.7000000000000002E-3</v>
      </c>
      <c r="K11">
        <f t="shared" si="1"/>
        <v>0</v>
      </c>
      <c r="L11" t="str">
        <f t="shared" si="2"/>
        <v>Production</v>
      </c>
      <c r="M11">
        <f t="shared" si="3"/>
        <v>0</v>
      </c>
      <c r="O11" s="7" t="s">
        <v>1695</v>
      </c>
      <c r="P11" s="7">
        <f>SUM(G:G)</f>
        <v>2635736</v>
      </c>
    </row>
    <row r="12" spans="1:20" x14ac:dyDescent="0.35">
      <c r="A12" s="12" t="str">
        <f>tblComponents[Component_ID]</f>
        <v>C011</v>
      </c>
      <c r="B12" s="12" t="str">
        <f>tblComponents[Component_Name]</f>
        <v>Component 011</v>
      </c>
      <c r="C12" t="str">
        <f>tblComponents[Product_Family]</f>
        <v>Powertrain</v>
      </c>
      <c r="D12" t="str">
        <f>tblComponents[Sourcing_Type]</f>
        <v>Make</v>
      </c>
      <c r="E12" t="str">
        <f>tblComponents[Criticality]</f>
        <v>Low</v>
      </c>
      <c r="F12">
        <f>tblComponents[Forecast_Demand]</f>
        <v>1495</v>
      </c>
      <c r="G12">
        <f>tblComponents[Opening_Inventory]</f>
        <v>2600</v>
      </c>
      <c r="H12">
        <f>tblComponents[Safety_Stock]</f>
        <v>412</v>
      </c>
      <c r="I12">
        <f t="shared" si="0"/>
        <v>0</v>
      </c>
      <c r="J12" s="15">
        <f>tblComponents[Defect_Rate]</f>
        <v>1.89E-2</v>
      </c>
      <c r="K12">
        <f t="shared" si="1"/>
        <v>0</v>
      </c>
      <c r="L12" t="str">
        <f t="shared" si="2"/>
        <v>Production</v>
      </c>
      <c r="M12">
        <f t="shared" si="3"/>
        <v>0</v>
      </c>
      <c r="O12" s="7" t="s">
        <v>1696</v>
      </c>
      <c r="P12" s="7">
        <f>SUM(H:H)</f>
        <v>424612</v>
      </c>
    </row>
    <row r="13" spans="1:20" x14ac:dyDescent="0.35">
      <c r="A13" s="12" t="str">
        <f>tblComponents[Component_ID]</f>
        <v>C012</v>
      </c>
      <c r="B13" s="12" t="str">
        <f>tblComponents[Component_Name]</f>
        <v>Component 012</v>
      </c>
      <c r="C13" t="str">
        <f>tblComponents[Product_Family]</f>
        <v>Interior</v>
      </c>
      <c r="D13" t="str">
        <f>tblComponents[Sourcing_Type]</f>
        <v>Make</v>
      </c>
      <c r="E13" t="str">
        <f>tblComponents[Criticality]</f>
        <v>Medium</v>
      </c>
      <c r="F13">
        <f>tblComponents[Forecast_Demand]</f>
        <v>443</v>
      </c>
      <c r="G13">
        <f>tblComponents[Opening_Inventory]</f>
        <v>5920</v>
      </c>
      <c r="H13">
        <f>tblComponents[Safety_Stock]</f>
        <v>1705</v>
      </c>
      <c r="I13">
        <f t="shared" si="0"/>
        <v>0</v>
      </c>
      <c r="J13" s="15">
        <f>tblComponents[Defect_Rate]</f>
        <v>7.7999999999999996E-3</v>
      </c>
      <c r="K13">
        <f t="shared" si="1"/>
        <v>0</v>
      </c>
      <c r="L13" t="str">
        <f t="shared" si="2"/>
        <v>Production</v>
      </c>
      <c r="M13">
        <f t="shared" si="3"/>
        <v>0</v>
      </c>
      <c r="O13" s="7" t="s">
        <v>1697</v>
      </c>
      <c r="P13" s="7">
        <f>SUM(I:I)</f>
        <v>31745</v>
      </c>
    </row>
    <row r="14" spans="1:20" x14ac:dyDescent="0.35">
      <c r="A14" s="12" t="str">
        <f>tblComponents[Component_ID]</f>
        <v>C013</v>
      </c>
      <c r="B14" s="12" t="str">
        <f>tblComponents[Component_Name]</f>
        <v>Component 013</v>
      </c>
      <c r="C14" t="str">
        <f>tblComponents[Product_Family]</f>
        <v>Electrical Systems</v>
      </c>
      <c r="D14" t="str">
        <f>tblComponents[Sourcing_Type]</f>
        <v>Make</v>
      </c>
      <c r="E14" t="str">
        <f>tblComponents[Criticality]</f>
        <v>Low</v>
      </c>
      <c r="F14">
        <f>tblComponents[Forecast_Demand]</f>
        <v>1065</v>
      </c>
      <c r="G14">
        <f>tblComponents[Opening_Inventory]</f>
        <v>9279</v>
      </c>
      <c r="H14">
        <f>tblComponents[Safety_Stock]</f>
        <v>1282</v>
      </c>
      <c r="I14">
        <f t="shared" si="0"/>
        <v>0</v>
      </c>
      <c r="J14" s="15">
        <f>tblComponents[Defect_Rate]</f>
        <v>2.0500000000000001E-2</v>
      </c>
      <c r="K14">
        <f t="shared" si="1"/>
        <v>0</v>
      </c>
      <c r="L14" t="str">
        <f t="shared" si="2"/>
        <v>Production</v>
      </c>
      <c r="M14">
        <f t="shared" si="3"/>
        <v>0</v>
      </c>
      <c r="O14" s="7" t="s">
        <v>1698</v>
      </c>
      <c r="P14">
        <f>SUM(K:K)</f>
        <v>32006.531477560155</v>
      </c>
    </row>
    <row r="15" spans="1:20" x14ac:dyDescent="0.35">
      <c r="A15" s="12" t="str">
        <f>tblComponents[Component_ID]</f>
        <v>C014</v>
      </c>
      <c r="B15" s="12" t="str">
        <f>tblComponents[Component_Name]</f>
        <v>Component 014</v>
      </c>
      <c r="C15" t="str">
        <f>tblComponents[Product_Family]</f>
        <v>Chassis</v>
      </c>
      <c r="D15" t="str">
        <f>tblComponents[Sourcing_Type]</f>
        <v>Make</v>
      </c>
      <c r="E15" t="str">
        <f>tblComponents[Criticality]</f>
        <v>Medium</v>
      </c>
      <c r="F15">
        <f>tblComponents[Forecast_Demand]</f>
        <v>683</v>
      </c>
      <c r="G15">
        <f>tblComponents[Opening_Inventory]</f>
        <v>11078</v>
      </c>
      <c r="H15">
        <f>tblComponents[Safety_Stock]</f>
        <v>586</v>
      </c>
      <c r="I15">
        <f t="shared" si="0"/>
        <v>0</v>
      </c>
      <c r="J15" s="15">
        <f>tblComponents[Defect_Rate]</f>
        <v>2.0799999999999999E-2</v>
      </c>
      <c r="K15">
        <f t="shared" si="1"/>
        <v>0</v>
      </c>
      <c r="L15" t="str">
        <f t="shared" si="2"/>
        <v>Production</v>
      </c>
      <c r="M15">
        <f t="shared" si="3"/>
        <v>0</v>
      </c>
    </row>
    <row r="16" spans="1:20" x14ac:dyDescent="0.35">
      <c r="A16" s="12" t="str">
        <f>tblComponents[Component_ID]</f>
        <v>C015</v>
      </c>
      <c r="B16" s="12" t="str">
        <f>tblComponents[Component_Name]</f>
        <v>Component 015</v>
      </c>
      <c r="C16" t="str">
        <f>tblComponents[Product_Family]</f>
        <v>Chassis</v>
      </c>
      <c r="D16" t="str">
        <f>tblComponents[Sourcing_Type]</f>
        <v>Make</v>
      </c>
      <c r="E16" t="str">
        <f>tblComponents[Criticality]</f>
        <v>Medium</v>
      </c>
      <c r="F16">
        <f>tblComponents[Forecast_Demand]</f>
        <v>246</v>
      </c>
      <c r="G16">
        <f>tblComponents[Opening_Inventory]</f>
        <v>4787</v>
      </c>
      <c r="H16">
        <f>tblComponents[Safety_Stock]</f>
        <v>822</v>
      </c>
      <c r="I16">
        <f t="shared" si="0"/>
        <v>0</v>
      </c>
      <c r="J16" s="15">
        <f>tblComponents[Defect_Rate]</f>
        <v>2.4500000000000001E-2</v>
      </c>
      <c r="K16">
        <f t="shared" si="1"/>
        <v>0</v>
      </c>
      <c r="L16" t="str">
        <f t="shared" si="2"/>
        <v>Production</v>
      </c>
      <c r="M16">
        <f t="shared" si="3"/>
        <v>0</v>
      </c>
    </row>
    <row r="17" spans="1:13" x14ac:dyDescent="0.35">
      <c r="A17" s="12" t="str">
        <f>tblComponents[Component_ID]</f>
        <v>C016</v>
      </c>
      <c r="B17" s="12" t="str">
        <f>tblComponents[Component_Name]</f>
        <v>Component 016</v>
      </c>
      <c r="C17" t="str">
        <f>tblComponents[Product_Family]</f>
        <v>Interior</v>
      </c>
      <c r="D17" t="str">
        <f>tblComponents[Sourcing_Type]</f>
        <v>Make</v>
      </c>
      <c r="E17" t="str">
        <f>tblComponents[Criticality]</f>
        <v>Medium</v>
      </c>
      <c r="F17">
        <f>tblComponents[Forecast_Demand]</f>
        <v>333</v>
      </c>
      <c r="G17">
        <f>tblComponents[Opening_Inventory]</f>
        <v>8883</v>
      </c>
      <c r="H17">
        <f>tblComponents[Safety_Stock]</f>
        <v>1066</v>
      </c>
      <c r="I17">
        <f t="shared" si="0"/>
        <v>0</v>
      </c>
      <c r="J17" s="15">
        <f>tblComponents[Defect_Rate]</f>
        <v>1.35E-2</v>
      </c>
      <c r="K17">
        <f t="shared" si="1"/>
        <v>0</v>
      </c>
      <c r="L17" t="str">
        <f t="shared" si="2"/>
        <v>Production</v>
      </c>
      <c r="M17">
        <f t="shared" si="3"/>
        <v>0</v>
      </c>
    </row>
    <row r="18" spans="1:13" x14ac:dyDescent="0.35">
      <c r="A18" s="12" t="str">
        <f>tblComponents[Component_ID]</f>
        <v>C017</v>
      </c>
      <c r="B18" s="12" t="str">
        <f>tblComponents[Component_Name]</f>
        <v>Component 017</v>
      </c>
      <c r="C18" t="str">
        <f>tblComponents[Product_Family]</f>
        <v>Electrical Systems</v>
      </c>
      <c r="D18" t="str">
        <f>tblComponents[Sourcing_Type]</f>
        <v>Make</v>
      </c>
      <c r="E18" t="str">
        <f>tblComponents[Criticality]</f>
        <v>Medium</v>
      </c>
      <c r="F18">
        <f>tblComponents[Forecast_Demand]</f>
        <v>2281</v>
      </c>
      <c r="G18">
        <f>tblComponents[Opening_Inventory]</f>
        <v>10592</v>
      </c>
      <c r="H18">
        <f>tblComponents[Safety_Stock]</f>
        <v>1296</v>
      </c>
      <c r="I18">
        <f t="shared" si="0"/>
        <v>0</v>
      </c>
      <c r="J18" s="15">
        <f>tblComponents[Defect_Rate]</f>
        <v>1.2500000000000001E-2</v>
      </c>
      <c r="K18">
        <f t="shared" si="1"/>
        <v>0</v>
      </c>
      <c r="L18" t="str">
        <f t="shared" si="2"/>
        <v>Production</v>
      </c>
      <c r="M18">
        <f t="shared" si="3"/>
        <v>0</v>
      </c>
    </row>
    <row r="19" spans="1:13" x14ac:dyDescent="0.35">
      <c r="A19" s="12" t="str">
        <f>tblComponents[Component_ID]</f>
        <v>C018</v>
      </c>
      <c r="B19" s="12" t="str">
        <f>tblComponents[Component_Name]</f>
        <v>Component 018</v>
      </c>
      <c r="C19" t="str">
        <f>tblComponents[Product_Family]</f>
        <v>Electrical Systems</v>
      </c>
      <c r="D19" t="str">
        <f>tblComponents[Sourcing_Type]</f>
        <v>Make</v>
      </c>
      <c r="E19" t="str">
        <f>tblComponents[Criticality]</f>
        <v>Low</v>
      </c>
      <c r="F19">
        <f>tblComponents[Forecast_Demand]</f>
        <v>290</v>
      </c>
      <c r="G19">
        <f>tblComponents[Opening_Inventory]</f>
        <v>3545</v>
      </c>
      <c r="H19">
        <f>tblComponents[Safety_Stock]</f>
        <v>532</v>
      </c>
      <c r="I19">
        <f t="shared" si="0"/>
        <v>0</v>
      </c>
      <c r="J19" s="15">
        <f>tblComponents[Defect_Rate]</f>
        <v>1.9300000000000001E-2</v>
      </c>
      <c r="K19">
        <f t="shared" si="1"/>
        <v>0</v>
      </c>
      <c r="L19" t="str">
        <f t="shared" si="2"/>
        <v>Production</v>
      </c>
      <c r="M19">
        <f t="shared" si="3"/>
        <v>0</v>
      </c>
    </row>
    <row r="20" spans="1:13" x14ac:dyDescent="0.35">
      <c r="A20" s="12" t="str">
        <f>tblComponents[Component_ID]</f>
        <v>C019</v>
      </c>
      <c r="B20" s="12" t="str">
        <f>tblComponents[Component_Name]</f>
        <v>Component 019</v>
      </c>
      <c r="C20" t="str">
        <f>tblComponents[Product_Family]</f>
        <v>Body &amp; Exterior</v>
      </c>
      <c r="D20" t="str">
        <f>tblComponents[Sourcing_Type]</f>
        <v>Make</v>
      </c>
      <c r="E20" t="str">
        <f>tblComponents[Criticality]</f>
        <v>Medium</v>
      </c>
      <c r="F20">
        <f>tblComponents[Forecast_Demand]</f>
        <v>597</v>
      </c>
      <c r="G20">
        <f>tblComponents[Opening_Inventory]</f>
        <v>11618</v>
      </c>
      <c r="H20">
        <f>tblComponents[Safety_Stock]</f>
        <v>2301</v>
      </c>
      <c r="I20">
        <f t="shared" si="0"/>
        <v>0</v>
      </c>
      <c r="J20" s="15">
        <f>tblComponents[Defect_Rate]</f>
        <v>5.0000000000000001E-3</v>
      </c>
      <c r="K20">
        <f t="shared" si="1"/>
        <v>0</v>
      </c>
      <c r="L20" t="str">
        <f t="shared" si="2"/>
        <v>Production</v>
      </c>
      <c r="M20">
        <f t="shared" si="3"/>
        <v>0</v>
      </c>
    </row>
    <row r="21" spans="1:13" x14ac:dyDescent="0.35">
      <c r="A21" s="12" t="str">
        <f>tblComponents[Component_ID]</f>
        <v>C020</v>
      </c>
      <c r="B21" s="12" t="str">
        <f>tblComponents[Component_Name]</f>
        <v>Component 020</v>
      </c>
      <c r="C21" t="str">
        <f>tblComponents[Product_Family]</f>
        <v>Chassis</v>
      </c>
      <c r="D21" t="str">
        <f>tblComponents[Sourcing_Type]</f>
        <v>Make</v>
      </c>
      <c r="E21" t="str">
        <f>tblComponents[Criticality]</f>
        <v>Medium</v>
      </c>
      <c r="F21">
        <f>tblComponents[Forecast_Demand]</f>
        <v>481</v>
      </c>
      <c r="G21">
        <f>tblComponents[Opening_Inventory]</f>
        <v>4664</v>
      </c>
      <c r="H21">
        <f>tblComponents[Safety_Stock]</f>
        <v>422</v>
      </c>
      <c r="I21">
        <f t="shared" si="0"/>
        <v>0</v>
      </c>
      <c r="J21" s="15">
        <f>tblComponents[Defect_Rate]</f>
        <v>1.46E-2</v>
      </c>
      <c r="K21">
        <f t="shared" si="1"/>
        <v>0</v>
      </c>
      <c r="L21" t="str">
        <f t="shared" si="2"/>
        <v>Production</v>
      </c>
      <c r="M21">
        <f t="shared" si="3"/>
        <v>0</v>
      </c>
    </row>
    <row r="22" spans="1:13" x14ac:dyDescent="0.35">
      <c r="A22" s="12" t="str">
        <f>tblComponents[Component_ID]</f>
        <v>C021</v>
      </c>
      <c r="B22" s="12" t="str">
        <f>tblComponents[Component_Name]</f>
        <v>Component 021</v>
      </c>
      <c r="C22" t="str">
        <f>tblComponents[Product_Family]</f>
        <v>Body &amp; Exterior</v>
      </c>
      <c r="D22" t="str">
        <f>tblComponents[Sourcing_Type]</f>
        <v>Make</v>
      </c>
      <c r="E22" t="str">
        <f>tblComponents[Criticality]</f>
        <v>Medium</v>
      </c>
      <c r="F22">
        <f>tblComponents[Forecast_Demand]</f>
        <v>1939</v>
      </c>
      <c r="G22">
        <f>tblComponents[Opening_Inventory]</f>
        <v>6886</v>
      </c>
      <c r="H22">
        <f>tblComponents[Safety_Stock]</f>
        <v>1156</v>
      </c>
      <c r="I22">
        <f t="shared" si="0"/>
        <v>0</v>
      </c>
      <c r="J22" s="15">
        <f>tblComponents[Defect_Rate]</f>
        <v>1.46E-2</v>
      </c>
      <c r="K22">
        <f t="shared" si="1"/>
        <v>0</v>
      </c>
      <c r="L22" t="str">
        <f t="shared" si="2"/>
        <v>Production</v>
      </c>
      <c r="M22">
        <f t="shared" si="3"/>
        <v>0</v>
      </c>
    </row>
    <row r="23" spans="1:13" x14ac:dyDescent="0.35">
      <c r="A23" s="12" t="str">
        <f>tblComponents[Component_ID]</f>
        <v>C022</v>
      </c>
      <c r="B23" s="12" t="str">
        <f>tblComponents[Component_Name]</f>
        <v>Component 022</v>
      </c>
      <c r="C23" t="str">
        <f>tblComponents[Product_Family]</f>
        <v>Powertrain</v>
      </c>
      <c r="D23" t="str">
        <f>tblComponents[Sourcing_Type]</f>
        <v>Make</v>
      </c>
      <c r="E23" t="str">
        <f>tblComponents[Criticality]</f>
        <v>Low</v>
      </c>
      <c r="F23">
        <f>tblComponents[Forecast_Demand]</f>
        <v>828</v>
      </c>
      <c r="G23">
        <f>tblComponents[Opening_Inventory]</f>
        <v>4284</v>
      </c>
      <c r="H23">
        <f>tblComponents[Safety_Stock]</f>
        <v>1680</v>
      </c>
      <c r="I23">
        <f t="shared" si="0"/>
        <v>0</v>
      </c>
      <c r="J23" s="15">
        <f>tblComponents[Defect_Rate]</f>
        <v>4.1000000000000003E-3</v>
      </c>
      <c r="K23">
        <f t="shared" si="1"/>
        <v>0</v>
      </c>
      <c r="L23" t="str">
        <f t="shared" si="2"/>
        <v>Production</v>
      </c>
      <c r="M23">
        <f t="shared" si="3"/>
        <v>0</v>
      </c>
    </row>
    <row r="24" spans="1:13" x14ac:dyDescent="0.35">
      <c r="A24" s="12" t="str">
        <f>tblComponents[Component_ID]</f>
        <v>C023</v>
      </c>
      <c r="B24" s="12" t="str">
        <f>tblComponents[Component_Name]</f>
        <v>Component 023</v>
      </c>
      <c r="C24" t="str">
        <f>tblComponents[Product_Family]</f>
        <v>Body &amp; Exterior</v>
      </c>
      <c r="D24" t="str">
        <f>tblComponents[Sourcing_Type]</f>
        <v>Make</v>
      </c>
      <c r="E24" t="str">
        <f>tblComponents[Criticality]</f>
        <v>High</v>
      </c>
      <c r="F24">
        <f>tblComponents[Forecast_Demand]</f>
        <v>1120</v>
      </c>
      <c r="G24">
        <f>tblComponents[Opening_Inventory]</f>
        <v>11555</v>
      </c>
      <c r="H24">
        <f>tblComponents[Safety_Stock]</f>
        <v>886</v>
      </c>
      <c r="I24">
        <f t="shared" si="0"/>
        <v>0</v>
      </c>
      <c r="J24" s="15">
        <f>tblComponents[Defect_Rate]</f>
        <v>1.1599999999999999E-2</v>
      </c>
      <c r="K24">
        <f t="shared" si="1"/>
        <v>0</v>
      </c>
      <c r="L24" t="str">
        <f t="shared" si="2"/>
        <v>Production</v>
      </c>
      <c r="M24">
        <f t="shared" si="3"/>
        <v>0</v>
      </c>
    </row>
    <row r="25" spans="1:13" x14ac:dyDescent="0.35">
      <c r="A25" s="12" t="str">
        <f>tblComponents[Component_ID]</f>
        <v>C024</v>
      </c>
      <c r="B25" s="12" t="str">
        <f>tblComponents[Component_Name]</f>
        <v>Component 024</v>
      </c>
      <c r="C25" t="str">
        <f>tblComponents[Product_Family]</f>
        <v>Interior</v>
      </c>
      <c r="D25" t="str">
        <f>tblComponents[Sourcing_Type]</f>
        <v>Make</v>
      </c>
      <c r="E25" t="str">
        <f>tblComponents[Criticality]</f>
        <v>Low</v>
      </c>
      <c r="F25">
        <f>tblComponents[Forecast_Demand]</f>
        <v>264</v>
      </c>
      <c r="G25">
        <f>tblComponents[Opening_Inventory]</f>
        <v>3341</v>
      </c>
      <c r="H25">
        <f>tblComponents[Safety_Stock]</f>
        <v>1045</v>
      </c>
      <c r="I25">
        <f t="shared" si="0"/>
        <v>0</v>
      </c>
      <c r="J25" s="15">
        <f>tblComponents[Defect_Rate]</f>
        <v>2.1600000000000001E-2</v>
      </c>
      <c r="K25">
        <f t="shared" si="1"/>
        <v>0</v>
      </c>
      <c r="L25" t="str">
        <f t="shared" si="2"/>
        <v>Production</v>
      </c>
      <c r="M25">
        <f t="shared" si="3"/>
        <v>0</v>
      </c>
    </row>
    <row r="26" spans="1:13" x14ac:dyDescent="0.35">
      <c r="A26" s="12" t="str">
        <f>tblComponents[Component_ID]</f>
        <v>C025</v>
      </c>
      <c r="B26" s="12" t="str">
        <f>tblComponents[Component_Name]</f>
        <v>Component 025</v>
      </c>
      <c r="C26" t="str">
        <f>tblComponents[Product_Family]</f>
        <v>Body &amp; Exterior</v>
      </c>
      <c r="D26" t="str">
        <f>tblComponents[Sourcing_Type]</f>
        <v>Make</v>
      </c>
      <c r="E26" t="str">
        <f>tblComponents[Criticality]</f>
        <v>High</v>
      </c>
      <c r="F26">
        <f>tblComponents[Forecast_Demand]</f>
        <v>1483</v>
      </c>
      <c r="G26">
        <f>tblComponents[Opening_Inventory]</f>
        <v>7043</v>
      </c>
      <c r="H26">
        <f>tblComponents[Safety_Stock]</f>
        <v>1065</v>
      </c>
      <c r="I26">
        <f t="shared" si="0"/>
        <v>0</v>
      </c>
      <c r="J26" s="15">
        <f>tblComponents[Defect_Rate]</f>
        <v>2.1700000000000001E-2</v>
      </c>
      <c r="K26">
        <f t="shared" si="1"/>
        <v>0</v>
      </c>
      <c r="L26" t="str">
        <f t="shared" si="2"/>
        <v>Production</v>
      </c>
      <c r="M26">
        <f t="shared" si="3"/>
        <v>0</v>
      </c>
    </row>
    <row r="27" spans="1:13" x14ac:dyDescent="0.35">
      <c r="A27" s="12" t="str">
        <f>tblComponents[Component_ID]</f>
        <v>C026</v>
      </c>
      <c r="B27" s="12" t="str">
        <f>tblComponents[Component_Name]</f>
        <v>Component 026</v>
      </c>
      <c r="C27" t="str">
        <f>tblComponents[Product_Family]</f>
        <v>Electrical Systems</v>
      </c>
      <c r="D27" t="str">
        <f>tblComponents[Sourcing_Type]</f>
        <v>Make</v>
      </c>
      <c r="E27" t="str">
        <f>tblComponents[Criticality]</f>
        <v>Medium</v>
      </c>
      <c r="F27">
        <f>tblComponents[Forecast_Demand]</f>
        <v>2501</v>
      </c>
      <c r="G27">
        <f>tblComponents[Opening_Inventory]</f>
        <v>2660</v>
      </c>
      <c r="H27">
        <f>tblComponents[Safety_Stock]</f>
        <v>549</v>
      </c>
      <c r="I27">
        <f t="shared" si="0"/>
        <v>390</v>
      </c>
      <c r="J27" s="15">
        <f>tblComponents[Defect_Rate]</f>
        <v>4.8999999999999998E-3</v>
      </c>
      <c r="K27">
        <f t="shared" si="1"/>
        <v>391.9204100090443</v>
      </c>
      <c r="L27" t="str">
        <f t="shared" si="2"/>
        <v>Production</v>
      </c>
      <c r="M27">
        <f t="shared" si="3"/>
        <v>391.9204100090443</v>
      </c>
    </row>
    <row r="28" spans="1:13" x14ac:dyDescent="0.35">
      <c r="A28" s="12" t="str">
        <f>tblComponents[Component_ID]</f>
        <v>C027</v>
      </c>
      <c r="B28" s="12" t="str">
        <f>tblComponents[Component_Name]</f>
        <v>Component 027</v>
      </c>
      <c r="C28" t="str">
        <f>tblComponents[Product_Family]</f>
        <v>Chassis</v>
      </c>
      <c r="D28" t="str">
        <f>tblComponents[Sourcing_Type]</f>
        <v>Make</v>
      </c>
      <c r="E28" t="str">
        <f>tblComponents[Criticality]</f>
        <v>Critical</v>
      </c>
      <c r="F28">
        <f>tblComponents[Forecast_Demand]</f>
        <v>336</v>
      </c>
      <c r="G28">
        <f>tblComponents[Opening_Inventory]</f>
        <v>1140</v>
      </c>
      <c r="H28">
        <f>tblComponents[Safety_Stock]</f>
        <v>244</v>
      </c>
      <c r="I28">
        <f t="shared" si="0"/>
        <v>0</v>
      </c>
      <c r="J28" s="15">
        <f>tblComponents[Defect_Rate]</f>
        <v>4.7000000000000002E-3</v>
      </c>
      <c r="K28">
        <f t="shared" si="1"/>
        <v>0</v>
      </c>
      <c r="L28" t="str">
        <f t="shared" si="2"/>
        <v>Production</v>
      </c>
      <c r="M28">
        <f t="shared" si="3"/>
        <v>0</v>
      </c>
    </row>
    <row r="29" spans="1:13" x14ac:dyDescent="0.35">
      <c r="A29" s="12" t="str">
        <f>tblComponents[Component_ID]</f>
        <v>C028</v>
      </c>
      <c r="B29" s="12" t="str">
        <f>tblComponents[Component_Name]</f>
        <v>Component 028</v>
      </c>
      <c r="C29" t="str">
        <f>tblComponents[Product_Family]</f>
        <v>Chassis</v>
      </c>
      <c r="D29" t="str">
        <f>tblComponents[Sourcing_Type]</f>
        <v>Make</v>
      </c>
      <c r="E29" t="str">
        <f>tblComponents[Criticality]</f>
        <v>High</v>
      </c>
      <c r="F29">
        <f>tblComponents[Forecast_Demand]</f>
        <v>589</v>
      </c>
      <c r="G29">
        <f>tblComponents[Opening_Inventory]</f>
        <v>3524</v>
      </c>
      <c r="H29">
        <f>tblComponents[Safety_Stock]</f>
        <v>364</v>
      </c>
      <c r="I29">
        <f t="shared" si="0"/>
        <v>0</v>
      </c>
      <c r="J29" s="15">
        <f>tblComponents[Defect_Rate]</f>
        <v>1.1599999999999999E-2</v>
      </c>
      <c r="K29">
        <f t="shared" si="1"/>
        <v>0</v>
      </c>
      <c r="L29" t="str">
        <f t="shared" si="2"/>
        <v>Production</v>
      </c>
      <c r="M29">
        <f t="shared" si="3"/>
        <v>0</v>
      </c>
    </row>
    <row r="30" spans="1:13" x14ac:dyDescent="0.35">
      <c r="A30" s="12" t="str">
        <f>tblComponents[Component_ID]</f>
        <v>C029</v>
      </c>
      <c r="B30" s="12" t="str">
        <f>tblComponents[Component_Name]</f>
        <v>Component 029</v>
      </c>
      <c r="C30" t="str">
        <f>tblComponents[Product_Family]</f>
        <v>Electrical Systems</v>
      </c>
      <c r="D30" t="str">
        <f>tblComponents[Sourcing_Type]</f>
        <v>Make</v>
      </c>
      <c r="E30" t="str">
        <f>tblComponents[Criticality]</f>
        <v>High</v>
      </c>
      <c r="F30">
        <f>tblComponents[Forecast_Demand]</f>
        <v>2125</v>
      </c>
      <c r="G30">
        <f>tblComponents[Opening_Inventory]</f>
        <v>8867</v>
      </c>
      <c r="H30">
        <f>tblComponents[Safety_Stock]</f>
        <v>1364</v>
      </c>
      <c r="I30">
        <f t="shared" si="0"/>
        <v>0</v>
      </c>
      <c r="J30" s="15">
        <f>tblComponents[Defect_Rate]</f>
        <v>2.2100000000000002E-2</v>
      </c>
      <c r="K30">
        <f t="shared" si="1"/>
        <v>0</v>
      </c>
      <c r="L30" t="str">
        <f t="shared" si="2"/>
        <v>Production</v>
      </c>
      <c r="M30">
        <f t="shared" si="3"/>
        <v>0</v>
      </c>
    </row>
    <row r="31" spans="1:13" x14ac:dyDescent="0.35">
      <c r="A31" s="12" t="str">
        <f>tblComponents[Component_ID]</f>
        <v>C030</v>
      </c>
      <c r="B31" s="12" t="str">
        <f>tblComponents[Component_Name]</f>
        <v>Component 030</v>
      </c>
      <c r="C31" t="str">
        <f>tblComponents[Product_Family]</f>
        <v>Interior</v>
      </c>
      <c r="D31" t="str">
        <f>tblComponents[Sourcing_Type]</f>
        <v>Make</v>
      </c>
      <c r="E31" t="str">
        <f>tblComponents[Criticality]</f>
        <v>Medium</v>
      </c>
      <c r="F31">
        <f>tblComponents[Forecast_Demand]</f>
        <v>184</v>
      </c>
      <c r="G31">
        <f>tblComponents[Opening_Inventory]</f>
        <v>3175</v>
      </c>
      <c r="H31">
        <f>tblComponents[Safety_Stock]</f>
        <v>533</v>
      </c>
      <c r="I31">
        <f t="shared" si="0"/>
        <v>0</v>
      </c>
      <c r="J31" s="15">
        <f>tblComponents[Defect_Rate]</f>
        <v>5.0000000000000001E-3</v>
      </c>
      <c r="K31">
        <f t="shared" si="1"/>
        <v>0</v>
      </c>
      <c r="L31" t="str">
        <f t="shared" si="2"/>
        <v>Production</v>
      </c>
      <c r="M31">
        <f t="shared" si="3"/>
        <v>0</v>
      </c>
    </row>
    <row r="32" spans="1:13" x14ac:dyDescent="0.35">
      <c r="A32" s="12" t="str">
        <f>tblComponents[Component_ID]</f>
        <v>C031</v>
      </c>
      <c r="B32" s="12" t="str">
        <f>tblComponents[Component_Name]</f>
        <v>Component 031</v>
      </c>
      <c r="C32" t="str">
        <f>tblComponents[Product_Family]</f>
        <v>Powertrain</v>
      </c>
      <c r="D32" t="str">
        <f>tblComponents[Sourcing_Type]</f>
        <v>Make</v>
      </c>
      <c r="E32" t="str">
        <f>tblComponents[Criticality]</f>
        <v>High</v>
      </c>
      <c r="F32">
        <f>tblComponents[Forecast_Demand]</f>
        <v>1249</v>
      </c>
      <c r="G32">
        <f>tblComponents[Opening_Inventory]</f>
        <v>1362</v>
      </c>
      <c r="H32">
        <f>tblComponents[Safety_Stock]</f>
        <v>227</v>
      </c>
      <c r="I32">
        <f t="shared" si="0"/>
        <v>114</v>
      </c>
      <c r="J32" s="15">
        <f>tblComponents[Defect_Rate]</f>
        <v>1.8599999999999998E-2</v>
      </c>
      <c r="K32">
        <f t="shared" si="1"/>
        <v>116.16058691664968</v>
      </c>
      <c r="L32" t="str">
        <f t="shared" si="2"/>
        <v>Production</v>
      </c>
      <c r="M32">
        <f t="shared" si="3"/>
        <v>116.16058691664968</v>
      </c>
    </row>
    <row r="33" spans="1:13" x14ac:dyDescent="0.35">
      <c r="A33" s="12" t="str">
        <f>tblComponents[Component_ID]</f>
        <v>C032</v>
      </c>
      <c r="B33" s="12" t="str">
        <f>tblComponents[Component_Name]</f>
        <v>Component 032</v>
      </c>
      <c r="C33" t="str">
        <f>tblComponents[Product_Family]</f>
        <v>Powertrain</v>
      </c>
      <c r="D33" t="str">
        <f>tblComponents[Sourcing_Type]</f>
        <v>Make</v>
      </c>
      <c r="E33" t="str">
        <f>tblComponents[Criticality]</f>
        <v>Low</v>
      </c>
      <c r="F33">
        <f>tblComponents[Forecast_Demand]</f>
        <v>1588</v>
      </c>
      <c r="G33">
        <f>tblComponents[Opening_Inventory]</f>
        <v>3317</v>
      </c>
      <c r="H33">
        <f>tblComponents[Safety_Stock]</f>
        <v>1273</v>
      </c>
      <c r="I33">
        <f t="shared" si="0"/>
        <v>0</v>
      </c>
      <c r="J33" s="15">
        <f>tblComponents[Defect_Rate]</f>
        <v>4.3E-3</v>
      </c>
      <c r="K33">
        <f t="shared" si="1"/>
        <v>0</v>
      </c>
      <c r="L33" t="str">
        <f t="shared" si="2"/>
        <v>Production</v>
      </c>
      <c r="M33">
        <f t="shared" si="3"/>
        <v>0</v>
      </c>
    </row>
    <row r="34" spans="1:13" x14ac:dyDescent="0.35">
      <c r="A34" s="12" t="str">
        <f>tblComponents[Component_ID]</f>
        <v>C033</v>
      </c>
      <c r="B34" s="12" t="str">
        <f>tblComponents[Component_Name]</f>
        <v>Component 033</v>
      </c>
      <c r="C34" t="str">
        <f>tblComponents[Product_Family]</f>
        <v>Interior</v>
      </c>
      <c r="D34" t="str">
        <f>tblComponents[Sourcing_Type]</f>
        <v>Make</v>
      </c>
      <c r="E34" t="str">
        <f>tblComponents[Criticality]</f>
        <v>Critical</v>
      </c>
      <c r="F34">
        <f>tblComponents[Forecast_Demand]</f>
        <v>488</v>
      </c>
      <c r="G34">
        <f>tblComponents[Opening_Inventory]</f>
        <v>7016</v>
      </c>
      <c r="H34">
        <f>tblComponents[Safety_Stock]</f>
        <v>943</v>
      </c>
      <c r="I34">
        <f t="shared" si="0"/>
        <v>0</v>
      </c>
      <c r="J34" s="15">
        <f>tblComponents[Defect_Rate]</f>
        <v>1.6299999999999999E-2</v>
      </c>
      <c r="K34">
        <f t="shared" si="1"/>
        <v>0</v>
      </c>
      <c r="L34" t="str">
        <f t="shared" si="2"/>
        <v>Production</v>
      </c>
      <c r="M34">
        <f t="shared" si="3"/>
        <v>0</v>
      </c>
    </row>
    <row r="35" spans="1:13" x14ac:dyDescent="0.35">
      <c r="A35" s="12" t="str">
        <f>tblComponents[Component_ID]</f>
        <v>C034</v>
      </c>
      <c r="B35" s="12" t="str">
        <f>tblComponents[Component_Name]</f>
        <v>Component 034</v>
      </c>
      <c r="C35" t="str">
        <f>tblComponents[Product_Family]</f>
        <v>Interior</v>
      </c>
      <c r="D35" t="str">
        <f>tblComponents[Sourcing_Type]</f>
        <v>Make</v>
      </c>
      <c r="E35" t="str">
        <f>tblComponents[Criticality]</f>
        <v>Medium</v>
      </c>
      <c r="F35">
        <f>tblComponents[Forecast_Demand]</f>
        <v>884</v>
      </c>
      <c r="G35">
        <f>tblComponents[Opening_Inventory]</f>
        <v>856</v>
      </c>
      <c r="H35">
        <f>tblComponents[Safety_Stock]</f>
        <v>75</v>
      </c>
      <c r="I35">
        <f t="shared" si="0"/>
        <v>103</v>
      </c>
      <c r="J35" s="15">
        <f>tblComponents[Defect_Rate]</f>
        <v>1.17E-2</v>
      </c>
      <c r="K35">
        <f t="shared" si="1"/>
        <v>104.21936658909239</v>
      </c>
      <c r="L35" t="str">
        <f t="shared" si="2"/>
        <v>Production</v>
      </c>
      <c r="M35">
        <f t="shared" si="3"/>
        <v>104.21936658909239</v>
      </c>
    </row>
    <row r="36" spans="1:13" x14ac:dyDescent="0.35">
      <c r="A36" s="12" t="str">
        <f>tblComponents[Component_ID]</f>
        <v>C035</v>
      </c>
      <c r="B36" s="12" t="str">
        <f>tblComponents[Component_Name]</f>
        <v>Component 035</v>
      </c>
      <c r="C36" t="str">
        <f>tblComponents[Product_Family]</f>
        <v>Chassis</v>
      </c>
      <c r="D36" t="str">
        <f>tblComponents[Sourcing_Type]</f>
        <v>Make</v>
      </c>
      <c r="E36" t="str">
        <f>tblComponents[Criticality]</f>
        <v>Medium</v>
      </c>
      <c r="F36">
        <f>tblComponents[Forecast_Demand]</f>
        <v>1194</v>
      </c>
      <c r="G36">
        <f>tblComponents[Opening_Inventory]</f>
        <v>1931</v>
      </c>
      <c r="H36">
        <f>tblComponents[Safety_Stock]</f>
        <v>441</v>
      </c>
      <c r="I36">
        <f t="shared" si="0"/>
        <v>0</v>
      </c>
      <c r="J36" s="15">
        <f>tblComponents[Defect_Rate]</f>
        <v>2.01E-2</v>
      </c>
      <c r="K36">
        <f t="shared" si="1"/>
        <v>0</v>
      </c>
      <c r="L36" t="str">
        <f t="shared" si="2"/>
        <v>Production</v>
      </c>
      <c r="M36">
        <f t="shared" si="3"/>
        <v>0</v>
      </c>
    </row>
    <row r="37" spans="1:13" x14ac:dyDescent="0.35">
      <c r="A37" s="12" t="str">
        <f>tblComponents[Component_ID]</f>
        <v>C036</v>
      </c>
      <c r="B37" s="12" t="str">
        <f>tblComponents[Component_Name]</f>
        <v>Component 036</v>
      </c>
      <c r="C37" t="str">
        <f>tblComponents[Product_Family]</f>
        <v>Electrical Systems</v>
      </c>
      <c r="D37" t="str">
        <f>tblComponents[Sourcing_Type]</f>
        <v>Make</v>
      </c>
      <c r="E37" t="str">
        <f>tblComponents[Criticality]</f>
        <v>Critical</v>
      </c>
      <c r="F37">
        <f>tblComponents[Forecast_Demand]</f>
        <v>3002</v>
      </c>
      <c r="G37">
        <f>tblComponents[Opening_Inventory]</f>
        <v>2588</v>
      </c>
      <c r="H37">
        <f>tblComponents[Safety_Stock]</f>
        <v>361</v>
      </c>
      <c r="I37">
        <f t="shared" si="0"/>
        <v>775</v>
      </c>
      <c r="J37" s="15">
        <f>tblComponents[Defect_Rate]</f>
        <v>7.4000000000000003E-3</v>
      </c>
      <c r="K37">
        <f t="shared" si="1"/>
        <v>780.7777553898851</v>
      </c>
      <c r="L37" t="str">
        <f t="shared" si="2"/>
        <v>Production</v>
      </c>
      <c r="M37">
        <f t="shared" si="3"/>
        <v>780.7777553898851</v>
      </c>
    </row>
    <row r="38" spans="1:13" x14ac:dyDescent="0.35">
      <c r="A38" s="12" t="str">
        <f>tblComponents[Component_ID]</f>
        <v>C037</v>
      </c>
      <c r="B38" s="12" t="str">
        <f>tblComponents[Component_Name]</f>
        <v>Component 037</v>
      </c>
      <c r="C38" t="str">
        <f>tblComponents[Product_Family]</f>
        <v>Electrical Systems</v>
      </c>
      <c r="D38" t="str">
        <f>tblComponents[Sourcing_Type]</f>
        <v>Make</v>
      </c>
      <c r="E38" t="str">
        <f>tblComponents[Criticality]</f>
        <v>High</v>
      </c>
      <c r="F38">
        <f>tblComponents[Forecast_Demand]</f>
        <v>1149</v>
      </c>
      <c r="G38">
        <f>tblComponents[Opening_Inventory]</f>
        <v>9279</v>
      </c>
      <c r="H38">
        <f>tblComponents[Safety_Stock]</f>
        <v>932</v>
      </c>
      <c r="I38">
        <f t="shared" si="0"/>
        <v>0</v>
      </c>
      <c r="J38" s="15">
        <f>tblComponents[Defect_Rate]</f>
        <v>1.67E-2</v>
      </c>
      <c r="K38">
        <f t="shared" si="1"/>
        <v>0</v>
      </c>
      <c r="L38" t="str">
        <f t="shared" si="2"/>
        <v>Production</v>
      </c>
      <c r="M38">
        <f t="shared" si="3"/>
        <v>0</v>
      </c>
    </row>
    <row r="39" spans="1:13" x14ac:dyDescent="0.35">
      <c r="A39" s="12" t="str">
        <f>tblComponents[Component_ID]</f>
        <v>C038</v>
      </c>
      <c r="B39" s="12" t="str">
        <f>tblComponents[Component_Name]</f>
        <v>Component 038</v>
      </c>
      <c r="C39" t="str">
        <f>tblComponents[Product_Family]</f>
        <v>Powertrain</v>
      </c>
      <c r="D39" t="str">
        <f>tblComponents[Sourcing_Type]</f>
        <v>Make</v>
      </c>
      <c r="E39" t="str">
        <f>tblComponents[Criticality]</f>
        <v>Low</v>
      </c>
      <c r="F39">
        <f>tblComponents[Forecast_Demand]</f>
        <v>1163</v>
      </c>
      <c r="G39">
        <f>tblComponents[Opening_Inventory]</f>
        <v>2415</v>
      </c>
      <c r="H39">
        <f>tblComponents[Safety_Stock]</f>
        <v>451</v>
      </c>
      <c r="I39">
        <f t="shared" si="0"/>
        <v>0</v>
      </c>
      <c r="J39" s="15">
        <f>tblComponents[Defect_Rate]</f>
        <v>7.4000000000000003E-3</v>
      </c>
      <c r="K39">
        <f t="shared" si="1"/>
        <v>0</v>
      </c>
      <c r="L39" t="str">
        <f t="shared" si="2"/>
        <v>Production</v>
      </c>
      <c r="M39">
        <f t="shared" si="3"/>
        <v>0</v>
      </c>
    </row>
    <row r="40" spans="1:13" x14ac:dyDescent="0.35">
      <c r="A40" s="12" t="str">
        <f>tblComponents[Component_ID]</f>
        <v>C039</v>
      </c>
      <c r="B40" s="12" t="str">
        <f>tblComponents[Component_Name]</f>
        <v>Component 039</v>
      </c>
      <c r="C40" t="str">
        <f>tblComponents[Product_Family]</f>
        <v>Powertrain</v>
      </c>
      <c r="D40" t="str">
        <f>tblComponents[Sourcing_Type]</f>
        <v>Make</v>
      </c>
      <c r="E40" t="str">
        <f>tblComponents[Criticality]</f>
        <v>High</v>
      </c>
      <c r="F40">
        <f>tblComponents[Forecast_Demand]</f>
        <v>2748</v>
      </c>
      <c r="G40">
        <f>tblComponents[Opening_Inventory]</f>
        <v>6054</v>
      </c>
      <c r="H40">
        <f>tblComponents[Safety_Stock]</f>
        <v>1035</v>
      </c>
      <c r="I40">
        <f t="shared" si="0"/>
        <v>0</v>
      </c>
      <c r="J40" s="15">
        <f>tblComponents[Defect_Rate]</f>
        <v>1.84E-2</v>
      </c>
      <c r="K40">
        <f t="shared" si="1"/>
        <v>0</v>
      </c>
      <c r="L40" t="str">
        <f t="shared" si="2"/>
        <v>Production</v>
      </c>
      <c r="M40">
        <f t="shared" si="3"/>
        <v>0</v>
      </c>
    </row>
    <row r="41" spans="1:13" x14ac:dyDescent="0.35">
      <c r="A41" s="12" t="str">
        <f>tblComponents[Component_ID]</f>
        <v>C040</v>
      </c>
      <c r="B41" s="12" t="str">
        <f>tblComponents[Component_Name]</f>
        <v>Component 040</v>
      </c>
      <c r="C41" t="str">
        <f>tblComponents[Product_Family]</f>
        <v>Interior</v>
      </c>
      <c r="D41" t="str">
        <f>tblComponents[Sourcing_Type]</f>
        <v>Make</v>
      </c>
      <c r="E41" t="str">
        <f>tblComponents[Criticality]</f>
        <v>High</v>
      </c>
      <c r="F41">
        <f>tblComponents[Forecast_Demand]</f>
        <v>1158</v>
      </c>
      <c r="G41">
        <f>tblComponents[Opening_Inventory]</f>
        <v>17531</v>
      </c>
      <c r="H41">
        <f>tblComponents[Safety_Stock]</f>
        <v>1962</v>
      </c>
      <c r="I41">
        <f t="shared" si="0"/>
        <v>0</v>
      </c>
      <c r="J41" s="15">
        <f>tblComponents[Defect_Rate]</f>
        <v>2.2100000000000002E-2</v>
      </c>
      <c r="K41">
        <f t="shared" si="1"/>
        <v>0</v>
      </c>
      <c r="L41" t="str">
        <f t="shared" si="2"/>
        <v>Production</v>
      </c>
      <c r="M41">
        <f t="shared" si="3"/>
        <v>0</v>
      </c>
    </row>
    <row r="42" spans="1:13" x14ac:dyDescent="0.35">
      <c r="A42" s="12" t="str">
        <f>tblComponents[Component_ID]</f>
        <v>C041</v>
      </c>
      <c r="B42" s="12" t="str">
        <f>tblComponents[Component_Name]</f>
        <v>Component 041</v>
      </c>
      <c r="C42" t="str">
        <f>tblComponents[Product_Family]</f>
        <v>Interior</v>
      </c>
      <c r="D42" t="str">
        <f>tblComponents[Sourcing_Type]</f>
        <v>Make</v>
      </c>
      <c r="E42" t="str">
        <f>tblComponents[Criticality]</f>
        <v>High</v>
      </c>
      <c r="F42">
        <f>tblComponents[Forecast_Demand]</f>
        <v>233</v>
      </c>
      <c r="G42">
        <f>tblComponents[Opening_Inventory]</f>
        <v>4852</v>
      </c>
      <c r="H42">
        <f>tblComponents[Safety_Stock]</f>
        <v>1337</v>
      </c>
      <c r="I42">
        <f t="shared" si="0"/>
        <v>0</v>
      </c>
      <c r="J42" s="15">
        <f>tblComponents[Defect_Rate]</f>
        <v>4.8999999999999998E-3</v>
      </c>
      <c r="K42">
        <f t="shared" si="1"/>
        <v>0</v>
      </c>
      <c r="L42" t="str">
        <f t="shared" si="2"/>
        <v>Production</v>
      </c>
      <c r="M42">
        <f t="shared" si="3"/>
        <v>0</v>
      </c>
    </row>
    <row r="43" spans="1:13" x14ac:dyDescent="0.35">
      <c r="A43" s="12" t="str">
        <f>tblComponents[Component_ID]</f>
        <v>C042</v>
      </c>
      <c r="B43" s="12" t="str">
        <f>tblComponents[Component_Name]</f>
        <v>Component 042</v>
      </c>
      <c r="C43" t="str">
        <f>tblComponents[Product_Family]</f>
        <v>Electrical Systems</v>
      </c>
      <c r="D43" t="str">
        <f>tblComponents[Sourcing_Type]</f>
        <v>Make</v>
      </c>
      <c r="E43" t="str">
        <f>tblComponents[Criticality]</f>
        <v>Medium</v>
      </c>
      <c r="F43">
        <f>tblComponents[Forecast_Demand]</f>
        <v>1006</v>
      </c>
      <c r="G43">
        <f>tblComponents[Opening_Inventory]</f>
        <v>6651</v>
      </c>
      <c r="H43">
        <f>tblComponents[Safety_Stock]</f>
        <v>828</v>
      </c>
      <c r="I43">
        <f t="shared" si="0"/>
        <v>0</v>
      </c>
      <c r="J43" s="15">
        <f>tblComponents[Defect_Rate]</f>
        <v>2.7400000000000001E-2</v>
      </c>
      <c r="K43">
        <f t="shared" si="1"/>
        <v>0</v>
      </c>
      <c r="L43" t="str">
        <f t="shared" si="2"/>
        <v>Production</v>
      </c>
      <c r="M43">
        <f t="shared" si="3"/>
        <v>0</v>
      </c>
    </row>
    <row r="44" spans="1:13" x14ac:dyDescent="0.35">
      <c r="A44" s="12" t="str">
        <f>tblComponents[Component_ID]</f>
        <v>C043</v>
      </c>
      <c r="B44" s="12" t="str">
        <f>tblComponents[Component_Name]</f>
        <v>Component 043</v>
      </c>
      <c r="C44" t="str">
        <f>tblComponents[Product_Family]</f>
        <v>Chassis</v>
      </c>
      <c r="D44" t="str">
        <f>tblComponents[Sourcing_Type]</f>
        <v>Make</v>
      </c>
      <c r="E44" t="str">
        <f>tblComponents[Criticality]</f>
        <v>Medium</v>
      </c>
      <c r="F44">
        <f>tblComponents[Forecast_Demand]</f>
        <v>821</v>
      </c>
      <c r="G44">
        <f>tblComponents[Opening_Inventory]</f>
        <v>2202</v>
      </c>
      <c r="H44">
        <f>tblComponents[Safety_Stock]</f>
        <v>224</v>
      </c>
      <c r="I44">
        <f t="shared" si="0"/>
        <v>0</v>
      </c>
      <c r="J44" s="15">
        <f>tblComponents[Defect_Rate]</f>
        <v>1.7999999999999999E-2</v>
      </c>
      <c r="K44">
        <f t="shared" si="1"/>
        <v>0</v>
      </c>
      <c r="L44" t="str">
        <f t="shared" si="2"/>
        <v>Production</v>
      </c>
      <c r="M44">
        <f t="shared" si="3"/>
        <v>0</v>
      </c>
    </row>
    <row r="45" spans="1:13" x14ac:dyDescent="0.35">
      <c r="A45" s="12" t="str">
        <f>tblComponents[Component_ID]</f>
        <v>C044</v>
      </c>
      <c r="B45" s="12" t="str">
        <f>tblComponents[Component_Name]</f>
        <v>Component 044</v>
      </c>
      <c r="C45" t="str">
        <f>tblComponents[Product_Family]</f>
        <v>Chassis</v>
      </c>
      <c r="D45" t="str">
        <f>tblComponents[Sourcing_Type]</f>
        <v>Make</v>
      </c>
      <c r="E45" t="str">
        <f>tblComponents[Criticality]</f>
        <v>Critical</v>
      </c>
      <c r="F45">
        <f>tblComponents[Forecast_Demand]</f>
        <v>710</v>
      </c>
      <c r="G45">
        <f>tblComponents[Opening_Inventory]</f>
        <v>4464</v>
      </c>
      <c r="H45">
        <f>tblComponents[Safety_Stock]</f>
        <v>408</v>
      </c>
      <c r="I45">
        <f t="shared" si="0"/>
        <v>0</v>
      </c>
      <c r="J45" s="15">
        <f>tblComponents[Defect_Rate]</f>
        <v>4.8999999999999998E-3</v>
      </c>
      <c r="K45">
        <f t="shared" si="1"/>
        <v>0</v>
      </c>
      <c r="L45" t="str">
        <f t="shared" si="2"/>
        <v>Production</v>
      </c>
      <c r="M45">
        <f t="shared" si="3"/>
        <v>0</v>
      </c>
    </row>
    <row r="46" spans="1:13" x14ac:dyDescent="0.35">
      <c r="A46" s="12" t="str">
        <f>tblComponents[Component_ID]</f>
        <v>C045</v>
      </c>
      <c r="B46" s="12" t="str">
        <f>tblComponents[Component_Name]</f>
        <v>Component 045</v>
      </c>
      <c r="C46" t="str">
        <f>tblComponents[Product_Family]</f>
        <v>Chassis</v>
      </c>
      <c r="D46" t="str">
        <f>tblComponents[Sourcing_Type]</f>
        <v>Make</v>
      </c>
      <c r="E46" t="str">
        <f>tblComponents[Criticality]</f>
        <v>Medium</v>
      </c>
      <c r="F46">
        <f>tblComponents[Forecast_Demand]</f>
        <v>627</v>
      </c>
      <c r="G46">
        <f>tblComponents[Opening_Inventory]</f>
        <v>7375</v>
      </c>
      <c r="H46">
        <f>tblComponents[Safety_Stock]</f>
        <v>1332</v>
      </c>
      <c r="I46">
        <f t="shared" si="0"/>
        <v>0</v>
      </c>
      <c r="J46" s="15">
        <f>tblComponents[Defect_Rate]</f>
        <v>1.18E-2</v>
      </c>
      <c r="K46">
        <f t="shared" si="1"/>
        <v>0</v>
      </c>
      <c r="L46" t="str">
        <f t="shared" si="2"/>
        <v>Production</v>
      </c>
      <c r="M46">
        <f t="shared" si="3"/>
        <v>0</v>
      </c>
    </row>
    <row r="47" spans="1:13" x14ac:dyDescent="0.35">
      <c r="A47" s="12" t="str">
        <f>tblComponents[Component_ID]</f>
        <v>C046</v>
      </c>
      <c r="B47" s="12" t="str">
        <f>tblComponents[Component_Name]</f>
        <v>Component 046</v>
      </c>
      <c r="C47" t="str">
        <f>tblComponents[Product_Family]</f>
        <v>Electrical Systems</v>
      </c>
      <c r="D47" t="str">
        <f>tblComponents[Sourcing_Type]</f>
        <v>Make</v>
      </c>
      <c r="E47" t="str">
        <f>tblComponents[Criticality]</f>
        <v>High</v>
      </c>
      <c r="F47">
        <f>tblComponents[Forecast_Demand]</f>
        <v>1195</v>
      </c>
      <c r="G47">
        <f>tblComponents[Opening_Inventory]</f>
        <v>5999</v>
      </c>
      <c r="H47">
        <f>tblComponents[Safety_Stock]</f>
        <v>1638</v>
      </c>
      <c r="I47">
        <f t="shared" si="0"/>
        <v>0</v>
      </c>
      <c r="J47" s="15">
        <f>tblComponents[Defect_Rate]</f>
        <v>5.7000000000000002E-3</v>
      </c>
      <c r="K47">
        <f t="shared" si="1"/>
        <v>0</v>
      </c>
      <c r="L47" t="str">
        <f t="shared" si="2"/>
        <v>Production</v>
      </c>
      <c r="M47">
        <f t="shared" si="3"/>
        <v>0</v>
      </c>
    </row>
    <row r="48" spans="1:13" x14ac:dyDescent="0.35">
      <c r="A48" s="12" t="str">
        <f>tblComponents[Component_ID]</f>
        <v>C047</v>
      </c>
      <c r="B48" s="12" t="str">
        <f>tblComponents[Component_Name]</f>
        <v>Component 047</v>
      </c>
      <c r="C48" t="str">
        <f>tblComponents[Product_Family]</f>
        <v>Chassis</v>
      </c>
      <c r="D48" t="str">
        <f>tblComponents[Sourcing_Type]</f>
        <v>Make</v>
      </c>
      <c r="E48" t="str">
        <f>tblComponents[Criticality]</f>
        <v>Low</v>
      </c>
      <c r="F48">
        <f>tblComponents[Forecast_Demand]</f>
        <v>1261</v>
      </c>
      <c r="G48">
        <f>tblComponents[Opening_Inventory]</f>
        <v>6733</v>
      </c>
      <c r="H48">
        <f>tblComponents[Safety_Stock]</f>
        <v>1147</v>
      </c>
      <c r="I48">
        <f t="shared" si="0"/>
        <v>0</v>
      </c>
      <c r="J48" s="15">
        <f>tblComponents[Defect_Rate]</f>
        <v>1.8100000000000002E-2</v>
      </c>
      <c r="K48">
        <f t="shared" si="1"/>
        <v>0</v>
      </c>
      <c r="L48" t="str">
        <f t="shared" si="2"/>
        <v>Production</v>
      </c>
      <c r="M48">
        <f t="shared" si="3"/>
        <v>0</v>
      </c>
    </row>
    <row r="49" spans="1:13" x14ac:dyDescent="0.35">
      <c r="A49" s="12" t="str">
        <f>tblComponents[Component_ID]</f>
        <v>C048</v>
      </c>
      <c r="B49" s="12" t="str">
        <f>tblComponents[Component_Name]</f>
        <v>Component 048</v>
      </c>
      <c r="C49" t="str">
        <f>tblComponents[Product_Family]</f>
        <v>Powertrain</v>
      </c>
      <c r="D49" t="str">
        <f>tblComponents[Sourcing_Type]</f>
        <v>Make</v>
      </c>
      <c r="E49" t="str">
        <f>tblComponents[Criticality]</f>
        <v>High</v>
      </c>
      <c r="F49">
        <f>tblComponents[Forecast_Demand]</f>
        <v>333</v>
      </c>
      <c r="G49">
        <f>tblComponents[Opening_Inventory]</f>
        <v>2103</v>
      </c>
      <c r="H49">
        <f>tblComponents[Safety_Stock]</f>
        <v>579</v>
      </c>
      <c r="I49">
        <f t="shared" si="0"/>
        <v>0</v>
      </c>
      <c r="J49" s="15">
        <f>tblComponents[Defect_Rate]</f>
        <v>1.95E-2</v>
      </c>
      <c r="K49">
        <f t="shared" si="1"/>
        <v>0</v>
      </c>
      <c r="L49" t="str">
        <f t="shared" si="2"/>
        <v>Production</v>
      </c>
      <c r="M49">
        <f t="shared" si="3"/>
        <v>0</v>
      </c>
    </row>
    <row r="50" spans="1:13" x14ac:dyDescent="0.35">
      <c r="A50" s="12" t="str">
        <f>tblComponents[Component_ID]</f>
        <v>C049</v>
      </c>
      <c r="B50" s="12" t="str">
        <f>tblComponents[Component_Name]</f>
        <v>Component 049</v>
      </c>
      <c r="C50" t="str">
        <f>tblComponents[Product_Family]</f>
        <v>Body &amp; Exterior</v>
      </c>
      <c r="D50" t="str">
        <f>tblComponents[Sourcing_Type]</f>
        <v>Make</v>
      </c>
      <c r="E50" t="str">
        <f>tblComponents[Criticality]</f>
        <v>Medium</v>
      </c>
      <c r="F50">
        <f>tblComponents[Forecast_Demand]</f>
        <v>501</v>
      </c>
      <c r="G50">
        <f>tblComponents[Opening_Inventory]</f>
        <v>1392</v>
      </c>
      <c r="H50">
        <f>tblComponents[Safety_Stock]</f>
        <v>205</v>
      </c>
      <c r="I50">
        <f t="shared" si="0"/>
        <v>0</v>
      </c>
      <c r="J50" s="15">
        <f>tblComponents[Defect_Rate]</f>
        <v>5.1000000000000004E-3</v>
      </c>
      <c r="K50">
        <f t="shared" si="1"/>
        <v>0</v>
      </c>
      <c r="L50" t="str">
        <f t="shared" si="2"/>
        <v>Production</v>
      </c>
      <c r="M50">
        <f t="shared" si="3"/>
        <v>0</v>
      </c>
    </row>
    <row r="51" spans="1:13" x14ac:dyDescent="0.35">
      <c r="A51" s="12" t="str">
        <f>tblComponents[Component_ID]</f>
        <v>C050</v>
      </c>
      <c r="B51" s="12" t="str">
        <f>tblComponents[Component_Name]</f>
        <v>Component 050</v>
      </c>
      <c r="C51" t="str">
        <f>tblComponents[Product_Family]</f>
        <v>Powertrain</v>
      </c>
      <c r="D51" t="str">
        <f>tblComponents[Sourcing_Type]</f>
        <v>Make</v>
      </c>
      <c r="E51" t="str">
        <f>tblComponents[Criticality]</f>
        <v>Medium</v>
      </c>
      <c r="F51">
        <f>tblComponents[Forecast_Demand]</f>
        <v>1083</v>
      </c>
      <c r="G51">
        <f>tblComponents[Opening_Inventory]</f>
        <v>792</v>
      </c>
      <c r="H51">
        <f>tblComponents[Safety_Stock]</f>
        <v>78</v>
      </c>
      <c r="I51">
        <f t="shared" si="0"/>
        <v>369</v>
      </c>
      <c r="J51" s="15">
        <f>tblComponents[Defect_Rate]</f>
        <v>1.5699999999999999E-2</v>
      </c>
      <c r="K51">
        <f t="shared" si="1"/>
        <v>374.88570557756782</v>
      </c>
      <c r="L51" t="str">
        <f t="shared" si="2"/>
        <v>Production</v>
      </c>
      <c r="M51">
        <f t="shared" si="3"/>
        <v>374.88570557756782</v>
      </c>
    </row>
    <row r="52" spans="1:13" x14ac:dyDescent="0.35">
      <c r="A52" s="12" t="str">
        <f>tblComponents[Component_ID]</f>
        <v>C051</v>
      </c>
      <c r="B52" s="12" t="str">
        <f>tblComponents[Component_Name]</f>
        <v>Component 051</v>
      </c>
      <c r="C52" t="str">
        <f>tblComponents[Product_Family]</f>
        <v>Interior</v>
      </c>
      <c r="D52" t="str">
        <f>tblComponents[Sourcing_Type]</f>
        <v>Make</v>
      </c>
      <c r="E52" t="str">
        <f>tblComponents[Criticality]</f>
        <v>Medium</v>
      </c>
      <c r="F52">
        <f>tblComponents[Forecast_Demand]</f>
        <v>551</v>
      </c>
      <c r="G52">
        <f>tblComponents[Opening_Inventory]</f>
        <v>3510</v>
      </c>
      <c r="H52">
        <f>tblComponents[Safety_Stock]</f>
        <v>783</v>
      </c>
      <c r="I52">
        <f t="shared" si="0"/>
        <v>0</v>
      </c>
      <c r="J52" s="15">
        <f>tblComponents[Defect_Rate]</f>
        <v>2.07E-2</v>
      </c>
      <c r="K52">
        <f t="shared" si="1"/>
        <v>0</v>
      </c>
      <c r="L52" t="str">
        <f t="shared" si="2"/>
        <v>Production</v>
      </c>
      <c r="M52">
        <f t="shared" si="3"/>
        <v>0</v>
      </c>
    </row>
    <row r="53" spans="1:13" x14ac:dyDescent="0.35">
      <c r="A53" s="12" t="str">
        <f>tblComponents[Component_ID]</f>
        <v>C052</v>
      </c>
      <c r="B53" s="12" t="str">
        <f>tblComponents[Component_Name]</f>
        <v>Component 052</v>
      </c>
      <c r="C53" t="str">
        <f>tblComponents[Product_Family]</f>
        <v>Electrical Systems</v>
      </c>
      <c r="D53" t="str">
        <f>tblComponents[Sourcing_Type]</f>
        <v>Make</v>
      </c>
      <c r="E53" t="str">
        <f>tblComponents[Criticality]</f>
        <v>Medium</v>
      </c>
      <c r="F53">
        <f>tblComponents[Forecast_Demand]</f>
        <v>1796</v>
      </c>
      <c r="G53">
        <f>tblComponents[Opening_Inventory]</f>
        <v>1913</v>
      </c>
      <c r="H53">
        <f>tblComponents[Safety_Stock]</f>
        <v>409</v>
      </c>
      <c r="I53">
        <f t="shared" si="0"/>
        <v>292</v>
      </c>
      <c r="J53" s="15">
        <f>tblComponents[Defect_Rate]</f>
        <v>2.35E-2</v>
      </c>
      <c r="K53">
        <f t="shared" si="1"/>
        <v>299.02713773681512</v>
      </c>
      <c r="L53" t="str">
        <f t="shared" si="2"/>
        <v>Production</v>
      </c>
      <c r="M53">
        <f t="shared" si="3"/>
        <v>299.02713773681512</v>
      </c>
    </row>
    <row r="54" spans="1:13" x14ac:dyDescent="0.35">
      <c r="A54" s="12" t="str">
        <f>tblComponents[Component_ID]</f>
        <v>C053</v>
      </c>
      <c r="B54" s="12" t="str">
        <f>tblComponents[Component_Name]</f>
        <v>Component 053</v>
      </c>
      <c r="C54" t="str">
        <f>tblComponents[Product_Family]</f>
        <v>Electrical Systems</v>
      </c>
      <c r="D54" t="str">
        <f>tblComponents[Sourcing_Type]</f>
        <v>Make</v>
      </c>
      <c r="E54" t="str">
        <f>tblComponents[Criticality]</f>
        <v>Critical</v>
      </c>
      <c r="F54">
        <f>tblComponents[Forecast_Demand]</f>
        <v>1514</v>
      </c>
      <c r="G54">
        <f>tblComponents[Opening_Inventory]</f>
        <v>9219</v>
      </c>
      <c r="H54">
        <f>tblComponents[Safety_Stock]</f>
        <v>1492</v>
      </c>
      <c r="I54">
        <f t="shared" si="0"/>
        <v>0</v>
      </c>
      <c r="J54" s="15">
        <f>tblComponents[Defect_Rate]</f>
        <v>1.38E-2</v>
      </c>
      <c r="K54">
        <f t="shared" si="1"/>
        <v>0</v>
      </c>
      <c r="L54" t="str">
        <f t="shared" si="2"/>
        <v>Production</v>
      </c>
      <c r="M54">
        <f t="shared" si="3"/>
        <v>0</v>
      </c>
    </row>
    <row r="55" spans="1:13" x14ac:dyDescent="0.35">
      <c r="A55" s="12" t="str">
        <f>tblComponents[Component_ID]</f>
        <v>C054</v>
      </c>
      <c r="B55" s="12" t="str">
        <f>tblComponents[Component_Name]</f>
        <v>Component 054</v>
      </c>
      <c r="C55" t="str">
        <f>tblComponents[Product_Family]</f>
        <v>Electrical Systems</v>
      </c>
      <c r="D55" t="str">
        <f>tblComponents[Sourcing_Type]</f>
        <v>Make</v>
      </c>
      <c r="E55" t="str">
        <f>tblComponents[Criticality]</f>
        <v>Low</v>
      </c>
      <c r="F55">
        <f>tblComponents[Forecast_Demand]</f>
        <v>352</v>
      </c>
      <c r="G55">
        <f>tblComponents[Opening_Inventory]</f>
        <v>11036</v>
      </c>
      <c r="H55">
        <f>tblComponents[Safety_Stock]</f>
        <v>1261</v>
      </c>
      <c r="I55">
        <f t="shared" si="0"/>
        <v>0</v>
      </c>
      <c r="J55" s="15">
        <f>tblComponents[Defect_Rate]</f>
        <v>2.3900000000000001E-2</v>
      </c>
      <c r="K55">
        <f t="shared" si="1"/>
        <v>0</v>
      </c>
      <c r="L55" t="str">
        <f t="shared" si="2"/>
        <v>Production</v>
      </c>
      <c r="M55">
        <f t="shared" si="3"/>
        <v>0</v>
      </c>
    </row>
    <row r="56" spans="1:13" x14ac:dyDescent="0.35">
      <c r="A56" s="12" t="str">
        <f>tblComponents[Component_ID]</f>
        <v>C055</v>
      </c>
      <c r="B56" s="12" t="str">
        <f>tblComponents[Component_Name]</f>
        <v>Component 055</v>
      </c>
      <c r="C56" t="str">
        <f>tblComponents[Product_Family]</f>
        <v>Interior</v>
      </c>
      <c r="D56" t="str">
        <f>tblComponents[Sourcing_Type]</f>
        <v>Make</v>
      </c>
      <c r="E56" t="str">
        <f>tblComponents[Criticality]</f>
        <v>Low</v>
      </c>
      <c r="F56">
        <f>tblComponents[Forecast_Demand]</f>
        <v>185</v>
      </c>
      <c r="G56">
        <f>tblComponents[Opening_Inventory]</f>
        <v>6612</v>
      </c>
      <c r="H56">
        <f>tblComponents[Safety_Stock]</f>
        <v>694</v>
      </c>
      <c r="I56">
        <f t="shared" si="0"/>
        <v>0</v>
      </c>
      <c r="J56" s="15">
        <f>tblComponents[Defect_Rate]</f>
        <v>1.43E-2</v>
      </c>
      <c r="K56">
        <f t="shared" si="1"/>
        <v>0</v>
      </c>
      <c r="L56" t="str">
        <f t="shared" si="2"/>
        <v>Production</v>
      </c>
      <c r="M56">
        <f t="shared" si="3"/>
        <v>0</v>
      </c>
    </row>
    <row r="57" spans="1:13" x14ac:dyDescent="0.35">
      <c r="A57" s="12" t="str">
        <f>tblComponents[Component_ID]</f>
        <v>C056</v>
      </c>
      <c r="B57" s="12" t="str">
        <f>tblComponents[Component_Name]</f>
        <v>Component 056</v>
      </c>
      <c r="C57" t="str">
        <f>tblComponents[Product_Family]</f>
        <v>Body &amp; Exterior</v>
      </c>
      <c r="D57" t="str">
        <f>tblComponents[Sourcing_Type]</f>
        <v>Make</v>
      </c>
      <c r="E57" t="str">
        <f>tblComponents[Criticality]</f>
        <v>High</v>
      </c>
      <c r="F57">
        <f>tblComponents[Forecast_Demand]</f>
        <v>530</v>
      </c>
      <c r="G57">
        <f>tblComponents[Opening_Inventory]</f>
        <v>12652</v>
      </c>
      <c r="H57">
        <f>tblComponents[Safety_Stock]</f>
        <v>2804</v>
      </c>
      <c r="I57">
        <f t="shared" si="0"/>
        <v>0</v>
      </c>
      <c r="J57" s="15">
        <f>tblComponents[Defect_Rate]</f>
        <v>1.11E-2</v>
      </c>
      <c r="K57">
        <f t="shared" si="1"/>
        <v>0</v>
      </c>
      <c r="L57" t="str">
        <f t="shared" si="2"/>
        <v>Production</v>
      </c>
      <c r="M57">
        <f t="shared" si="3"/>
        <v>0</v>
      </c>
    </row>
    <row r="58" spans="1:13" x14ac:dyDescent="0.35">
      <c r="A58" s="12" t="str">
        <f>tblComponents[Component_ID]</f>
        <v>C057</v>
      </c>
      <c r="B58" s="12" t="str">
        <f>tblComponents[Component_Name]</f>
        <v>Component 057</v>
      </c>
      <c r="C58" t="str">
        <f>tblComponents[Product_Family]</f>
        <v>Chassis</v>
      </c>
      <c r="D58" t="str">
        <f>tblComponents[Sourcing_Type]</f>
        <v>Make</v>
      </c>
      <c r="E58" t="str">
        <f>tblComponents[Criticality]</f>
        <v>Medium</v>
      </c>
      <c r="F58">
        <f>tblComponents[Forecast_Demand]</f>
        <v>412</v>
      </c>
      <c r="G58">
        <f>tblComponents[Opening_Inventory]</f>
        <v>6560</v>
      </c>
      <c r="H58">
        <f>tblComponents[Safety_Stock]</f>
        <v>483</v>
      </c>
      <c r="I58">
        <f t="shared" si="0"/>
        <v>0</v>
      </c>
      <c r="J58" s="15">
        <f>tblComponents[Defect_Rate]</f>
        <v>2.1499999999999998E-2</v>
      </c>
      <c r="K58">
        <f t="shared" si="1"/>
        <v>0</v>
      </c>
      <c r="L58" t="str">
        <f t="shared" si="2"/>
        <v>Production</v>
      </c>
      <c r="M58">
        <f t="shared" si="3"/>
        <v>0</v>
      </c>
    </row>
    <row r="59" spans="1:13" x14ac:dyDescent="0.35">
      <c r="A59" s="12" t="str">
        <f>tblComponents[Component_ID]</f>
        <v>C058</v>
      </c>
      <c r="B59" s="12" t="str">
        <f>tblComponents[Component_Name]</f>
        <v>Component 058</v>
      </c>
      <c r="C59" t="str">
        <f>tblComponents[Product_Family]</f>
        <v>Body &amp; Exterior</v>
      </c>
      <c r="D59" t="str">
        <f>tblComponents[Sourcing_Type]</f>
        <v>Make</v>
      </c>
      <c r="E59" t="str">
        <f>tblComponents[Criticality]</f>
        <v>Low</v>
      </c>
      <c r="F59">
        <f>tblComponents[Forecast_Demand]</f>
        <v>1424</v>
      </c>
      <c r="G59">
        <f>tblComponents[Opening_Inventory]</f>
        <v>4378</v>
      </c>
      <c r="H59">
        <f>tblComponents[Safety_Stock]</f>
        <v>401</v>
      </c>
      <c r="I59">
        <f t="shared" si="0"/>
        <v>0</v>
      </c>
      <c r="J59" s="15">
        <f>tblComponents[Defect_Rate]</f>
        <v>1.3299999999999999E-2</v>
      </c>
      <c r="K59">
        <f t="shared" si="1"/>
        <v>0</v>
      </c>
      <c r="L59" t="str">
        <f t="shared" si="2"/>
        <v>Production</v>
      </c>
      <c r="M59">
        <f t="shared" si="3"/>
        <v>0</v>
      </c>
    </row>
    <row r="60" spans="1:13" x14ac:dyDescent="0.35">
      <c r="A60" s="12" t="str">
        <f>tblComponents[Component_ID]</f>
        <v>C059</v>
      </c>
      <c r="B60" s="12" t="str">
        <f>tblComponents[Component_Name]</f>
        <v>Component 059</v>
      </c>
      <c r="C60" t="str">
        <f>tblComponents[Product_Family]</f>
        <v>Electrical Systems</v>
      </c>
      <c r="D60" t="str">
        <f>tblComponents[Sourcing_Type]</f>
        <v>Make</v>
      </c>
      <c r="E60" t="str">
        <f>tblComponents[Criticality]</f>
        <v>Medium</v>
      </c>
      <c r="F60">
        <f>tblComponents[Forecast_Demand]</f>
        <v>1147</v>
      </c>
      <c r="G60">
        <f>tblComponents[Opening_Inventory]</f>
        <v>10696</v>
      </c>
      <c r="H60">
        <f>tblComponents[Safety_Stock]</f>
        <v>988</v>
      </c>
      <c r="I60">
        <f t="shared" si="0"/>
        <v>0</v>
      </c>
      <c r="J60" s="15">
        <f>tblComponents[Defect_Rate]</f>
        <v>1.29E-2</v>
      </c>
      <c r="K60">
        <f t="shared" si="1"/>
        <v>0</v>
      </c>
      <c r="L60" t="str">
        <f t="shared" si="2"/>
        <v>Production</v>
      </c>
      <c r="M60">
        <f t="shared" si="3"/>
        <v>0</v>
      </c>
    </row>
    <row r="61" spans="1:13" x14ac:dyDescent="0.35">
      <c r="A61" s="12" t="str">
        <f>tblComponents[Component_ID]</f>
        <v>C060</v>
      </c>
      <c r="B61" s="12" t="str">
        <f>tblComponents[Component_Name]</f>
        <v>Component 060</v>
      </c>
      <c r="C61" t="str">
        <f>tblComponents[Product_Family]</f>
        <v>Electrical Systems</v>
      </c>
      <c r="D61" t="str">
        <f>tblComponents[Sourcing_Type]</f>
        <v>Make</v>
      </c>
      <c r="E61" t="str">
        <f>tblComponents[Criticality]</f>
        <v>High</v>
      </c>
      <c r="F61">
        <f>tblComponents[Forecast_Demand]</f>
        <v>1712</v>
      </c>
      <c r="G61">
        <f>tblComponents[Opening_Inventory]</f>
        <v>9059</v>
      </c>
      <c r="H61">
        <f>tblComponents[Safety_Stock]</f>
        <v>720</v>
      </c>
      <c r="I61">
        <f t="shared" si="0"/>
        <v>0</v>
      </c>
      <c r="J61" s="15">
        <f>tblComponents[Defect_Rate]</f>
        <v>1.3299999999999999E-2</v>
      </c>
      <c r="K61">
        <f t="shared" si="1"/>
        <v>0</v>
      </c>
      <c r="L61" t="str">
        <f t="shared" si="2"/>
        <v>Production</v>
      </c>
      <c r="M61">
        <f t="shared" si="3"/>
        <v>0</v>
      </c>
    </row>
    <row r="62" spans="1:13" x14ac:dyDescent="0.35">
      <c r="A62" s="12" t="str">
        <f>tblComponents[Component_ID]</f>
        <v>C061</v>
      </c>
      <c r="B62" s="12" t="str">
        <f>tblComponents[Component_Name]</f>
        <v>Component 061</v>
      </c>
      <c r="C62" t="str">
        <f>tblComponents[Product_Family]</f>
        <v>Powertrain</v>
      </c>
      <c r="D62" t="str">
        <f>tblComponents[Sourcing_Type]</f>
        <v>Make</v>
      </c>
      <c r="E62" t="str">
        <f>tblComponents[Criticality]</f>
        <v>Medium</v>
      </c>
      <c r="F62">
        <f>tblComponents[Forecast_Demand]</f>
        <v>2866</v>
      </c>
      <c r="G62">
        <f>tblComponents[Opening_Inventory]</f>
        <v>3199</v>
      </c>
      <c r="H62">
        <f>tblComponents[Safety_Stock]</f>
        <v>655</v>
      </c>
      <c r="I62">
        <f t="shared" si="0"/>
        <v>322</v>
      </c>
      <c r="J62" s="15">
        <f>tblComponents[Defect_Rate]</f>
        <v>2.1499999999999998E-2</v>
      </c>
      <c r="K62">
        <f t="shared" si="1"/>
        <v>329.07511497189574</v>
      </c>
      <c r="L62" t="str">
        <f t="shared" si="2"/>
        <v>Production</v>
      </c>
      <c r="M62">
        <f t="shared" si="3"/>
        <v>329.07511497189574</v>
      </c>
    </row>
    <row r="63" spans="1:13" x14ac:dyDescent="0.35">
      <c r="A63" s="12" t="str">
        <f>tblComponents[Component_ID]</f>
        <v>C062</v>
      </c>
      <c r="B63" s="12" t="str">
        <f>tblComponents[Component_Name]</f>
        <v>Component 062</v>
      </c>
      <c r="C63" t="str">
        <f>tblComponents[Product_Family]</f>
        <v>Powertrain</v>
      </c>
      <c r="D63" t="str">
        <f>tblComponents[Sourcing_Type]</f>
        <v>Make</v>
      </c>
      <c r="E63" t="str">
        <f>tblComponents[Criticality]</f>
        <v>High</v>
      </c>
      <c r="F63">
        <f>tblComponents[Forecast_Demand]</f>
        <v>1535</v>
      </c>
      <c r="G63">
        <f>tblComponents[Opening_Inventory]</f>
        <v>4702</v>
      </c>
      <c r="H63">
        <f>tblComponents[Safety_Stock]</f>
        <v>1179</v>
      </c>
      <c r="I63">
        <f t="shared" si="0"/>
        <v>0</v>
      </c>
      <c r="J63" s="15">
        <f>tblComponents[Defect_Rate]</f>
        <v>2.1100000000000001E-2</v>
      </c>
      <c r="K63">
        <f t="shared" si="1"/>
        <v>0</v>
      </c>
      <c r="L63" t="str">
        <f t="shared" si="2"/>
        <v>Production</v>
      </c>
      <c r="M63">
        <f t="shared" si="3"/>
        <v>0</v>
      </c>
    </row>
    <row r="64" spans="1:13" x14ac:dyDescent="0.35">
      <c r="A64" s="12" t="str">
        <f>tblComponents[Component_ID]</f>
        <v>C063</v>
      </c>
      <c r="B64" s="12" t="str">
        <f>tblComponents[Component_Name]</f>
        <v>Component 063</v>
      </c>
      <c r="C64" t="str">
        <f>tblComponents[Product_Family]</f>
        <v>Electrical Systems</v>
      </c>
      <c r="D64" t="str">
        <f>tblComponents[Sourcing_Type]</f>
        <v>Make</v>
      </c>
      <c r="E64" t="str">
        <f>tblComponents[Criticality]</f>
        <v>Medium</v>
      </c>
      <c r="F64">
        <f>tblComponents[Forecast_Demand]</f>
        <v>416</v>
      </c>
      <c r="G64">
        <f>tblComponents[Opening_Inventory]</f>
        <v>3535</v>
      </c>
      <c r="H64">
        <f>tblComponents[Safety_Stock]</f>
        <v>469</v>
      </c>
      <c r="I64">
        <f t="shared" si="0"/>
        <v>0</v>
      </c>
      <c r="J64" s="15">
        <f>tblComponents[Defect_Rate]</f>
        <v>1.1299999999999999E-2</v>
      </c>
      <c r="K64">
        <f t="shared" si="1"/>
        <v>0</v>
      </c>
      <c r="L64" t="str">
        <f t="shared" si="2"/>
        <v>Production</v>
      </c>
      <c r="M64">
        <f t="shared" si="3"/>
        <v>0</v>
      </c>
    </row>
    <row r="65" spans="1:13" x14ac:dyDescent="0.35">
      <c r="A65" s="12" t="str">
        <f>tblComponents[Component_ID]</f>
        <v>C064</v>
      </c>
      <c r="B65" s="12" t="str">
        <f>tblComponents[Component_Name]</f>
        <v>Component 064</v>
      </c>
      <c r="C65" t="str">
        <f>tblComponents[Product_Family]</f>
        <v>Chassis</v>
      </c>
      <c r="D65" t="str">
        <f>tblComponents[Sourcing_Type]</f>
        <v>Make</v>
      </c>
      <c r="E65" t="str">
        <f>tblComponents[Criticality]</f>
        <v>High</v>
      </c>
      <c r="F65">
        <f>tblComponents[Forecast_Demand]</f>
        <v>1421</v>
      </c>
      <c r="G65">
        <f>tblComponents[Opening_Inventory]</f>
        <v>4032</v>
      </c>
      <c r="H65">
        <f>tblComponents[Safety_Stock]</f>
        <v>482</v>
      </c>
      <c r="I65">
        <f t="shared" si="0"/>
        <v>0</v>
      </c>
      <c r="J65" s="15">
        <f>tblComponents[Defect_Rate]</f>
        <v>1.11E-2</v>
      </c>
      <c r="K65">
        <f t="shared" si="1"/>
        <v>0</v>
      </c>
      <c r="L65" t="str">
        <f t="shared" si="2"/>
        <v>Production</v>
      </c>
      <c r="M65">
        <f t="shared" si="3"/>
        <v>0</v>
      </c>
    </row>
    <row r="66" spans="1:13" x14ac:dyDescent="0.35">
      <c r="A66" s="12" t="str">
        <f>tblComponents[Component_ID]</f>
        <v>C065</v>
      </c>
      <c r="B66" s="12" t="str">
        <f>tblComponents[Component_Name]</f>
        <v>Component 065</v>
      </c>
      <c r="C66" t="str">
        <f>tblComponents[Product_Family]</f>
        <v>Body &amp; Exterior</v>
      </c>
      <c r="D66" t="str">
        <f>tblComponents[Sourcing_Type]</f>
        <v>Make</v>
      </c>
      <c r="E66" t="str">
        <f>tblComponents[Criticality]</f>
        <v>Low</v>
      </c>
      <c r="F66">
        <f>tblComponents[Forecast_Demand]</f>
        <v>442</v>
      </c>
      <c r="G66">
        <f>tblComponents[Opening_Inventory]</f>
        <v>5141</v>
      </c>
      <c r="H66">
        <f>tblComponents[Safety_Stock]</f>
        <v>598</v>
      </c>
      <c r="I66">
        <f t="shared" si="0"/>
        <v>0</v>
      </c>
      <c r="J66" s="15">
        <f>tblComponents[Defect_Rate]</f>
        <v>1.3299999999999999E-2</v>
      </c>
      <c r="K66">
        <f t="shared" si="1"/>
        <v>0</v>
      </c>
      <c r="L66" t="str">
        <f t="shared" si="2"/>
        <v>Production</v>
      </c>
      <c r="M66">
        <f t="shared" si="3"/>
        <v>0</v>
      </c>
    </row>
    <row r="67" spans="1:13" x14ac:dyDescent="0.35">
      <c r="A67" s="12" t="str">
        <f>tblComponents[Component_ID]</f>
        <v>C066</v>
      </c>
      <c r="B67" s="12" t="str">
        <f>tblComponents[Component_Name]</f>
        <v>Component 066</v>
      </c>
      <c r="C67" t="str">
        <f>tblComponents[Product_Family]</f>
        <v>Electrical Systems</v>
      </c>
      <c r="D67" t="str">
        <f>tblComponents[Sourcing_Type]</f>
        <v>Make</v>
      </c>
      <c r="E67" t="str">
        <f>tblComponents[Criticality]</f>
        <v>Medium</v>
      </c>
      <c r="F67">
        <f>tblComponents[Forecast_Demand]</f>
        <v>369</v>
      </c>
      <c r="G67">
        <f>tblComponents[Opening_Inventory]</f>
        <v>3276</v>
      </c>
      <c r="H67">
        <f>tblComponents[Safety_Stock]</f>
        <v>1295</v>
      </c>
      <c r="I67">
        <f t="shared" ref="I67:I130" si="4">MAX(0,F67+H67-G67)</f>
        <v>0</v>
      </c>
      <c r="J67" s="15">
        <f>tblComponents[Defect_Rate]</f>
        <v>1.52E-2</v>
      </c>
      <c r="K67">
        <f t="shared" ref="K67:K130" si="5">IFERROR(I67/(1-J67),0)</f>
        <v>0</v>
      </c>
      <c r="L67" t="str">
        <f t="shared" ref="L67:L130" si="6">IF(D67="Make","Production","Procurement")</f>
        <v>Production</v>
      </c>
      <c r="M67">
        <f t="shared" ref="M67:M130" si="7">K67</f>
        <v>0</v>
      </c>
    </row>
    <row r="68" spans="1:13" x14ac:dyDescent="0.35">
      <c r="A68" s="12" t="str">
        <f>tblComponents[Component_ID]</f>
        <v>C067</v>
      </c>
      <c r="B68" s="12" t="str">
        <f>tblComponents[Component_Name]</f>
        <v>Component 067</v>
      </c>
      <c r="C68" t="str">
        <f>tblComponents[Product_Family]</f>
        <v>Chassis</v>
      </c>
      <c r="D68" t="str">
        <f>tblComponents[Sourcing_Type]</f>
        <v>Make</v>
      </c>
      <c r="E68" t="str">
        <f>tblComponents[Criticality]</f>
        <v>Low</v>
      </c>
      <c r="F68">
        <f>tblComponents[Forecast_Demand]</f>
        <v>1564</v>
      </c>
      <c r="G68">
        <f>tblComponents[Opening_Inventory]</f>
        <v>15203</v>
      </c>
      <c r="H68">
        <f>tblComponents[Safety_Stock]</f>
        <v>3053</v>
      </c>
      <c r="I68">
        <f t="shared" si="4"/>
        <v>0</v>
      </c>
      <c r="J68" s="15">
        <f>tblComponents[Defect_Rate]</f>
        <v>7.4999999999999997E-3</v>
      </c>
      <c r="K68">
        <f t="shared" si="5"/>
        <v>0</v>
      </c>
      <c r="L68" t="str">
        <f t="shared" si="6"/>
        <v>Production</v>
      </c>
      <c r="M68">
        <f t="shared" si="7"/>
        <v>0</v>
      </c>
    </row>
    <row r="69" spans="1:13" x14ac:dyDescent="0.35">
      <c r="A69" s="12" t="str">
        <f>tblComponents[Component_ID]</f>
        <v>C068</v>
      </c>
      <c r="B69" s="12" t="str">
        <f>tblComponents[Component_Name]</f>
        <v>Component 068</v>
      </c>
      <c r="C69" t="str">
        <f>tblComponents[Product_Family]</f>
        <v>Chassis</v>
      </c>
      <c r="D69" t="str">
        <f>tblComponents[Sourcing_Type]</f>
        <v>Make</v>
      </c>
      <c r="E69" t="str">
        <f>tblComponents[Criticality]</f>
        <v>Low</v>
      </c>
      <c r="F69">
        <f>tblComponents[Forecast_Demand]</f>
        <v>1895</v>
      </c>
      <c r="G69">
        <f>tblComponents[Opening_Inventory]</f>
        <v>9867</v>
      </c>
      <c r="H69">
        <f>tblComponents[Safety_Stock]</f>
        <v>2116</v>
      </c>
      <c r="I69">
        <f t="shared" si="4"/>
        <v>0</v>
      </c>
      <c r="J69" s="15">
        <f>tblComponents[Defect_Rate]</f>
        <v>2.53E-2</v>
      </c>
      <c r="K69">
        <f t="shared" si="5"/>
        <v>0</v>
      </c>
      <c r="L69" t="str">
        <f t="shared" si="6"/>
        <v>Production</v>
      </c>
      <c r="M69">
        <f t="shared" si="7"/>
        <v>0</v>
      </c>
    </row>
    <row r="70" spans="1:13" x14ac:dyDescent="0.35">
      <c r="A70" s="12" t="str">
        <f>tblComponents[Component_ID]</f>
        <v>C069</v>
      </c>
      <c r="B70" s="12" t="str">
        <f>tblComponents[Component_Name]</f>
        <v>Component 069</v>
      </c>
      <c r="C70" t="str">
        <f>tblComponents[Product_Family]</f>
        <v>Interior</v>
      </c>
      <c r="D70" t="str">
        <f>tblComponents[Sourcing_Type]</f>
        <v>Make</v>
      </c>
      <c r="E70" t="str">
        <f>tblComponents[Criticality]</f>
        <v>Medium</v>
      </c>
      <c r="F70">
        <f>tblComponents[Forecast_Demand]</f>
        <v>228</v>
      </c>
      <c r="G70">
        <f>tblComponents[Opening_Inventory]</f>
        <v>2306</v>
      </c>
      <c r="H70">
        <f>tblComponents[Safety_Stock]</f>
        <v>424</v>
      </c>
      <c r="I70">
        <f t="shared" si="4"/>
        <v>0</v>
      </c>
      <c r="J70" s="15">
        <f>tblComponents[Defect_Rate]</f>
        <v>1.32E-2</v>
      </c>
      <c r="K70">
        <f t="shared" si="5"/>
        <v>0</v>
      </c>
      <c r="L70" t="str">
        <f t="shared" si="6"/>
        <v>Production</v>
      </c>
      <c r="M70">
        <f t="shared" si="7"/>
        <v>0</v>
      </c>
    </row>
    <row r="71" spans="1:13" x14ac:dyDescent="0.35">
      <c r="A71" s="12" t="str">
        <f>tblComponents[Component_ID]</f>
        <v>C070</v>
      </c>
      <c r="B71" s="12" t="str">
        <f>tblComponents[Component_Name]</f>
        <v>Component 070</v>
      </c>
      <c r="C71" t="str">
        <f>tblComponents[Product_Family]</f>
        <v>Powertrain</v>
      </c>
      <c r="D71" t="str">
        <f>tblComponents[Sourcing_Type]</f>
        <v>Make</v>
      </c>
      <c r="E71" t="str">
        <f>tblComponents[Criticality]</f>
        <v>Medium</v>
      </c>
      <c r="F71">
        <f>tblComponents[Forecast_Demand]</f>
        <v>316</v>
      </c>
      <c r="G71">
        <f>tblComponents[Opening_Inventory]</f>
        <v>4886</v>
      </c>
      <c r="H71">
        <f>tblComponents[Safety_Stock]</f>
        <v>933</v>
      </c>
      <c r="I71">
        <f t="shared" si="4"/>
        <v>0</v>
      </c>
      <c r="J71" s="15">
        <f>tblComponents[Defect_Rate]</f>
        <v>9.7000000000000003E-3</v>
      </c>
      <c r="K71">
        <f t="shared" si="5"/>
        <v>0</v>
      </c>
      <c r="L71" t="str">
        <f t="shared" si="6"/>
        <v>Production</v>
      </c>
      <c r="M71">
        <f t="shared" si="7"/>
        <v>0</v>
      </c>
    </row>
    <row r="72" spans="1:13" x14ac:dyDescent="0.35">
      <c r="A72" s="12" t="str">
        <f>tblComponents[Component_ID]</f>
        <v>C071</v>
      </c>
      <c r="B72" s="12" t="str">
        <f>tblComponents[Component_Name]</f>
        <v>Component 071</v>
      </c>
      <c r="C72" t="str">
        <f>tblComponents[Product_Family]</f>
        <v>Chassis</v>
      </c>
      <c r="D72" t="str">
        <f>tblComponents[Sourcing_Type]</f>
        <v>Make</v>
      </c>
      <c r="E72" t="str">
        <f>tblComponents[Criticality]</f>
        <v>Low</v>
      </c>
      <c r="F72">
        <f>tblComponents[Forecast_Demand]</f>
        <v>682</v>
      </c>
      <c r="G72">
        <f>tblComponents[Opening_Inventory]</f>
        <v>5101</v>
      </c>
      <c r="H72">
        <f>tblComponents[Safety_Stock]</f>
        <v>859</v>
      </c>
      <c r="I72">
        <f t="shared" si="4"/>
        <v>0</v>
      </c>
      <c r="J72" s="15">
        <f>tblComponents[Defect_Rate]</f>
        <v>4.4999999999999997E-3</v>
      </c>
      <c r="K72">
        <f t="shared" si="5"/>
        <v>0</v>
      </c>
      <c r="L72" t="str">
        <f t="shared" si="6"/>
        <v>Production</v>
      </c>
      <c r="M72">
        <f t="shared" si="7"/>
        <v>0</v>
      </c>
    </row>
    <row r="73" spans="1:13" x14ac:dyDescent="0.35">
      <c r="A73" s="12" t="str">
        <f>tblComponents[Component_ID]</f>
        <v>C072</v>
      </c>
      <c r="B73" s="12" t="str">
        <f>tblComponents[Component_Name]</f>
        <v>Component 072</v>
      </c>
      <c r="C73" t="str">
        <f>tblComponents[Product_Family]</f>
        <v>Interior</v>
      </c>
      <c r="D73" t="str">
        <f>tblComponents[Sourcing_Type]</f>
        <v>Make</v>
      </c>
      <c r="E73" t="str">
        <f>tblComponents[Criticality]</f>
        <v>Critical</v>
      </c>
      <c r="F73">
        <f>tblComponents[Forecast_Demand]</f>
        <v>550</v>
      </c>
      <c r="G73">
        <f>tblComponents[Opening_Inventory]</f>
        <v>8635</v>
      </c>
      <c r="H73">
        <f>tblComponents[Safety_Stock]</f>
        <v>1288</v>
      </c>
      <c r="I73">
        <f t="shared" si="4"/>
        <v>0</v>
      </c>
      <c r="J73" s="15">
        <f>tblComponents[Defect_Rate]</f>
        <v>7.4999999999999997E-3</v>
      </c>
      <c r="K73">
        <f t="shared" si="5"/>
        <v>0</v>
      </c>
      <c r="L73" t="str">
        <f t="shared" si="6"/>
        <v>Production</v>
      </c>
      <c r="M73">
        <f t="shared" si="7"/>
        <v>0</v>
      </c>
    </row>
    <row r="74" spans="1:13" x14ac:dyDescent="0.35">
      <c r="A74" s="12" t="str">
        <f>tblComponents[Component_ID]</f>
        <v>C073</v>
      </c>
      <c r="B74" s="12" t="str">
        <f>tblComponents[Component_Name]</f>
        <v>Component 073</v>
      </c>
      <c r="C74" t="str">
        <f>tblComponents[Product_Family]</f>
        <v>Electrical Systems</v>
      </c>
      <c r="D74" t="str">
        <f>tblComponents[Sourcing_Type]</f>
        <v>Make</v>
      </c>
      <c r="E74" t="str">
        <f>tblComponents[Criticality]</f>
        <v>Low</v>
      </c>
      <c r="F74">
        <f>tblComponents[Forecast_Demand]</f>
        <v>1450</v>
      </c>
      <c r="G74">
        <f>tblComponents[Opening_Inventory]</f>
        <v>2077</v>
      </c>
      <c r="H74">
        <f>tblComponents[Safety_Stock]</f>
        <v>614</v>
      </c>
      <c r="I74">
        <f t="shared" si="4"/>
        <v>0</v>
      </c>
      <c r="J74" s="15">
        <f>tblComponents[Defect_Rate]</f>
        <v>2.3800000000000002E-2</v>
      </c>
      <c r="K74">
        <f t="shared" si="5"/>
        <v>0</v>
      </c>
      <c r="L74" t="str">
        <f t="shared" si="6"/>
        <v>Production</v>
      </c>
      <c r="M74">
        <f t="shared" si="7"/>
        <v>0</v>
      </c>
    </row>
    <row r="75" spans="1:13" x14ac:dyDescent="0.35">
      <c r="A75" s="12" t="str">
        <f>tblComponents[Component_ID]</f>
        <v>C074</v>
      </c>
      <c r="B75" s="12" t="str">
        <f>tblComponents[Component_Name]</f>
        <v>Component 074</v>
      </c>
      <c r="C75" t="str">
        <f>tblComponents[Product_Family]</f>
        <v>Electrical Systems</v>
      </c>
      <c r="D75" t="str">
        <f>tblComponents[Sourcing_Type]</f>
        <v>Make</v>
      </c>
      <c r="E75" t="str">
        <f>tblComponents[Criticality]</f>
        <v>Medium</v>
      </c>
      <c r="F75">
        <f>tblComponents[Forecast_Demand]</f>
        <v>3018</v>
      </c>
      <c r="G75">
        <f>tblComponents[Opening_Inventory]</f>
        <v>9450</v>
      </c>
      <c r="H75">
        <f>tblComponents[Safety_Stock]</f>
        <v>2172</v>
      </c>
      <c r="I75">
        <f t="shared" si="4"/>
        <v>0</v>
      </c>
      <c r="J75" s="15">
        <f>tblComponents[Defect_Rate]</f>
        <v>8.9999999999999993E-3</v>
      </c>
      <c r="K75">
        <f t="shared" si="5"/>
        <v>0</v>
      </c>
      <c r="L75" t="str">
        <f t="shared" si="6"/>
        <v>Production</v>
      </c>
      <c r="M75">
        <f t="shared" si="7"/>
        <v>0</v>
      </c>
    </row>
    <row r="76" spans="1:13" x14ac:dyDescent="0.35">
      <c r="A76" s="12" t="str">
        <f>tblComponents[Component_ID]</f>
        <v>C075</v>
      </c>
      <c r="B76" s="12" t="str">
        <f>tblComponents[Component_Name]</f>
        <v>Component 075</v>
      </c>
      <c r="C76" t="str">
        <f>tblComponents[Product_Family]</f>
        <v>Body &amp; Exterior</v>
      </c>
      <c r="D76" t="str">
        <f>tblComponents[Sourcing_Type]</f>
        <v>Make</v>
      </c>
      <c r="E76" t="str">
        <f>tblComponents[Criticality]</f>
        <v>Medium</v>
      </c>
      <c r="F76">
        <f>tblComponents[Forecast_Demand]</f>
        <v>152</v>
      </c>
      <c r="G76">
        <f>tblComponents[Opening_Inventory]</f>
        <v>1635</v>
      </c>
      <c r="H76">
        <f>tblComponents[Safety_Stock]</f>
        <v>412</v>
      </c>
      <c r="I76">
        <f t="shared" si="4"/>
        <v>0</v>
      </c>
      <c r="J76" s="15">
        <f>tblComponents[Defect_Rate]</f>
        <v>6.7999999999999996E-3</v>
      </c>
      <c r="K76">
        <f t="shared" si="5"/>
        <v>0</v>
      </c>
      <c r="L76" t="str">
        <f t="shared" si="6"/>
        <v>Production</v>
      </c>
      <c r="M76">
        <f t="shared" si="7"/>
        <v>0</v>
      </c>
    </row>
    <row r="77" spans="1:13" x14ac:dyDescent="0.35">
      <c r="A77" s="12" t="str">
        <f>tblComponents[Component_ID]</f>
        <v>C076</v>
      </c>
      <c r="B77" s="12" t="str">
        <f>tblComponents[Component_Name]</f>
        <v>Component 076</v>
      </c>
      <c r="C77" t="str">
        <f>tblComponents[Product_Family]</f>
        <v>Body &amp; Exterior</v>
      </c>
      <c r="D77" t="str">
        <f>tblComponents[Sourcing_Type]</f>
        <v>Make</v>
      </c>
      <c r="E77" t="str">
        <f>tblComponents[Criticality]</f>
        <v>High</v>
      </c>
      <c r="F77">
        <f>tblComponents[Forecast_Demand]</f>
        <v>807</v>
      </c>
      <c r="G77">
        <f>tblComponents[Opening_Inventory]</f>
        <v>2437</v>
      </c>
      <c r="H77">
        <f>tblComponents[Safety_Stock]</f>
        <v>501</v>
      </c>
      <c r="I77">
        <f t="shared" si="4"/>
        <v>0</v>
      </c>
      <c r="J77" s="15">
        <f>tblComponents[Defect_Rate]</f>
        <v>1.26E-2</v>
      </c>
      <c r="K77">
        <f t="shared" si="5"/>
        <v>0</v>
      </c>
      <c r="L77" t="str">
        <f t="shared" si="6"/>
        <v>Production</v>
      </c>
      <c r="M77">
        <f t="shared" si="7"/>
        <v>0</v>
      </c>
    </row>
    <row r="78" spans="1:13" x14ac:dyDescent="0.35">
      <c r="A78" s="12" t="str">
        <f>tblComponents[Component_ID]</f>
        <v>C077</v>
      </c>
      <c r="B78" s="12" t="str">
        <f>tblComponents[Component_Name]</f>
        <v>Component 077</v>
      </c>
      <c r="C78" t="str">
        <f>tblComponents[Product_Family]</f>
        <v>Powertrain</v>
      </c>
      <c r="D78" t="str">
        <f>tblComponents[Sourcing_Type]</f>
        <v>Make</v>
      </c>
      <c r="E78" t="str">
        <f>tblComponents[Criticality]</f>
        <v>Critical</v>
      </c>
      <c r="F78">
        <f>tblComponents[Forecast_Demand]</f>
        <v>635</v>
      </c>
      <c r="G78">
        <f>tblComponents[Opening_Inventory]</f>
        <v>8630</v>
      </c>
      <c r="H78">
        <f>tblComponents[Safety_Stock]</f>
        <v>1181</v>
      </c>
      <c r="I78">
        <f t="shared" si="4"/>
        <v>0</v>
      </c>
      <c r="J78" s="15">
        <f>tblComponents[Defect_Rate]</f>
        <v>1.1299999999999999E-2</v>
      </c>
      <c r="K78">
        <f t="shared" si="5"/>
        <v>0</v>
      </c>
      <c r="L78" t="str">
        <f t="shared" si="6"/>
        <v>Production</v>
      </c>
      <c r="M78">
        <f t="shared" si="7"/>
        <v>0</v>
      </c>
    </row>
    <row r="79" spans="1:13" x14ac:dyDescent="0.35">
      <c r="A79" s="12" t="str">
        <f>tblComponents[Component_ID]</f>
        <v>C078</v>
      </c>
      <c r="B79" s="12" t="str">
        <f>tblComponents[Component_Name]</f>
        <v>Component 078</v>
      </c>
      <c r="C79" t="str">
        <f>tblComponents[Product_Family]</f>
        <v>Interior</v>
      </c>
      <c r="D79" t="str">
        <f>tblComponents[Sourcing_Type]</f>
        <v>Make</v>
      </c>
      <c r="E79" t="str">
        <f>tblComponents[Criticality]</f>
        <v>Medium</v>
      </c>
      <c r="F79">
        <f>tblComponents[Forecast_Demand]</f>
        <v>1408</v>
      </c>
      <c r="G79">
        <f>tblComponents[Opening_Inventory]</f>
        <v>10132</v>
      </c>
      <c r="H79">
        <f>tblComponents[Safety_Stock]</f>
        <v>2875</v>
      </c>
      <c r="I79">
        <f t="shared" si="4"/>
        <v>0</v>
      </c>
      <c r="J79" s="15">
        <f>tblComponents[Defect_Rate]</f>
        <v>2.8E-3</v>
      </c>
      <c r="K79">
        <f t="shared" si="5"/>
        <v>0</v>
      </c>
      <c r="L79" t="str">
        <f t="shared" si="6"/>
        <v>Production</v>
      </c>
      <c r="M79">
        <f t="shared" si="7"/>
        <v>0</v>
      </c>
    </row>
    <row r="80" spans="1:13" x14ac:dyDescent="0.35">
      <c r="A80" s="12" t="str">
        <f>tblComponents[Component_ID]</f>
        <v>C079</v>
      </c>
      <c r="B80" s="12" t="str">
        <f>tblComponents[Component_Name]</f>
        <v>Component 079</v>
      </c>
      <c r="C80" t="str">
        <f>tblComponents[Product_Family]</f>
        <v>Powertrain</v>
      </c>
      <c r="D80" t="str">
        <f>tblComponents[Sourcing_Type]</f>
        <v>Make</v>
      </c>
      <c r="E80" t="str">
        <f>tblComponents[Criticality]</f>
        <v>Medium</v>
      </c>
      <c r="F80">
        <f>tblComponents[Forecast_Demand]</f>
        <v>1193</v>
      </c>
      <c r="G80">
        <f>tblComponents[Opening_Inventory]</f>
        <v>3653</v>
      </c>
      <c r="H80">
        <f>tblComponents[Safety_Stock]</f>
        <v>920</v>
      </c>
      <c r="I80">
        <f t="shared" si="4"/>
        <v>0</v>
      </c>
      <c r="J80" s="15">
        <f>tblComponents[Defect_Rate]</f>
        <v>9.4000000000000004E-3</v>
      </c>
      <c r="K80">
        <f t="shared" si="5"/>
        <v>0</v>
      </c>
      <c r="L80" t="str">
        <f t="shared" si="6"/>
        <v>Production</v>
      </c>
      <c r="M80">
        <f t="shared" si="7"/>
        <v>0</v>
      </c>
    </row>
    <row r="81" spans="1:13" x14ac:dyDescent="0.35">
      <c r="A81" s="12" t="str">
        <f>tblComponents[Component_ID]</f>
        <v>C080</v>
      </c>
      <c r="B81" s="12" t="str">
        <f>tblComponents[Component_Name]</f>
        <v>Component 080</v>
      </c>
      <c r="C81" t="str">
        <f>tblComponents[Product_Family]</f>
        <v>Chassis</v>
      </c>
      <c r="D81" t="str">
        <f>tblComponents[Sourcing_Type]</f>
        <v>Make</v>
      </c>
      <c r="E81" t="str">
        <f>tblComponents[Criticality]</f>
        <v>Critical</v>
      </c>
      <c r="F81">
        <f>tblComponents[Forecast_Demand]</f>
        <v>413</v>
      </c>
      <c r="G81">
        <f>tblComponents[Opening_Inventory]</f>
        <v>6638</v>
      </c>
      <c r="H81">
        <f>tblComponents[Safety_Stock]</f>
        <v>474</v>
      </c>
      <c r="I81">
        <f t="shared" si="4"/>
        <v>0</v>
      </c>
      <c r="J81" s="15">
        <f>tblComponents[Defect_Rate]</f>
        <v>1.4500000000000001E-2</v>
      </c>
      <c r="K81">
        <f t="shared" si="5"/>
        <v>0</v>
      </c>
      <c r="L81" t="str">
        <f t="shared" si="6"/>
        <v>Production</v>
      </c>
      <c r="M81">
        <f t="shared" si="7"/>
        <v>0</v>
      </c>
    </row>
    <row r="82" spans="1:13" x14ac:dyDescent="0.35">
      <c r="A82" s="12" t="str">
        <f>tblComponents[Component_ID]</f>
        <v>C081</v>
      </c>
      <c r="B82" s="12" t="str">
        <f>tblComponents[Component_Name]</f>
        <v>Component 081</v>
      </c>
      <c r="C82" t="str">
        <f>tblComponents[Product_Family]</f>
        <v>Chassis</v>
      </c>
      <c r="D82" t="str">
        <f>tblComponents[Sourcing_Type]</f>
        <v>Make</v>
      </c>
      <c r="E82" t="str">
        <f>tblComponents[Criticality]</f>
        <v>Medium</v>
      </c>
      <c r="F82">
        <f>tblComponents[Forecast_Demand]</f>
        <v>1870</v>
      </c>
      <c r="G82">
        <f>tblComponents[Opening_Inventory]</f>
        <v>3446</v>
      </c>
      <c r="H82">
        <f>tblComponents[Safety_Stock]</f>
        <v>408</v>
      </c>
      <c r="I82">
        <f t="shared" si="4"/>
        <v>0</v>
      </c>
      <c r="J82" s="15">
        <f>tblComponents[Defect_Rate]</f>
        <v>1.6899999999999998E-2</v>
      </c>
      <c r="K82">
        <f t="shared" si="5"/>
        <v>0</v>
      </c>
      <c r="L82" t="str">
        <f t="shared" si="6"/>
        <v>Production</v>
      </c>
      <c r="M82">
        <f t="shared" si="7"/>
        <v>0</v>
      </c>
    </row>
    <row r="83" spans="1:13" x14ac:dyDescent="0.35">
      <c r="A83" s="12" t="str">
        <f>tblComponents[Component_ID]</f>
        <v>C082</v>
      </c>
      <c r="B83" s="12" t="str">
        <f>tblComponents[Component_Name]</f>
        <v>Component 082</v>
      </c>
      <c r="C83" t="str">
        <f>tblComponents[Product_Family]</f>
        <v>Electrical Systems</v>
      </c>
      <c r="D83" t="str">
        <f>tblComponents[Sourcing_Type]</f>
        <v>Make</v>
      </c>
      <c r="E83" t="str">
        <f>tblComponents[Criticality]</f>
        <v>Medium</v>
      </c>
      <c r="F83">
        <f>tblComponents[Forecast_Demand]</f>
        <v>353</v>
      </c>
      <c r="G83">
        <f>tblComponents[Opening_Inventory]</f>
        <v>1679</v>
      </c>
      <c r="H83">
        <f>tblComponents[Safety_Stock]</f>
        <v>387</v>
      </c>
      <c r="I83">
        <f t="shared" si="4"/>
        <v>0</v>
      </c>
      <c r="J83" s="15">
        <f>tblComponents[Defect_Rate]</f>
        <v>1.0200000000000001E-2</v>
      </c>
      <c r="K83">
        <f t="shared" si="5"/>
        <v>0</v>
      </c>
      <c r="L83" t="str">
        <f t="shared" si="6"/>
        <v>Production</v>
      </c>
      <c r="M83">
        <f t="shared" si="7"/>
        <v>0</v>
      </c>
    </row>
    <row r="84" spans="1:13" x14ac:dyDescent="0.35">
      <c r="A84" s="12" t="str">
        <f>tblComponents[Component_ID]</f>
        <v>C083</v>
      </c>
      <c r="B84" s="12" t="str">
        <f>tblComponents[Component_Name]</f>
        <v>Component 083</v>
      </c>
      <c r="C84" t="str">
        <f>tblComponents[Product_Family]</f>
        <v>Body &amp; Exterior</v>
      </c>
      <c r="D84" t="str">
        <f>tblComponents[Sourcing_Type]</f>
        <v>Make</v>
      </c>
      <c r="E84" t="str">
        <f>tblComponents[Criticality]</f>
        <v>Low</v>
      </c>
      <c r="F84">
        <f>tblComponents[Forecast_Demand]</f>
        <v>1245</v>
      </c>
      <c r="G84">
        <f>tblComponents[Opening_Inventory]</f>
        <v>3929</v>
      </c>
      <c r="H84">
        <f>tblComponents[Safety_Stock]</f>
        <v>550</v>
      </c>
      <c r="I84">
        <f t="shared" si="4"/>
        <v>0</v>
      </c>
      <c r="J84" s="15">
        <f>tblComponents[Defect_Rate]</f>
        <v>1.23E-2</v>
      </c>
      <c r="K84">
        <f t="shared" si="5"/>
        <v>0</v>
      </c>
      <c r="L84" t="str">
        <f t="shared" si="6"/>
        <v>Production</v>
      </c>
      <c r="M84">
        <f t="shared" si="7"/>
        <v>0</v>
      </c>
    </row>
    <row r="85" spans="1:13" x14ac:dyDescent="0.35">
      <c r="A85" s="12" t="str">
        <f>tblComponents[Component_ID]</f>
        <v>C084</v>
      </c>
      <c r="B85" s="12" t="str">
        <f>tblComponents[Component_Name]</f>
        <v>Component 084</v>
      </c>
      <c r="C85" t="str">
        <f>tblComponents[Product_Family]</f>
        <v>Powertrain</v>
      </c>
      <c r="D85" t="str">
        <f>tblComponents[Sourcing_Type]</f>
        <v>Make</v>
      </c>
      <c r="E85" t="str">
        <f>tblComponents[Criticality]</f>
        <v>Medium</v>
      </c>
      <c r="F85">
        <f>tblComponents[Forecast_Demand]</f>
        <v>991</v>
      </c>
      <c r="G85">
        <f>tblComponents[Opening_Inventory]</f>
        <v>6478</v>
      </c>
      <c r="H85">
        <f>tblComponents[Safety_Stock]</f>
        <v>1990</v>
      </c>
      <c r="I85">
        <f t="shared" si="4"/>
        <v>0</v>
      </c>
      <c r="J85" s="15">
        <f>tblComponents[Defect_Rate]</f>
        <v>2.4199999999999999E-2</v>
      </c>
      <c r="K85">
        <f t="shared" si="5"/>
        <v>0</v>
      </c>
      <c r="L85" t="str">
        <f t="shared" si="6"/>
        <v>Production</v>
      </c>
      <c r="M85">
        <f t="shared" si="7"/>
        <v>0</v>
      </c>
    </row>
    <row r="86" spans="1:13" x14ac:dyDescent="0.35">
      <c r="A86" s="12" t="str">
        <f>tblComponents[Component_ID]</f>
        <v>C085</v>
      </c>
      <c r="B86" s="12" t="str">
        <f>tblComponents[Component_Name]</f>
        <v>Component 085</v>
      </c>
      <c r="C86" t="str">
        <f>tblComponents[Product_Family]</f>
        <v>Powertrain</v>
      </c>
      <c r="D86" t="str">
        <f>tblComponents[Sourcing_Type]</f>
        <v>Make</v>
      </c>
      <c r="E86" t="str">
        <f>tblComponents[Criticality]</f>
        <v>Medium</v>
      </c>
      <c r="F86">
        <f>tblComponents[Forecast_Demand]</f>
        <v>1393</v>
      </c>
      <c r="G86">
        <f>tblComponents[Opening_Inventory]</f>
        <v>5627</v>
      </c>
      <c r="H86">
        <f>tblComponents[Safety_Stock]</f>
        <v>747</v>
      </c>
      <c r="I86">
        <f t="shared" si="4"/>
        <v>0</v>
      </c>
      <c r="J86" s="15">
        <f>tblComponents[Defect_Rate]</f>
        <v>1.0699999999999999E-2</v>
      </c>
      <c r="K86">
        <f t="shared" si="5"/>
        <v>0</v>
      </c>
      <c r="L86" t="str">
        <f t="shared" si="6"/>
        <v>Production</v>
      </c>
      <c r="M86">
        <f t="shared" si="7"/>
        <v>0</v>
      </c>
    </row>
    <row r="87" spans="1:13" x14ac:dyDescent="0.35">
      <c r="A87" s="12" t="str">
        <f>tblComponents[Component_ID]</f>
        <v>C086</v>
      </c>
      <c r="B87" s="12" t="str">
        <f>tblComponents[Component_Name]</f>
        <v>Component 086</v>
      </c>
      <c r="C87" t="str">
        <f>tblComponents[Product_Family]</f>
        <v>Interior</v>
      </c>
      <c r="D87" t="str">
        <f>tblComponents[Sourcing_Type]</f>
        <v>Make</v>
      </c>
      <c r="E87" t="str">
        <f>tblComponents[Criticality]</f>
        <v>Medium</v>
      </c>
      <c r="F87">
        <f>tblComponents[Forecast_Demand]</f>
        <v>2402</v>
      </c>
      <c r="G87">
        <f>tblComponents[Opening_Inventory]</f>
        <v>3008</v>
      </c>
      <c r="H87">
        <f>tblComponents[Safety_Stock]</f>
        <v>566</v>
      </c>
      <c r="I87">
        <f t="shared" si="4"/>
        <v>0</v>
      </c>
      <c r="J87" s="15">
        <f>tblComponents[Defect_Rate]</f>
        <v>9.9000000000000008E-3</v>
      </c>
      <c r="K87">
        <f t="shared" si="5"/>
        <v>0</v>
      </c>
      <c r="L87" t="str">
        <f t="shared" si="6"/>
        <v>Production</v>
      </c>
      <c r="M87">
        <f t="shared" si="7"/>
        <v>0</v>
      </c>
    </row>
    <row r="88" spans="1:13" x14ac:dyDescent="0.35">
      <c r="A88" s="12" t="str">
        <f>tblComponents[Component_ID]</f>
        <v>C087</v>
      </c>
      <c r="B88" s="12" t="str">
        <f>tblComponents[Component_Name]</f>
        <v>Component 087</v>
      </c>
      <c r="C88" t="str">
        <f>tblComponents[Product_Family]</f>
        <v>Powertrain</v>
      </c>
      <c r="D88" t="str">
        <f>tblComponents[Sourcing_Type]</f>
        <v>Make</v>
      </c>
      <c r="E88" t="str">
        <f>tblComponents[Criticality]</f>
        <v>Low</v>
      </c>
      <c r="F88">
        <f>tblComponents[Forecast_Demand]</f>
        <v>1327</v>
      </c>
      <c r="G88">
        <f>tblComponents[Opening_Inventory]</f>
        <v>6030</v>
      </c>
      <c r="H88">
        <f>tblComponents[Safety_Stock]</f>
        <v>588</v>
      </c>
      <c r="I88">
        <f t="shared" si="4"/>
        <v>0</v>
      </c>
      <c r="J88" s="15">
        <f>tblComponents[Defect_Rate]</f>
        <v>7.6E-3</v>
      </c>
      <c r="K88">
        <f t="shared" si="5"/>
        <v>0</v>
      </c>
      <c r="L88" t="str">
        <f t="shared" si="6"/>
        <v>Production</v>
      </c>
      <c r="M88">
        <f t="shared" si="7"/>
        <v>0</v>
      </c>
    </row>
    <row r="89" spans="1:13" x14ac:dyDescent="0.35">
      <c r="A89" s="12" t="str">
        <f>tblComponents[Component_ID]</f>
        <v>C088</v>
      </c>
      <c r="B89" s="12" t="str">
        <f>tblComponents[Component_Name]</f>
        <v>Component 088</v>
      </c>
      <c r="C89" t="str">
        <f>tblComponents[Product_Family]</f>
        <v>Electrical Systems</v>
      </c>
      <c r="D89" t="str">
        <f>tblComponents[Sourcing_Type]</f>
        <v>Make</v>
      </c>
      <c r="E89" t="str">
        <f>tblComponents[Criticality]</f>
        <v>Low</v>
      </c>
      <c r="F89">
        <f>tblComponents[Forecast_Demand]</f>
        <v>395</v>
      </c>
      <c r="G89">
        <f>tblComponents[Opening_Inventory]</f>
        <v>3729</v>
      </c>
      <c r="H89">
        <f>tblComponents[Safety_Stock]</f>
        <v>1121</v>
      </c>
      <c r="I89">
        <f t="shared" si="4"/>
        <v>0</v>
      </c>
      <c r="J89" s="15">
        <f>tblComponents[Defect_Rate]</f>
        <v>1.2500000000000001E-2</v>
      </c>
      <c r="K89">
        <f t="shared" si="5"/>
        <v>0</v>
      </c>
      <c r="L89" t="str">
        <f t="shared" si="6"/>
        <v>Production</v>
      </c>
      <c r="M89">
        <f t="shared" si="7"/>
        <v>0</v>
      </c>
    </row>
    <row r="90" spans="1:13" x14ac:dyDescent="0.35">
      <c r="A90" s="12" t="str">
        <f>tblComponents[Component_ID]</f>
        <v>C089</v>
      </c>
      <c r="B90" s="12" t="str">
        <f>tblComponents[Component_Name]</f>
        <v>Component 089</v>
      </c>
      <c r="C90" t="str">
        <f>tblComponents[Product_Family]</f>
        <v>Powertrain</v>
      </c>
      <c r="D90" t="str">
        <f>tblComponents[Sourcing_Type]</f>
        <v>Make</v>
      </c>
      <c r="E90" t="str">
        <f>tblComponents[Criticality]</f>
        <v>Low</v>
      </c>
      <c r="F90">
        <f>tblComponents[Forecast_Demand]</f>
        <v>1371</v>
      </c>
      <c r="G90">
        <f>tblComponents[Opening_Inventory]</f>
        <v>460</v>
      </c>
      <c r="H90">
        <f>tblComponents[Safety_Stock]</f>
        <v>67</v>
      </c>
      <c r="I90">
        <f t="shared" si="4"/>
        <v>978</v>
      </c>
      <c r="J90" s="15">
        <f>tblComponents[Defect_Rate]</f>
        <v>2.24E-2</v>
      </c>
      <c r="K90">
        <f t="shared" si="5"/>
        <v>1000.4091653027823</v>
      </c>
      <c r="L90" t="str">
        <f t="shared" si="6"/>
        <v>Production</v>
      </c>
      <c r="M90">
        <f t="shared" si="7"/>
        <v>1000.4091653027823</v>
      </c>
    </row>
    <row r="91" spans="1:13" x14ac:dyDescent="0.35">
      <c r="A91" s="12" t="str">
        <f>tblComponents[Component_ID]</f>
        <v>C090</v>
      </c>
      <c r="B91" s="12" t="str">
        <f>tblComponents[Component_Name]</f>
        <v>Component 090</v>
      </c>
      <c r="C91" t="str">
        <f>tblComponents[Product_Family]</f>
        <v>Powertrain</v>
      </c>
      <c r="D91" t="str">
        <f>tblComponents[Sourcing_Type]</f>
        <v>Make</v>
      </c>
      <c r="E91" t="str">
        <f>tblComponents[Criticality]</f>
        <v>Medium</v>
      </c>
      <c r="F91">
        <f>tblComponents[Forecast_Demand]</f>
        <v>521</v>
      </c>
      <c r="G91">
        <f>tblComponents[Opening_Inventory]</f>
        <v>3000</v>
      </c>
      <c r="H91">
        <f>tblComponents[Safety_Stock]</f>
        <v>379</v>
      </c>
      <c r="I91">
        <f t="shared" si="4"/>
        <v>0</v>
      </c>
      <c r="J91" s="15">
        <f>tblComponents[Defect_Rate]</f>
        <v>6.7000000000000002E-3</v>
      </c>
      <c r="K91">
        <f t="shared" si="5"/>
        <v>0</v>
      </c>
      <c r="L91" t="str">
        <f t="shared" si="6"/>
        <v>Production</v>
      </c>
      <c r="M91">
        <f t="shared" si="7"/>
        <v>0</v>
      </c>
    </row>
    <row r="92" spans="1:13" x14ac:dyDescent="0.35">
      <c r="A92" s="12" t="str">
        <f>tblComponents[Component_ID]</f>
        <v>C091</v>
      </c>
      <c r="B92" s="12" t="str">
        <f>tblComponents[Component_Name]</f>
        <v>Component 091</v>
      </c>
      <c r="C92" t="str">
        <f>tblComponents[Product_Family]</f>
        <v>Powertrain</v>
      </c>
      <c r="D92" t="str">
        <f>tblComponents[Sourcing_Type]</f>
        <v>Make</v>
      </c>
      <c r="E92" t="str">
        <f>tblComponents[Criticality]</f>
        <v>High</v>
      </c>
      <c r="F92">
        <f>tblComponents[Forecast_Demand]</f>
        <v>1715</v>
      </c>
      <c r="G92">
        <f>tblComponents[Opening_Inventory]</f>
        <v>8769</v>
      </c>
      <c r="H92">
        <f>tblComponents[Safety_Stock]</f>
        <v>844</v>
      </c>
      <c r="I92">
        <f t="shared" si="4"/>
        <v>0</v>
      </c>
      <c r="J92" s="15">
        <f>tblComponents[Defect_Rate]</f>
        <v>1.83E-2</v>
      </c>
      <c r="K92">
        <f t="shared" si="5"/>
        <v>0</v>
      </c>
      <c r="L92" t="str">
        <f t="shared" si="6"/>
        <v>Production</v>
      </c>
      <c r="M92">
        <f t="shared" si="7"/>
        <v>0</v>
      </c>
    </row>
    <row r="93" spans="1:13" x14ac:dyDescent="0.35">
      <c r="A93" s="12" t="str">
        <f>tblComponents[Component_ID]</f>
        <v>C092</v>
      </c>
      <c r="B93" s="12" t="str">
        <f>tblComponents[Component_Name]</f>
        <v>Component 092</v>
      </c>
      <c r="C93" t="str">
        <f>tblComponents[Product_Family]</f>
        <v>Interior</v>
      </c>
      <c r="D93" t="str">
        <f>tblComponents[Sourcing_Type]</f>
        <v>Make</v>
      </c>
      <c r="E93" t="str">
        <f>tblComponents[Criticality]</f>
        <v>Medium</v>
      </c>
      <c r="F93">
        <f>tblComponents[Forecast_Demand]</f>
        <v>403</v>
      </c>
      <c r="G93">
        <f>tblComponents[Opening_Inventory]</f>
        <v>4147</v>
      </c>
      <c r="H93">
        <f>tblComponents[Safety_Stock]</f>
        <v>504</v>
      </c>
      <c r="I93">
        <f t="shared" si="4"/>
        <v>0</v>
      </c>
      <c r="J93" s="15">
        <f>tblComponents[Defect_Rate]</f>
        <v>2.5000000000000001E-3</v>
      </c>
      <c r="K93">
        <f t="shared" si="5"/>
        <v>0</v>
      </c>
      <c r="L93" t="str">
        <f t="shared" si="6"/>
        <v>Production</v>
      </c>
      <c r="M93">
        <f t="shared" si="7"/>
        <v>0</v>
      </c>
    </row>
    <row r="94" spans="1:13" x14ac:dyDescent="0.35">
      <c r="A94" s="12" t="str">
        <f>tblComponents[Component_ID]</f>
        <v>C093</v>
      </c>
      <c r="B94" s="12" t="str">
        <f>tblComponents[Component_Name]</f>
        <v>Component 093</v>
      </c>
      <c r="C94" t="str">
        <f>tblComponents[Product_Family]</f>
        <v>Body &amp; Exterior</v>
      </c>
      <c r="D94" t="str">
        <f>tblComponents[Sourcing_Type]</f>
        <v>Make</v>
      </c>
      <c r="E94" t="str">
        <f>tblComponents[Criticality]</f>
        <v>Low</v>
      </c>
      <c r="F94">
        <f>tblComponents[Forecast_Demand]</f>
        <v>1281</v>
      </c>
      <c r="G94">
        <f>tblComponents[Opening_Inventory]</f>
        <v>5040</v>
      </c>
      <c r="H94">
        <f>tblComponents[Safety_Stock]</f>
        <v>321</v>
      </c>
      <c r="I94">
        <f t="shared" si="4"/>
        <v>0</v>
      </c>
      <c r="J94" s="15">
        <f>tblComponents[Defect_Rate]</f>
        <v>1.34E-2</v>
      </c>
      <c r="K94">
        <f t="shared" si="5"/>
        <v>0</v>
      </c>
      <c r="L94" t="str">
        <f t="shared" si="6"/>
        <v>Production</v>
      </c>
      <c r="M94">
        <f t="shared" si="7"/>
        <v>0</v>
      </c>
    </row>
    <row r="95" spans="1:13" x14ac:dyDescent="0.35">
      <c r="A95" s="12" t="str">
        <f>tblComponents[Component_ID]</f>
        <v>C094</v>
      </c>
      <c r="B95" s="12" t="str">
        <f>tblComponents[Component_Name]</f>
        <v>Component 094</v>
      </c>
      <c r="C95" t="str">
        <f>tblComponents[Product_Family]</f>
        <v>Powertrain</v>
      </c>
      <c r="D95" t="str">
        <f>tblComponents[Sourcing_Type]</f>
        <v>Make</v>
      </c>
      <c r="E95" t="str">
        <f>tblComponents[Criticality]</f>
        <v>High</v>
      </c>
      <c r="F95">
        <f>tblComponents[Forecast_Demand]</f>
        <v>770</v>
      </c>
      <c r="G95">
        <f>tblComponents[Opening_Inventory]</f>
        <v>864</v>
      </c>
      <c r="H95">
        <f>tblComponents[Safety_Stock]</f>
        <v>92</v>
      </c>
      <c r="I95">
        <f t="shared" si="4"/>
        <v>0</v>
      </c>
      <c r="J95" s="15">
        <f>tblComponents[Defect_Rate]</f>
        <v>2.2800000000000001E-2</v>
      </c>
      <c r="K95">
        <f t="shared" si="5"/>
        <v>0</v>
      </c>
      <c r="L95" t="str">
        <f t="shared" si="6"/>
        <v>Production</v>
      </c>
      <c r="M95">
        <f t="shared" si="7"/>
        <v>0</v>
      </c>
    </row>
    <row r="96" spans="1:13" x14ac:dyDescent="0.35">
      <c r="A96" s="12" t="str">
        <f>tblComponents[Component_ID]</f>
        <v>C095</v>
      </c>
      <c r="B96" s="12" t="str">
        <f>tblComponents[Component_Name]</f>
        <v>Component 095</v>
      </c>
      <c r="C96" t="str">
        <f>tblComponents[Product_Family]</f>
        <v>Body &amp; Exterior</v>
      </c>
      <c r="D96" t="str">
        <f>tblComponents[Sourcing_Type]</f>
        <v>Make</v>
      </c>
      <c r="E96" t="str">
        <f>tblComponents[Criticality]</f>
        <v>Medium</v>
      </c>
      <c r="F96">
        <f>tblComponents[Forecast_Demand]</f>
        <v>375</v>
      </c>
      <c r="G96">
        <f>tblComponents[Opening_Inventory]</f>
        <v>3762</v>
      </c>
      <c r="H96">
        <f>tblComponents[Safety_Stock]</f>
        <v>1135</v>
      </c>
      <c r="I96">
        <f t="shared" si="4"/>
        <v>0</v>
      </c>
      <c r="J96" s="15">
        <f>tblComponents[Defect_Rate]</f>
        <v>9.7999999999999997E-3</v>
      </c>
      <c r="K96">
        <f t="shared" si="5"/>
        <v>0</v>
      </c>
      <c r="L96" t="str">
        <f t="shared" si="6"/>
        <v>Production</v>
      </c>
      <c r="M96">
        <f t="shared" si="7"/>
        <v>0</v>
      </c>
    </row>
    <row r="97" spans="1:13" x14ac:dyDescent="0.35">
      <c r="A97" s="12" t="str">
        <f>tblComponents[Component_ID]</f>
        <v>C096</v>
      </c>
      <c r="B97" s="12" t="str">
        <f>tblComponents[Component_Name]</f>
        <v>Component 096</v>
      </c>
      <c r="C97" t="str">
        <f>tblComponents[Product_Family]</f>
        <v>Chassis</v>
      </c>
      <c r="D97" t="str">
        <f>tblComponents[Sourcing_Type]</f>
        <v>Make</v>
      </c>
      <c r="E97" t="str">
        <f>tblComponents[Criticality]</f>
        <v>Medium</v>
      </c>
      <c r="F97">
        <f>tblComponents[Forecast_Demand]</f>
        <v>735</v>
      </c>
      <c r="G97">
        <f>tblComponents[Opening_Inventory]</f>
        <v>5572</v>
      </c>
      <c r="H97">
        <f>tblComponents[Safety_Stock]</f>
        <v>363</v>
      </c>
      <c r="I97">
        <f t="shared" si="4"/>
        <v>0</v>
      </c>
      <c r="J97" s="15">
        <f>tblComponents[Defect_Rate]</f>
        <v>1.4999999999999999E-2</v>
      </c>
      <c r="K97">
        <f t="shared" si="5"/>
        <v>0</v>
      </c>
      <c r="L97" t="str">
        <f t="shared" si="6"/>
        <v>Production</v>
      </c>
      <c r="M97">
        <f t="shared" si="7"/>
        <v>0</v>
      </c>
    </row>
    <row r="98" spans="1:13" x14ac:dyDescent="0.35">
      <c r="A98" s="12" t="str">
        <f>tblComponents[Component_ID]</f>
        <v>C097</v>
      </c>
      <c r="B98" s="12" t="str">
        <f>tblComponents[Component_Name]</f>
        <v>Component 097</v>
      </c>
      <c r="C98" t="str">
        <f>tblComponents[Product_Family]</f>
        <v>Electrical Systems</v>
      </c>
      <c r="D98" t="str">
        <f>tblComponents[Sourcing_Type]</f>
        <v>Make</v>
      </c>
      <c r="E98" t="str">
        <f>tblComponents[Criticality]</f>
        <v>Medium</v>
      </c>
      <c r="F98">
        <f>tblComponents[Forecast_Demand]</f>
        <v>118</v>
      </c>
      <c r="G98">
        <f>tblComponents[Opening_Inventory]</f>
        <v>6763</v>
      </c>
      <c r="H98">
        <f>tblComponents[Safety_Stock]</f>
        <v>727</v>
      </c>
      <c r="I98">
        <f t="shared" si="4"/>
        <v>0</v>
      </c>
      <c r="J98" s="15">
        <f>tblComponents[Defect_Rate]</f>
        <v>6.7000000000000002E-3</v>
      </c>
      <c r="K98">
        <f t="shared" si="5"/>
        <v>0</v>
      </c>
      <c r="L98" t="str">
        <f t="shared" si="6"/>
        <v>Production</v>
      </c>
      <c r="M98">
        <f t="shared" si="7"/>
        <v>0</v>
      </c>
    </row>
    <row r="99" spans="1:13" x14ac:dyDescent="0.35">
      <c r="A99" s="12" t="str">
        <f>tblComponents[Component_ID]</f>
        <v>C098</v>
      </c>
      <c r="B99" s="12" t="str">
        <f>tblComponents[Component_Name]</f>
        <v>Component 098</v>
      </c>
      <c r="C99" t="str">
        <f>tblComponents[Product_Family]</f>
        <v>Electrical Systems</v>
      </c>
      <c r="D99" t="str">
        <f>tblComponents[Sourcing_Type]</f>
        <v>Make</v>
      </c>
      <c r="E99" t="str">
        <f>tblComponents[Criticality]</f>
        <v>High</v>
      </c>
      <c r="F99">
        <f>tblComponents[Forecast_Demand]</f>
        <v>2626</v>
      </c>
      <c r="G99">
        <f>tblComponents[Opening_Inventory]</f>
        <v>7632</v>
      </c>
      <c r="H99">
        <f>tblComponents[Safety_Stock]</f>
        <v>1119</v>
      </c>
      <c r="I99">
        <f t="shared" si="4"/>
        <v>0</v>
      </c>
      <c r="J99" s="15">
        <f>tblComponents[Defect_Rate]</f>
        <v>1.9099999999999999E-2</v>
      </c>
      <c r="K99">
        <f t="shared" si="5"/>
        <v>0</v>
      </c>
      <c r="L99" t="str">
        <f t="shared" si="6"/>
        <v>Production</v>
      </c>
      <c r="M99">
        <f t="shared" si="7"/>
        <v>0</v>
      </c>
    </row>
    <row r="100" spans="1:13" x14ac:dyDescent="0.35">
      <c r="A100" s="12" t="str">
        <f>tblComponents[Component_ID]</f>
        <v>C099</v>
      </c>
      <c r="B100" s="12" t="str">
        <f>tblComponents[Component_Name]</f>
        <v>Component 099</v>
      </c>
      <c r="C100" t="str">
        <f>tblComponents[Product_Family]</f>
        <v>Powertrain</v>
      </c>
      <c r="D100" t="str">
        <f>tblComponents[Sourcing_Type]</f>
        <v>Make</v>
      </c>
      <c r="E100" t="str">
        <f>tblComponents[Criticality]</f>
        <v>Critical</v>
      </c>
      <c r="F100">
        <f>tblComponents[Forecast_Demand]</f>
        <v>1174</v>
      </c>
      <c r="G100">
        <f>tblComponents[Opening_Inventory]</f>
        <v>2394</v>
      </c>
      <c r="H100">
        <f>tblComponents[Safety_Stock]</f>
        <v>294</v>
      </c>
      <c r="I100">
        <f t="shared" si="4"/>
        <v>0</v>
      </c>
      <c r="J100" s="15">
        <f>tblComponents[Defect_Rate]</f>
        <v>3.7000000000000002E-3</v>
      </c>
      <c r="K100">
        <f t="shared" si="5"/>
        <v>0</v>
      </c>
      <c r="L100" t="str">
        <f t="shared" si="6"/>
        <v>Production</v>
      </c>
      <c r="M100">
        <f t="shared" si="7"/>
        <v>0</v>
      </c>
    </row>
    <row r="101" spans="1:13" x14ac:dyDescent="0.35">
      <c r="A101" s="12" t="str">
        <f>tblComponents[Component_ID]</f>
        <v>C100</v>
      </c>
      <c r="B101" s="12" t="str">
        <f>tblComponents[Component_Name]</f>
        <v>Component 100</v>
      </c>
      <c r="C101" t="str">
        <f>tblComponents[Product_Family]</f>
        <v>Electrical Systems</v>
      </c>
      <c r="D101" t="str">
        <f>tblComponents[Sourcing_Type]</f>
        <v>Make</v>
      </c>
      <c r="E101" t="str">
        <f>tblComponents[Criticality]</f>
        <v>Low</v>
      </c>
      <c r="F101">
        <f>tblComponents[Forecast_Demand]</f>
        <v>495</v>
      </c>
      <c r="G101">
        <f>tblComponents[Opening_Inventory]</f>
        <v>390</v>
      </c>
      <c r="H101">
        <f>tblComponents[Safety_Stock]</f>
        <v>240</v>
      </c>
      <c r="I101">
        <f t="shared" si="4"/>
        <v>345</v>
      </c>
      <c r="J101" s="15">
        <f>tblComponents[Defect_Rate]</f>
        <v>2.4799999999999999E-2</v>
      </c>
      <c r="K101">
        <f t="shared" si="5"/>
        <v>353.77358490566041</v>
      </c>
      <c r="L101" t="str">
        <f t="shared" si="6"/>
        <v>Production</v>
      </c>
      <c r="M101">
        <f t="shared" si="7"/>
        <v>353.77358490566041</v>
      </c>
    </row>
    <row r="102" spans="1:13" x14ac:dyDescent="0.35">
      <c r="A102" s="12" t="str">
        <f>tblComponents[Component_ID]</f>
        <v>C101</v>
      </c>
      <c r="B102" s="12" t="str">
        <f>tblComponents[Component_Name]</f>
        <v>Component 101</v>
      </c>
      <c r="C102" t="str">
        <f>tblComponents[Product_Family]</f>
        <v>Powertrain</v>
      </c>
      <c r="D102" t="str">
        <f>tblComponents[Sourcing_Type]</f>
        <v>Make</v>
      </c>
      <c r="E102" t="str">
        <f>tblComponents[Criticality]</f>
        <v>Low</v>
      </c>
      <c r="F102">
        <f>tblComponents[Forecast_Demand]</f>
        <v>377</v>
      </c>
      <c r="G102">
        <f>tblComponents[Opening_Inventory]</f>
        <v>2985</v>
      </c>
      <c r="H102">
        <f>tblComponents[Safety_Stock]</f>
        <v>1263</v>
      </c>
      <c r="I102">
        <f t="shared" si="4"/>
        <v>0</v>
      </c>
      <c r="J102" s="15">
        <f>tblComponents[Defect_Rate]</f>
        <v>8.2000000000000007E-3</v>
      </c>
      <c r="K102">
        <f t="shared" si="5"/>
        <v>0</v>
      </c>
      <c r="L102" t="str">
        <f t="shared" si="6"/>
        <v>Production</v>
      </c>
      <c r="M102">
        <f t="shared" si="7"/>
        <v>0</v>
      </c>
    </row>
    <row r="103" spans="1:13" x14ac:dyDescent="0.35">
      <c r="A103" s="12" t="str">
        <f>tblComponents[Component_ID]</f>
        <v>C102</v>
      </c>
      <c r="B103" s="12" t="str">
        <f>tblComponents[Component_Name]</f>
        <v>Component 102</v>
      </c>
      <c r="C103" t="str">
        <f>tblComponents[Product_Family]</f>
        <v>Interior</v>
      </c>
      <c r="D103" t="str">
        <f>tblComponents[Sourcing_Type]</f>
        <v>Make</v>
      </c>
      <c r="E103" t="str">
        <f>tblComponents[Criticality]</f>
        <v>Medium</v>
      </c>
      <c r="F103">
        <f>tblComponents[Forecast_Demand]</f>
        <v>1495</v>
      </c>
      <c r="G103">
        <f>tblComponents[Opening_Inventory]</f>
        <v>5161</v>
      </c>
      <c r="H103">
        <f>tblComponents[Safety_Stock]</f>
        <v>449</v>
      </c>
      <c r="I103">
        <f t="shared" si="4"/>
        <v>0</v>
      </c>
      <c r="J103" s="15">
        <f>tblComponents[Defect_Rate]</f>
        <v>2.2100000000000002E-2</v>
      </c>
      <c r="K103">
        <f t="shared" si="5"/>
        <v>0</v>
      </c>
      <c r="L103" t="str">
        <f t="shared" si="6"/>
        <v>Production</v>
      </c>
      <c r="M103">
        <f t="shared" si="7"/>
        <v>0</v>
      </c>
    </row>
    <row r="104" spans="1:13" x14ac:dyDescent="0.35">
      <c r="A104" s="12" t="str">
        <f>tblComponents[Component_ID]</f>
        <v>C103</v>
      </c>
      <c r="B104" s="12" t="str">
        <f>tblComponents[Component_Name]</f>
        <v>Component 103</v>
      </c>
      <c r="C104" t="str">
        <f>tblComponents[Product_Family]</f>
        <v>Chassis</v>
      </c>
      <c r="D104" t="str">
        <f>tblComponents[Sourcing_Type]</f>
        <v>Make</v>
      </c>
      <c r="E104" t="str">
        <f>tblComponents[Criticality]</f>
        <v>Medium</v>
      </c>
      <c r="F104">
        <f>tblComponents[Forecast_Demand]</f>
        <v>741</v>
      </c>
      <c r="G104">
        <f>tblComponents[Opening_Inventory]</f>
        <v>2459</v>
      </c>
      <c r="H104">
        <f>tblComponents[Safety_Stock]</f>
        <v>276</v>
      </c>
      <c r="I104">
        <f t="shared" si="4"/>
        <v>0</v>
      </c>
      <c r="J104" s="15">
        <f>tblComponents[Defect_Rate]</f>
        <v>1.1599999999999999E-2</v>
      </c>
      <c r="K104">
        <f t="shared" si="5"/>
        <v>0</v>
      </c>
      <c r="L104" t="str">
        <f t="shared" si="6"/>
        <v>Production</v>
      </c>
      <c r="M104">
        <f t="shared" si="7"/>
        <v>0</v>
      </c>
    </row>
    <row r="105" spans="1:13" x14ac:dyDescent="0.35">
      <c r="A105" s="12" t="str">
        <f>tblComponents[Component_ID]</f>
        <v>C104</v>
      </c>
      <c r="B105" s="12" t="str">
        <f>tblComponents[Component_Name]</f>
        <v>Component 104</v>
      </c>
      <c r="C105" t="str">
        <f>tblComponents[Product_Family]</f>
        <v>Chassis</v>
      </c>
      <c r="D105" t="str">
        <f>tblComponents[Sourcing_Type]</f>
        <v>Make</v>
      </c>
      <c r="E105" t="str">
        <f>tblComponents[Criticality]</f>
        <v>Low</v>
      </c>
      <c r="F105">
        <f>tblComponents[Forecast_Demand]</f>
        <v>2118</v>
      </c>
      <c r="G105">
        <f>tblComponents[Opening_Inventory]</f>
        <v>6524</v>
      </c>
      <c r="H105">
        <f>tblComponents[Safety_Stock]</f>
        <v>2819</v>
      </c>
      <c r="I105">
        <f t="shared" si="4"/>
        <v>0</v>
      </c>
      <c r="J105" s="15">
        <f>tblComponents[Defect_Rate]</f>
        <v>1.8599999999999998E-2</v>
      </c>
      <c r="K105">
        <f t="shared" si="5"/>
        <v>0</v>
      </c>
      <c r="L105" t="str">
        <f t="shared" si="6"/>
        <v>Production</v>
      </c>
      <c r="M105">
        <f t="shared" si="7"/>
        <v>0</v>
      </c>
    </row>
    <row r="106" spans="1:13" x14ac:dyDescent="0.35">
      <c r="A106" s="12" t="str">
        <f>tblComponents[Component_ID]</f>
        <v>C105</v>
      </c>
      <c r="B106" s="12" t="str">
        <f>tblComponents[Component_Name]</f>
        <v>Component 105</v>
      </c>
      <c r="C106" t="str">
        <f>tblComponents[Product_Family]</f>
        <v>Powertrain</v>
      </c>
      <c r="D106" t="str">
        <f>tblComponents[Sourcing_Type]</f>
        <v>Make</v>
      </c>
      <c r="E106" t="str">
        <f>tblComponents[Criticality]</f>
        <v>Critical</v>
      </c>
      <c r="F106">
        <f>tblComponents[Forecast_Demand]</f>
        <v>298</v>
      </c>
      <c r="G106">
        <f>tblComponents[Opening_Inventory]</f>
        <v>3101</v>
      </c>
      <c r="H106">
        <f>tblComponents[Safety_Stock]</f>
        <v>819</v>
      </c>
      <c r="I106">
        <f t="shared" si="4"/>
        <v>0</v>
      </c>
      <c r="J106" s="15">
        <f>tblComponents[Defect_Rate]</f>
        <v>1.17E-2</v>
      </c>
      <c r="K106">
        <f t="shared" si="5"/>
        <v>0</v>
      </c>
      <c r="L106" t="str">
        <f t="shared" si="6"/>
        <v>Production</v>
      </c>
      <c r="M106">
        <f t="shared" si="7"/>
        <v>0</v>
      </c>
    </row>
    <row r="107" spans="1:13" x14ac:dyDescent="0.35">
      <c r="A107" s="12" t="str">
        <f>tblComponents[Component_ID]</f>
        <v>C106</v>
      </c>
      <c r="B107" s="12" t="str">
        <f>tblComponents[Component_Name]</f>
        <v>Component 106</v>
      </c>
      <c r="C107" t="str">
        <f>tblComponents[Product_Family]</f>
        <v>Electrical Systems</v>
      </c>
      <c r="D107" t="str">
        <f>tblComponents[Sourcing_Type]</f>
        <v>Make</v>
      </c>
      <c r="E107" t="str">
        <f>tblComponents[Criticality]</f>
        <v>Medium</v>
      </c>
      <c r="F107">
        <f>tblComponents[Forecast_Demand]</f>
        <v>118</v>
      </c>
      <c r="G107">
        <f>tblComponents[Opening_Inventory]</f>
        <v>1915</v>
      </c>
      <c r="H107">
        <f>tblComponents[Safety_Stock]</f>
        <v>750</v>
      </c>
      <c r="I107">
        <f t="shared" si="4"/>
        <v>0</v>
      </c>
      <c r="J107" s="15">
        <f>tblComponents[Defect_Rate]</f>
        <v>2.2800000000000001E-2</v>
      </c>
      <c r="K107">
        <f t="shared" si="5"/>
        <v>0</v>
      </c>
      <c r="L107" t="str">
        <f t="shared" si="6"/>
        <v>Production</v>
      </c>
      <c r="M107">
        <f t="shared" si="7"/>
        <v>0</v>
      </c>
    </row>
    <row r="108" spans="1:13" x14ac:dyDescent="0.35">
      <c r="A108" s="12" t="str">
        <f>tblComponents[Component_ID]</f>
        <v>C107</v>
      </c>
      <c r="B108" s="12" t="str">
        <f>tblComponents[Component_Name]</f>
        <v>Component 107</v>
      </c>
      <c r="C108" t="str">
        <f>tblComponents[Product_Family]</f>
        <v>Chassis</v>
      </c>
      <c r="D108" t="str">
        <f>tblComponents[Sourcing_Type]</f>
        <v>Make</v>
      </c>
      <c r="E108" t="str">
        <f>tblComponents[Criticality]</f>
        <v>Medium</v>
      </c>
      <c r="F108">
        <f>tblComponents[Forecast_Demand]</f>
        <v>2766</v>
      </c>
      <c r="G108">
        <f>tblComponents[Opening_Inventory]</f>
        <v>7474</v>
      </c>
      <c r="H108">
        <f>tblComponents[Safety_Stock]</f>
        <v>736</v>
      </c>
      <c r="I108">
        <f t="shared" si="4"/>
        <v>0</v>
      </c>
      <c r="J108" s="15">
        <f>tblComponents[Defect_Rate]</f>
        <v>4.8999999999999998E-3</v>
      </c>
      <c r="K108">
        <f t="shared" si="5"/>
        <v>0</v>
      </c>
      <c r="L108" t="str">
        <f t="shared" si="6"/>
        <v>Production</v>
      </c>
      <c r="M108">
        <f t="shared" si="7"/>
        <v>0</v>
      </c>
    </row>
    <row r="109" spans="1:13" x14ac:dyDescent="0.35">
      <c r="A109" s="12" t="str">
        <f>tblComponents[Component_ID]</f>
        <v>C108</v>
      </c>
      <c r="B109" s="12" t="str">
        <f>tblComponents[Component_Name]</f>
        <v>Component 108</v>
      </c>
      <c r="C109" t="str">
        <f>tblComponents[Product_Family]</f>
        <v>Electrical Systems</v>
      </c>
      <c r="D109" t="str">
        <f>tblComponents[Sourcing_Type]</f>
        <v>Make</v>
      </c>
      <c r="E109" t="str">
        <f>tblComponents[Criticality]</f>
        <v>Critical</v>
      </c>
      <c r="F109">
        <f>tblComponents[Forecast_Demand]</f>
        <v>1127</v>
      </c>
      <c r="G109">
        <f>tblComponents[Opening_Inventory]</f>
        <v>1239</v>
      </c>
      <c r="H109">
        <f>tblComponents[Safety_Stock]</f>
        <v>355</v>
      </c>
      <c r="I109">
        <f t="shared" si="4"/>
        <v>243</v>
      </c>
      <c r="J109" s="15">
        <f>tblComponents[Defect_Rate]</f>
        <v>7.0000000000000001E-3</v>
      </c>
      <c r="K109">
        <f t="shared" si="5"/>
        <v>244.71299093655588</v>
      </c>
      <c r="L109" t="str">
        <f t="shared" si="6"/>
        <v>Production</v>
      </c>
      <c r="M109">
        <f t="shared" si="7"/>
        <v>244.71299093655588</v>
      </c>
    </row>
    <row r="110" spans="1:13" x14ac:dyDescent="0.35">
      <c r="A110" s="12" t="str">
        <f>tblComponents[Component_ID]</f>
        <v>C109</v>
      </c>
      <c r="B110" s="12" t="str">
        <f>tblComponents[Component_Name]</f>
        <v>Component 109</v>
      </c>
      <c r="C110" t="str">
        <f>tblComponents[Product_Family]</f>
        <v>Chassis</v>
      </c>
      <c r="D110" t="str">
        <f>tblComponents[Sourcing_Type]</f>
        <v>Make</v>
      </c>
      <c r="E110" t="str">
        <f>tblComponents[Criticality]</f>
        <v>Medium</v>
      </c>
      <c r="F110">
        <f>tblComponents[Forecast_Demand]</f>
        <v>1135</v>
      </c>
      <c r="G110">
        <f>tblComponents[Opening_Inventory]</f>
        <v>11584</v>
      </c>
      <c r="H110">
        <f>tblComponents[Safety_Stock]</f>
        <v>985</v>
      </c>
      <c r="I110">
        <f t="shared" si="4"/>
        <v>0</v>
      </c>
      <c r="J110" s="15">
        <f>tblComponents[Defect_Rate]</f>
        <v>1.3299999999999999E-2</v>
      </c>
      <c r="K110">
        <f t="shared" si="5"/>
        <v>0</v>
      </c>
      <c r="L110" t="str">
        <f t="shared" si="6"/>
        <v>Production</v>
      </c>
      <c r="M110">
        <f t="shared" si="7"/>
        <v>0</v>
      </c>
    </row>
    <row r="111" spans="1:13" x14ac:dyDescent="0.35">
      <c r="A111" s="12" t="str">
        <f>tblComponents[Component_ID]</f>
        <v>C110</v>
      </c>
      <c r="B111" s="12" t="str">
        <f>tblComponents[Component_Name]</f>
        <v>Component 110</v>
      </c>
      <c r="C111" t="str">
        <f>tblComponents[Product_Family]</f>
        <v>Interior</v>
      </c>
      <c r="D111" t="str">
        <f>tblComponents[Sourcing_Type]</f>
        <v>Make</v>
      </c>
      <c r="E111" t="str">
        <f>tblComponents[Criticality]</f>
        <v>Low</v>
      </c>
      <c r="F111">
        <f>tblComponents[Forecast_Demand]</f>
        <v>710</v>
      </c>
      <c r="G111">
        <f>tblComponents[Opening_Inventory]</f>
        <v>9794</v>
      </c>
      <c r="H111">
        <f>tblComponents[Safety_Stock]</f>
        <v>2441</v>
      </c>
      <c r="I111">
        <f t="shared" si="4"/>
        <v>0</v>
      </c>
      <c r="J111" s="15">
        <f>tblComponents[Defect_Rate]</f>
        <v>3.8999999999999998E-3</v>
      </c>
      <c r="K111">
        <f t="shared" si="5"/>
        <v>0</v>
      </c>
      <c r="L111" t="str">
        <f t="shared" si="6"/>
        <v>Production</v>
      </c>
      <c r="M111">
        <f t="shared" si="7"/>
        <v>0</v>
      </c>
    </row>
    <row r="112" spans="1:13" x14ac:dyDescent="0.35">
      <c r="A112" s="12" t="str">
        <f>tblComponents[Component_ID]</f>
        <v>C111</v>
      </c>
      <c r="B112" s="12" t="str">
        <f>tblComponents[Component_Name]</f>
        <v>Component 111</v>
      </c>
      <c r="C112" t="str">
        <f>tblComponents[Product_Family]</f>
        <v>Body &amp; Exterior</v>
      </c>
      <c r="D112" t="str">
        <f>tblComponents[Sourcing_Type]</f>
        <v>Make</v>
      </c>
      <c r="E112" t="str">
        <f>tblComponents[Criticality]</f>
        <v>Low</v>
      </c>
      <c r="F112">
        <f>tblComponents[Forecast_Demand]</f>
        <v>270</v>
      </c>
      <c r="G112">
        <f>tblComponents[Opening_Inventory]</f>
        <v>9100</v>
      </c>
      <c r="H112">
        <f>tblComponents[Safety_Stock]</f>
        <v>1314</v>
      </c>
      <c r="I112">
        <f t="shared" si="4"/>
        <v>0</v>
      </c>
      <c r="J112" s="15">
        <f>tblComponents[Defect_Rate]</f>
        <v>6.4999999999999997E-3</v>
      </c>
      <c r="K112">
        <f t="shared" si="5"/>
        <v>0</v>
      </c>
      <c r="L112" t="str">
        <f t="shared" si="6"/>
        <v>Production</v>
      </c>
      <c r="M112">
        <f t="shared" si="7"/>
        <v>0</v>
      </c>
    </row>
    <row r="113" spans="1:13" x14ac:dyDescent="0.35">
      <c r="A113" s="12" t="str">
        <f>tblComponents[Component_ID]</f>
        <v>C112</v>
      </c>
      <c r="B113" s="12" t="str">
        <f>tblComponents[Component_Name]</f>
        <v>Component 112</v>
      </c>
      <c r="C113" t="str">
        <f>tblComponents[Product_Family]</f>
        <v>Powertrain</v>
      </c>
      <c r="D113" t="str">
        <f>tblComponents[Sourcing_Type]</f>
        <v>Make</v>
      </c>
      <c r="E113" t="str">
        <f>tblComponents[Criticality]</f>
        <v>Low</v>
      </c>
      <c r="F113">
        <f>tblComponents[Forecast_Demand]</f>
        <v>3062</v>
      </c>
      <c r="G113">
        <f>tblComponents[Opening_Inventory]</f>
        <v>3489</v>
      </c>
      <c r="H113">
        <f>tblComponents[Safety_Stock]</f>
        <v>1176</v>
      </c>
      <c r="I113">
        <f t="shared" si="4"/>
        <v>749</v>
      </c>
      <c r="J113" s="15">
        <f>tblComponents[Defect_Rate]</f>
        <v>2.3699999999999999E-2</v>
      </c>
      <c r="K113">
        <f t="shared" si="5"/>
        <v>767.1822185803544</v>
      </c>
      <c r="L113" t="str">
        <f t="shared" si="6"/>
        <v>Production</v>
      </c>
      <c r="M113">
        <f t="shared" si="7"/>
        <v>767.1822185803544</v>
      </c>
    </row>
    <row r="114" spans="1:13" x14ac:dyDescent="0.35">
      <c r="A114" s="12" t="str">
        <f>tblComponents[Component_ID]</f>
        <v>C113</v>
      </c>
      <c r="B114" s="12" t="str">
        <f>tblComponents[Component_Name]</f>
        <v>Component 113</v>
      </c>
      <c r="C114" t="str">
        <f>tblComponents[Product_Family]</f>
        <v>Interior</v>
      </c>
      <c r="D114" t="str">
        <f>tblComponents[Sourcing_Type]</f>
        <v>Make</v>
      </c>
      <c r="E114" t="str">
        <f>tblComponents[Criticality]</f>
        <v>Low</v>
      </c>
      <c r="F114">
        <f>tblComponents[Forecast_Demand]</f>
        <v>1372</v>
      </c>
      <c r="G114">
        <f>tblComponents[Opening_Inventory]</f>
        <v>10702</v>
      </c>
      <c r="H114">
        <f>tblComponents[Safety_Stock]</f>
        <v>699</v>
      </c>
      <c r="I114">
        <f t="shared" si="4"/>
        <v>0</v>
      </c>
      <c r="J114" s="15">
        <f>tblComponents[Defect_Rate]</f>
        <v>2.4500000000000001E-2</v>
      </c>
      <c r="K114">
        <f t="shared" si="5"/>
        <v>0</v>
      </c>
      <c r="L114" t="str">
        <f t="shared" si="6"/>
        <v>Production</v>
      </c>
      <c r="M114">
        <f t="shared" si="7"/>
        <v>0</v>
      </c>
    </row>
    <row r="115" spans="1:13" x14ac:dyDescent="0.35">
      <c r="A115" s="12" t="str">
        <f>tblComponents[Component_ID]</f>
        <v>C114</v>
      </c>
      <c r="B115" s="12" t="str">
        <f>tblComponents[Component_Name]</f>
        <v>Component 114</v>
      </c>
      <c r="C115" t="str">
        <f>tblComponents[Product_Family]</f>
        <v>Powertrain</v>
      </c>
      <c r="D115" t="str">
        <f>tblComponents[Sourcing_Type]</f>
        <v>Make</v>
      </c>
      <c r="E115" t="str">
        <f>tblComponents[Criticality]</f>
        <v>High</v>
      </c>
      <c r="F115">
        <f>tblComponents[Forecast_Demand]</f>
        <v>2814</v>
      </c>
      <c r="G115">
        <f>tblComponents[Opening_Inventory]</f>
        <v>2068</v>
      </c>
      <c r="H115">
        <f>tblComponents[Safety_Stock]</f>
        <v>338</v>
      </c>
      <c r="I115">
        <f t="shared" si="4"/>
        <v>1084</v>
      </c>
      <c r="J115" s="15">
        <f>tblComponents[Defect_Rate]</f>
        <v>1.0699999999999999E-2</v>
      </c>
      <c r="K115">
        <f t="shared" si="5"/>
        <v>1095.7242494693219</v>
      </c>
      <c r="L115" t="str">
        <f t="shared" si="6"/>
        <v>Production</v>
      </c>
      <c r="M115">
        <f t="shared" si="7"/>
        <v>1095.7242494693219</v>
      </c>
    </row>
    <row r="116" spans="1:13" x14ac:dyDescent="0.35">
      <c r="A116" s="12" t="str">
        <f>tblComponents[Component_ID]</f>
        <v>C115</v>
      </c>
      <c r="B116" s="12" t="str">
        <f>tblComponents[Component_Name]</f>
        <v>Component 115</v>
      </c>
      <c r="C116" t="str">
        <f>tblComponents[Product_Family]</f>
        <v>Electrical Systems</v>
      </c>
      <c r="D116" t="str">
        <f>tblComponents[Sourcing_Type]</f>
        <v>Make</v>
      </c>
      <c r="E116" t="str">
        <f>tblComponents[Criticality]</f>
        <v>Medium</v>
      </c>
      <c r="F116">
        <f>tblComponents[Forecast_Demand]</f>
        <v>434</v>
      </c>
      <c r="G116">
        <f>tblComponents[Opening_Inventory]</f>
        <v>9503</v>
      </c>
      <c r="H116">
        <f>tblComponents[Safety_Stock]</f>
        <v>1438</v>
      </c>
      <c r="I116">
        <f t="shared" si="4"/>
        <v>0</v>
      </c>
      <c r="J116" s="15">
        <f>tblComponents[Defect_Rate]</f>
        <v>2.3199999999999998E-2</v>
      </c>
      <c r="K116">
        <f t="shared" si="5"/>
        <v>0</v>
      </c>
      <c r="L116" t="str">
        <f t="shared" si="6"/>
        <v>Production</v>
      </c>
      <c r="M116">
        <f t="shared" si="7"/>
        <v>0</v>
      </c>
    </row>
    <row r="117" spans="1:13" x14ac:dyDescent="0.35">
      <c r="A117" s="12" t="str">
        <f>tblComponents[Component_ID]</f>
        <v>C116</v>
      </c>
      <c r="B117" s="12" t="str">
        <f>tblComponents[Component_Name]</f>
        <v>Component 116</v>
      </c>
      <c r="C117" t="str">
        <f>tblComponents[Product_Family]</f>
        <v>Chassis</v>
      </c>
      <c r="D117" t="str">
        <f>tblComponents[Sourcing_Type]</f>
        <v>Make</v>
      </c>
      <c r="E117" t="str">
        <f>tblComponents[Criticality]</f>
        <v>High</v>
      </c>
      <c r="F117">
        <f>tblComponents[Forecast_Demand]</f>
        <v>446</v>
      </c>
      <c r="G117">
        <f>tblComponents[Opening_Inventory]</f>
        <v>10766</v>
      </c>
      <c r="H117">
        <f>tblComponents[Safety_Stock]</f>
        <v>994</v>
      </c>
      <c r="I117">
        <f t="shared" si="4"/>
        <v>0</v>
      </c>
      <c r="J117" s="15">
        <f>tblComponents[Defect_Rate]</f>
        <v>1.4500000000000001E-2</v>
      </c>
      <c r="K117">
        <f t="shared" si="5"/>
        <v>0</v>
      </c>
      <c r="L117" t="str">
        <f t="shared" si="6"/>
        <v>Production</v>
      </c>
      <c r="M117">
        <f t="shared" si="7"/>
        <v>0</v>
      </c>
    </row>
    <row r="118" spans="1:13" x14ac:dyDescent="0.35">
      <c r="A118" s="12" t="str">
        <f>tblComponents[Component_ID]</f>
        <v>C117</v>
      </c>
      <c r="B118" s="12" t="str">
        <f>tblComponents[Component_Name]</f>
        <v>Component 117</v>
      </c>
      <c r="C118" t="str">
        <f>tblComponents[Product_Family]</f>
        <v>Powertrain</v>
      </c>
      <c r="D118" t="str">
        <f>tblComponents[Sourcing_Type]</f>
        <v>Make</v>
      </c>
      <c r="E118" t="str">
        <f>tblComponents[Criticality]</f>
        <v>Critical</v>
      </c>
      <c r="F118">
        <f>tblComponents[Forecast_Demand]</f>
        <v>1161</v>
      </c>
      <c r="G118">
        <f>tblComponents[Opening_Inventory]</f>
        <v>2162</v>
      </c>
      <c r="H118">
        <f>tblComponents[Safety_Stock]</f>
        <v>474</v>
      </c>
      <c r="I118">
        <f t="shared" si="4"/>
        <v>0</v>
      </c>
      <c r="J118" s="15">
        <f>tblComponents[Defect_Rate]</f>
        <v>8.2000000000000007E-3</v>
      </c>
      <c r="K118">
        <f t="shared" si="5"/>
        <v>0</v>
      </c>
      <c r="L118" t="str">
        <f t="shared" si="6"/>
        <v>Production</v>
      </c>
      <c r="M118">
        <f t="shared" si="7"/>
        <v>0</v>
      </c>
    </row>
    <row r="119" spans="1:13" x14ac:dyDescent="0.35">
      <c r="A119" s="12" t="str">
        <f>tblComponents[Component_ID]</f>
        <v>C118</v>
      </c>
      <c r="B119" s="12" t="str">
        <f>tblComponents[Component_Name]</f>
        <v>Component 118</v>
      </c>
      <c r="C119" t="str">
        <f>tblComponents[Product_Family]</f>
        <v>Interior</v>
      </c>
      <c r="D119" t="str">
        <f>tblComponents[Sourcing_Type]</f>
        <v>Make</v>
      </c>
      <c r="E119" t="str">
        <f>tblComponents[Criticality]</f>
        <v>Medium</v>
      </c>
      <c r="F119">
        <f>tblComponents[Forecast_Demand]</f>
        <v>1649</v>
      </c>
      <c r="G119">
        <f>tblComponents[Opening_Inventory]</f>
        <v>4847</v>
      </c>
      <c r="H119">
        <f>tblComponents[Safety_Stock]</f>
        <v>582</v>
      </c>
      <c r="I119">
        <f t="shared" si="4"/>
        <v>0</v>
      </c>
      <c r="J119" s="15">
        <f>tblComponents[Defect_Rate]</f>
        <v>1.8200000000000001E-2</v>
      </c>
      <c r="K119">
        <f t="shared" si="5"/>
        <v>0</v>
      </c>
      <c r="L119" t="str">
        <f t="shared" si="6"/>
        <v>Production</v>
      </c>
      <c r="M119">
        <f t="shared" si="7"/>
        <v>0</v>
      </c>
    </row>
    <row r="120" spans="1:13" x14ac:dyDescent="0.35">
      <c r="A120" s="12" t="str">
        <f>tblComponents[Component_ID]</f>
        <v>C119</v>
      </c>
      <c r="B120" s="12" t="str">
        <f>tblComponents[Component_Name]</f>
        <v>Component 119</v>
      </c>
      <c r="C120" t="str">
        <f>tblComponents[Product_Family]</f>
        <v>Powertrain</v>
      </c>
      <c r="D120" t="str">
        <f>tblComponents[Sourcing_Type]</f>
        <v>Make</v>
      </c>
      <c r="E120" t="str">
        <f>tblComponents[Criticality]</f>
        <v>Medium</v>
      </c>
      <c r="F120">
        <f>tblComponents[Forecast_Demand]</f>
        <v>1026</v>
      </c>
      <c r="G120">
        <f>tblComponents[Opening_Inventory]</f>
        <v>4408</v>
      </c>
      <c r="H120">
        <f>tblComponents[Safety_Stock]</f>
        <v>378</v>
      </c>
      <c r="I120">
        <f t="shared" si="4"/>
        <v>0</v>
      </c>
      <c r="J120" s="15">
        <f>tblComponents[Defect_Rate]</f>
        <v>1.72E-2</v>
      </c>
      <c r="K120">
        <f t="shared" si="5"/>
        <v>0</v>
      </c>
      <c r="L120" t="str">
        <f t="shared" si="6"/>
        <v>Production</v>
      </c>
      <c r="M120">
        <f t="shared" si="7"/>
        <v>0</v>
      </c>
    </row>
    <row r="121" spans="1:13" x14ac:dyDescent="0.35">
      <c r="A121" s="12" t="str">
        <f>tblComponents[Component_ID]</f>
        <v>C120</v>
      </c>
      <c r="B121" s="12" t="str">
        <f>tblComponents[Component_Name]</f>
        <v>Component 120</v>
      </c>
      <c r="C121" t="str">
        <f>tblComponents[Product_Family]</f>
        <v>Interior</v>
      </c>
      <c r="D121" t="str">
        <f>tblComponents[Sourcing_Type]</f>
        <v>Make</v>
      </c>
      <c r="E121" t="str">
        <f>tblComponents[Criticality]</f>
        <v>Medium</v>
      </c>
      <c r="F121">
        <f>tblComponents[Forecast_Demand]</f>
        <v>175</v>
      </c>
      <c r="G121">
        <f>tblComponents[Opening_Inventory]</f>
        <v>1792</v>
      </c>
      <c r="H121">
        <f>tblComponents[Safety_Stock]</f>
        <v>662</v>
      </c>
      <c r="I121">
        <f t="shared" si="4"/>
        <v>0</v>
      </c>
      <c r="J121" s="15">
        <f>tblComponents[Defect_Rate]</f>
        <v>2.8500000000000001E-2</v>
      </c>
      <c r="K121">
        <f t="shared" si="5"/>
        <v>0</v>
      </c>
      <c r="L121" t="str">
        <f t="shared" si="6"/>
        <v>Production</v>
      </c>
      <c r="M121">
        <f t="shared" si="7"/>
        <v>0</v>
      </c>
    </row>
    <row r="122" spans="1:13" x14ac:dyDescent="0.35">
      <c r="A122" s="12" t="str">
        <f>tblComponents[Component_ID]</f>
        <v>C121</v>
      </c>
      <c r="B122" s="12" t="str">
        <f>tblComponents[Component_Name]</f>
        <v>Component 121</v>
      </c>
      <c r="C122" t="str">
        <f>tblComponents[Product_Family]</f>
        <v>Body &amp; Exterior</v>
      </c>
      <c r="D122" t="str">
        <f>tblComponents[Sourcing_Type]</f>
        <v>Make</v>
      </c>
      <c r="E122" t="str">
        <f>tblComponents[Criticality]</f>
        <v>Low</v>
      </c>
      <c r="F122">
        <f>tblComponents[Forecast_Demand]</f>
        <v>2976</v>
      </c>
      <c r="G122">
        <f>tblComponents[Opening_Inventory]</f>
        <v>13439</v>
      </c>
      <c r="H122">
        <f>tblComponents[Safety_Stock]</f>
        <v>1216</v>
      </c>
      <c r="I122">
        <f t="shared" si="4"/>
        <v>0</v>
      </c>
      <c r="J122" s="15">
        <f>tblComponents[Defect_Rate]</f>
        <v>8.0999999999999996E-3</v>
      </c>
      <c r="K122">
        <f t="shared" si="5"/>
        <v>0</v>
      </c>
      <c r="L122" t="str">
        <f t="shared" si="6"/>
        <v>Production</v>
      </c>
      <c r="M122">
        <f t="shared" si="7"/>
        <v>0</v>
      </c>
    </row>
    <row r="123" spans="1:13" x14ac:dyDescent="0.35">
      <c r="A123" s="12" t="str">
        <f>tblComponents[Component_ID]</f>
        <v>C122</v>
      </c>
      <c r="B123" s="12" t="str">
        <f>tblComponents[Component_Name]</f>
        <v>Component 122</v>
      </c>
      <c r="C123" t="str">
        <f>tblComponents[Product_Family]</f>
        <v>Interior</v>
      </c>
      <c r="D123" t="str">
        <f>tblComponents[Sourcing_Type]</f>
        <v>Make</v>
      </c>
      <c r="E123" t="str">
        <f>tblComponents[Criticality]</f>
        <v>Medium</v>
      </c>
      <c r="F123">
        <f>tblComponents[Forecast_Demand]</f>
        <v>1254</v>
      </c>
      <c r="G123">
        <f>tblComponents[Opening_Inventory]</f>
        <v>8098</v>
      </c>
      <c r="H123">
        <f>tblComponents[Safety_Stock]</f>
        <v>1174</v>
      </c>
      <c r="I123">
        <f t="shared" si="4"/>
        <v>0</v>
      </c>
      <c r="J123" s="15">
        <f>tblComponents[Defect_Rate]</f>
        <v>1.7500000000000002E-2</v>
      </c>
      <c r="K123">
        <f t="shared" si="5"/>
        <v>0</v>
      </c>
      <c r="L123" t="str">
        <f t="shared" si="6"/>
        <v>Production</v>
      </c>
      <c r="M123">
        <f t="shared" si="7"/>
        <v>0</v>
      </c>
    </row>
    <row r="124" spans="1:13" x14ac:dyDescent="0.35">
      <c r="A124" s="12" t="str">
        <f>tblComponents[Component_ID]</f>
        <v>C123</v>
      </c>
      <c r="B124" s="12" t="str">
        <f>tblComponents[Component_Name]</f>
        <v>Component 123</v>
      </c>
      <c r="C124" t="str">
        <f>tblComponents[Product_Family]</f>
        <v>Powertrain</v>
      </c>
      <c r="D124" t="str">
        <f>tblComponents[Sourcing_Type]</f>
        <v>Make</v>
      </c>
      <c r="E124" t="str">
        <f>tblComponents[Criticality]</f>
        <v>Medium</v>
      </c>
      <c r="F124">
        <f>tblComponents[Forecast_Demand]</f>
        <v>333</v>
      </c>
      <c r="G124">
        <f>tblComponents[Opening_Inventory]</f>
        <v>3111</v>
      </c>
      <c r="H124">
        <f>tblComponents[Safety_Stock]</f>
        <v>328</v>
      </c>
      <c r="I124">
        <f t="shared" si="4"/>
        <v>0</v>
      </c>
      <c r="J124" s="15">
        <f>tblComponents[Defect_Rate]</f>
        <v>3.2000000000000002E-3</v>
      </c>
      <c r="K124">
        <f t="shared" si="5"/>
        <v>0</v>
      </c>
      <c r="L124" t="str">
        <f t="shared" si="6"/>
        <v>Production</v>
      </c>
      <c r="M124">
        <f t="shared" si="7"/>
        <v>0</v>
      </c>
    </row>
    <row r="125" spans="1:13" x14ac:dyDescent="0.35">
      <c r="A125" s="12" t="str">
        <f>tblComponents[Component_ID]</f>
        <v>C124</v>
      </c>
      <c r="B125" s="12" t="str">
        <f>tblComponents[Component_Name]</f>
        <v>Component 124</v>
      </c>
      <c r="C125" t="str">
        <f>tblComponents[Product_Family]</f>
        <v>Powertrain</v>
      </c>
      <c r="D125" t="str">
        <f>tblComponents[Sourcing_Type]</f>
        <v>Make</v>
      </c>
      <c r="E125" t="str">
        <f>tblComponents[Criticality]</f>
        <v>Medium</v>
      </c>
      <c r="F125">
        <f>tblComponents[Forecast_Demand]</f>
        <v>772</v>
      </c>
      <c r="G125">
        <f>tblComponents[Opening_Inventory]</f>
        <v>8682</v>
      </c>
      <c r="H125">
        <f>tblComponents[Safety_Stock]</f>
        <v>2275</v>
      </c>
      <c r="I125">
        <f t="shared" si="4"/>
        <v>0</v>
      </c>
      <c r="J125" s="15">
        <f>tblComponents[Defect_Rate]</f>
        <v>4.5999999999999999E-3</v>
      </c>
      <c r="K125">
        <f t="shared" si="5"/>
        <v>0</v>
      </c>
      <c r="L125" t="str">
        <f t="shared" si="6"/>
        <v>Production</v>
      </c>
      <c r="M125">
        <f t="shared" si="7"/>
        <v>0</v>
      </c>
    </row>
    <row r="126" spans="1:13" x14ac:dyDescent="0.35">
      <c r="A126" s="12" t="str">
        <f>tblComponents[Component_ID]</f>
        <v>C125</v>
      </c>
      <c r="B126" s="12" t="str">
        <f>tblComponents[Component_Name]</f>
        <v>Component 125</v>
      </c>
      <c r="C126" t="str">
        <f>tblComponents[Product_Family]</f>
        <v>Powertrain</v>
      </c>
      <c r="D126" t="str">
        <f>tblComponents[Sourcing_Type]</f>
        <v>Make</v>
      </c>
      <c r="E126" t="str">
        <f>tblComponents[Criticality]</f>
        <v>Medium</v>
      </c>
      <c r="F126">
        <f>tblComponents[Forecast_Demand]</f>
        <v>775</v>
      </c>
      <c r="G126">
        <f>tblComponents[Opening_Inventory]</f>
        <v>5333</v>
      </c>
      <c r="H126">
        <f>tblComponents[Safety_Stock]</f>
        <v>352</v>
      </c>
      <c r="I126">
        <f t="shared" si="4"/>
        <v>0</v>
      </c>
      <c r="J126" s="15">
        <f>tblComponents[Defect_Rate]</f>
        <v>2.0999999999999999E-3</v>
      </c>
      <c r="K126">
        <f t="shared" si="5"/>
        <v>0</v>
      </c>
      <c r="L126" t="str">
        <f t="shared" si="6"/>
        <v>Production</v>
      </c>
      <c r="M126">
        <f t="shared" si="7"/>
        <v>0</v>
      </c>
    </row>
    <row r="127" spans="1:13" x14ac:dyDescent="0.35">
      <c r="A127" s="12" t="str">
        <f>tblComponents[Component_ID]</f>
        <v>C126</v>
      </c>
      <c r="B127" s="12" t="str">
        <f>tblComponents[Component_Name]</f>
        <v>Component 126</v>
      </c>
      <c r="C127" t="str">
        <f>tblComponents[Product_Family]</f>
        <v>Chassis</v>
      </c>
      <c r="D127" t="str">
        <f>tblComponents[Sourcing_Type]</f>
        <v>Make</v>
      </c>
      <c r="E127" t="str">
        <f>tblComponents[Criticality]</f>
        <v>High</v>
      </c>
      <c r="F127">
        <f>tblComponents[Forecast_Demand]</f>
        <v>1017</v>
      </c>
      <c r="G127">
        <f>tblComponents[Opening_Inventory]</f>
        <v>12530</v>
      </c>
      <c r="H127">
        <f>tblComponents[Safety_Stock]</f>
        <v>1150</v>
      </c>
      <c r="I127">
        <f t="shared" si="4"/>
        <v>0</v>
      </c>
      <c r="J127" s="15">
        <f>tblComponents[Defect_Rate]</f>
        <v>2.5000000000000001E-2</v>
      </c>
      <c r="K127">
        <f t="shared" si="5"/>
        <v>0</v>
      </c>
      <c r="L127" t="str">
        <f t="shared" si="6"/>
        <v>Production</v>
      </c>
      <c r="M127">
        <f t="shared" si="7"/>
        <v>0</v>
      </c>
    </row>
    <row r="128" spans="1:13" x14ac:dyDescent="0.35">
      <c r="A128" s="12" t="str">
        <f>tblComponents[Component_ID]</f>
        <v>C127</v>
      </c>
      <c r="B128" s="12" t="str">
        <f>tblComponents[Component_Name]</f>
        <v>Component 127</v>
      </c>
      <c r="C128" t="str">
        <f>tblComponents[Product_Family]</f>
        <v>Chassis</v>
      </c>
      <c r="D128" t="str">
        <f>tblComponents[Sourcing_Type]</f>
        <v>Make</v>
      </c>
      <c r="E128" t="str">
        <f>tblComponents[Criticality]</f>
        <v>Critical</v>
      </c>
      <c r="F128">
        <f>tblComponents[Forecast_Demand]</f>
        <v>1033</v>
      </c>
      <c r="G128">
        <f>tblComponents[Opening_Inventory]</f>
        <v>6248</v>
      </c>
      <c r="H128">
        <f>tblComponents[Safety_Stock]</f>
        <v>930</v>
      </c>
      <c r="I128">
        <f t="shared" si="4"/>
        <v>0</v>
      </c>
      <c r="J128" s="15">
        <f>tblComponents[Defect_Rate]</f>
        <v>2.5600000000000001E-2</v>
      </c>
      <c r="K128">
        <f t="shared" si="5"/>
        <v>0</v>
      </c>
      <c r="L128" t="str">
        <f t="shared" si="6"/>
        <v>Production</v>
      </c>
      <c r="M128">
        <f t="shared" si="7"/>
        <v>0</v>
      </c>
    </row>
    <row r="129" spans="1:13" x14ac:dyDescent="0.35">
      <c r="A129" s="12" t="str">
        <f>tblComponents[Component_ID]</f>
        <v>C128</v>
      </c>
      <c r="B129" s="12" t="str">
        <f>tblComponents[Component_Name]</f>
        <v>Component 128</v>
      </c>
      <c r="C129" t="str">
        <f>tblComponents[Product_Family]</f>
        <v>Body &amp; Exterior</v>
      </c>
      <c r="D129" t="str">
        <f>tblComponents[Sourcing_Type]</f>
        <v>Make</v>
      </c>
      <c r="E129" t="str">
        <f>tblComponents[Criticality]</f>
        <v>Low</v>
      </c>
      <c r="F129">
        <f>tblComponents[Forecast_Demand]</f>
        <v>271</v>
      </c>
      <c r="G129">
        <f>tblComponents[Opening_Inventory]</f>
        <v>2223</v>
      </c>
      <c r="H129">
        <f>tblComponents[Safety_Stock]</f>
        <v>397</v>
      </c>
      <c r="I129">
        <f t="shared" si="4"/>
        <v>0</v>
      </c>
      <c r="J129" s="15">
        <f>tblComponents[Defect_Rate]</f>
        <v>2.3099999999999999E-2</v>
      </c>
      <c r="K129">
        <f t="shared" si="5"/>
        <v>0</v>
      </c>
      <c r="L129" t="str">
        <f t="shared" si="6"/>
        <v>Production</v>
      </c>
      <c r="M129">
        <f t="shared" si="7"/>
        <v>0</v>
      </c>
    </row>
    <row r="130" spans="1:13" x14ac:dyDescent="0.35">
      <c r="A130" s="12" t="str">
        <f>tblComponents[Component_ID]</f>
        <v>C129</v>
      </c>
      <c r="B130" s="12" t="str">
        <f>tblComponents[Component_Name]</f>
        <v>Component 129</v>
      </c>
      <c r="C130" t="str">
        <f>tblComponents[Product_Family]</f>
        <v>Interior</v>
      </c>
      <c r="D130" t="str">
        <f>tblComponents[Sourcing_Type]</f>
        <v>Make</v>
      </c>
      <c r="E130" t="str">
        <f>tblComponents[Criticality]</f>
        <v>Medium</v>
      </c>
      <c r="F130">
        <f>tblComponents[Forecast_Demand]</f>
        <v>344</v>
      </c>
      <c r="G130">
        <f>tblComponents[Opening_Inventory]</f>
        <v>2061</v>
      </c>
      <c r="H130">
        <f>tblComponents[Safety_Stock]</f>
        <v>492</v>
      </c>
      <c r="I130">
        <f t="shared" si="4"/>
        <v>0</v>
      </c>
      <c r="J130" s="15">
        <f>tblComponents[Defect_Rate]</f>
        <v>1.37E-2</v>
      </c>
      <c r="K130">
        <f t="shared" si="5"/>
        <v>0</v>
      </c>
      <c r="L130" t="str">
        <f t="shared" si="6"/>
        <v>Production</v>
      </c>
      <c r="M130">
        <f t="shared" si="7"/>
        <v>0</v>
      </c>
    </row>
    <row r="131" spans="1:13" x14ac:dyDescent="0.35">
      <c r="A131" s="12" t="str">
        <f>tblComponents[Component_ID]</f>
        <v>C130</v>
      </c>
      <c r="B131" s="12" t="str">
        <f>tblComponents[Component_Name]</f>
        <v>Component 130</v>
      </c>
      <c r="C131" t="str">
        <f>tblComponents[Product_Family]</f>
        <v>Powertrain</v>
      </c>
      <c r="D131" t="str">
        <f>tblComponents[Sourcing_Type]</f>
        <v>Make</v>
      </c>
      <c r="E131" t="str">
        <f>tblComponents[Criticality]</f>
        <v>Critical</v>
      </c>
      <c r="F131">
        <f>tblComponents[Forecast_Demand]</f>
        <v>265</v>
      </c>
      <c r="G131">
        <f>tblComponents[Opening_Inventory]</f>
        <v>3485</v>
      </c>
      <c r="H131">
        <f>tblComponents[Safety_Stock]</f>
        <v>519</v>
      </c>
      <c r="I131">
        <f t="shared" ref="I131:I194" si="8">MAX(0,F131+H131-G131)</f>
        <v>0</v>
      </c>
      <c r="J131" s="15">
        <f>tblComponents[Defect_Rate]</f>
        <v>1.0200000000000001E-2</v>
      </c>
      <c r="K131">
        <f t="shared" ref="K131:K194" si="9">IFERROR(I131/(1-J131),0)</f>
        <v>0</v>
      </c>
      <c r="L131" t="str">
        <f t="shared" ref="L131:L194" si="10">IF(D131="Make","Production","Procurement")</f>
        <v>Production</v>
      </c>
      <c r="M131">
        <f t="shared" ref="M131:M194" si="11">K131</f>
        <v>0</v>
      </c>
    </row>
    <row r="132" spans="1:13" x14ac:dyDescent="0.35">
      <c r="A132" s="12" t="str">
        <f>tblComponents[Component_ID]</f>
        <v>C131</v>
      </c>
      <c r="B132" s="12" t="str">
        <f>tblComponents[Component_Name]</f>
        <v>Component 131</v>
      </c>
      <c r="C132" t="str">
        <f>tblComponents[Product_Family]</f>
        <v>Electrical Systems</v>
      </c>
      <c r="D132" t="str">
        <f>tblComponents[Sourcing_Type]</f>
        <v>Make</v>
      </c>
      <c r="E132" t="str">
        <f>tblComponents[Criticality]</f>
        <v>High</v>
      </c>
      <c r="F132">
        <f>tblComponents[Forecast_Demand]</f>
        <v>2765</v>
      </c>
      <c r="G132">
        <f>tblComponents[Opening_Inventory]</f>
        <v>1756</v>
      </c>
      <c r="H132">
        <f>tblComponents[Safety_Stock]</f>
        <v>912</v>
      </c>
      <c r="I132">
        <f t="shared" si="8"/>
        <v>1921</v>
      </c>
      <c r="J132" s="15">
        <f>tblComponents[Defect_Rate]</f>
        <v>7.9000000000000008E-3</v>
      </c>
      <c r="K132">
        <f t="shared" si="9"/>
        <v>1936.2967442798106</v>
      </c>
      <c r="L132" t="str">
        <f t="shared" si="10"/>
        <v>Production</v>
      </c>
      <c r="M132">
        <f t="shared" si="11"/>
        <v>1936.2967442798106</v>
      </c>
    </row>
    <row r="133" spans="1:13" x14ac:dyDescent="0.35">
      <c r="A133" s="12" t="str">
        <f>tblComponents[Component_ID]</f>
        <v>C132</v>
      </c>
      <c r="B133" s="12" t="str">
        <f>tblComponents[Component_Name]</f>
        <v>Component 132</v>
      </c>
      <c r="C133" t="str">
        <f>tblComponents[Product_Family]</f>
        <v>Interior</v>
      </c>
      <c r="D133" t="str">
        <f>tblComponents[Sourcing_Type]</f>
        <v>Make</v>
      </c>
      <c r="E133" t="str">
        <f>tblComponents[Criticality]</f>
        <v>Medium</v>
      </c>
      <c r="F133">
        <f>tblComponents[Forecast_Demand]</f>
        <v>1419</v>
      </c>
      <c r="G133">
        <f>tblComponents[Opening_Inventory]</f>
        <v>5785</v>
      </c>
      <c r="H133">
        <f>tblComponents[Safety_Stock]</f>
        <v>600</v>
      </c>
      <c r="I133">
        <f t="shared" si="8"/>
        <v>0</v>
      </c>
      <c r="J133" s="15">
        <f>tblComponents[Defect_Rate]</f>
        <v>8.5000000000000006E-3</v>
      </c>
      <c r="K133">
        <f t="shared" si="9"/>
        <v>0</v>
      </c>
      <c r="L133" t="str">
        <f t="shared" si="10"/>
        <v>Production</v>
      </c>
      <c r="M133">
        <f t="shared" si="11"/>
        <v>0</v>
      </c>
    </row>
    <row r="134" spans="1:13" x14ac:dyDescent="0.35">
      <c r="A134" s="12" t="str">
        <f>tblComponents[Component_ID]</f>
        <v>C133</v>
      </c>
      <c r="B134" s="12" t="str">
        <f>tblComponents[Component_Name]</f>
        <v>Component 133</v>
      </c>
      <c r="C134" t="str">
        <f>tblComponents[Product_Family]</f>
        <v>Body &amp; Exterior</v>
      </c>
      <c r="D134" t="str">
        <f>tblComponents[Sourcing_Type]</f>
        <v>Make</v>
      </c>
      <c r="E134" t="str">
        <f>tblComponents[Criticality]</f>
        <v>Critical</v>
      </c>
      <c r="F134">
        <f>tblComponents[Forecast_Demand]</f>
        <v>535</v>
      </c>
      <c r="G134">
        <f>tblComponents[Opening_Inventory]</f>
        <v>2641</v>
      </c>
      <c r="H134">
        <f>tblComponents[Safety_Stock]</f>
        <v>563</v>
      </c>
      <c r="I134">
        <f t="shared" si="8"/>
        <v>0</v>
      </c>
      <c r="J134" s="15">
        <f>tblComponents[Defect_Rate]</f>
        <v>1.5299999999999999E-2</v>
      </c>
      <c r="K134">
        <f t="shared" si="9"/>
        <v>0</v>
      </c>
      <c r="L134" t="str">
        <f t="shared" si="10"/>
        <v>Production</v>
      </c>
      <c r="M134">
        <f t="shared" si="11"/>
        <v>0</v>
      </c>
    </row>
    <row r="135" spans="1:13" x14ac:dyDescent="0.35">
      <c r="A135" s="12" t="str">
        <f>tblComponents[Component_ID]</f>
        <v>C134</v>
      </c>
      <c r="B135" s="12" t="str">
        <f>tblComponents[Component_Name]</f>
        <v>Component 134</v>
      </c>
      <c r="C135" t="str">
        <f>tblComponents[Product_Family]</f>
        <v>Electrical Systems</v>
      </c>
      <c r="D135" t="str">
        <f>tblComponents[Sourcing_Type]</f>
        <v>Make</v>
      </c>
      <c r="E135" t="str">
        <f>tblComponents[Criticality]</f>
        <v>Medium</v>
      </c>
      <c r="F135">
        <f>tblComponents[Forecast_Demand]</f>
        <v>112</v>
      </c>
      <c r="G135">
        <f>tblComponents[Opening_Inventory]</f>
        <v>4564</v>
      </c>
      <c r="H135">
        <f>tblComponents[Safety_Stock]</f>
        <v>773</v>
      </c>
      <c r="I135">
        <f t="shared" si="8"/>
        <v>0</v>
      </c>
      <c r="J135" s="15">
        <f>tblComponents[Defect_Rate]</f>
        <v>1.9400000000000001E-2</v>
      </c>
      <c r="K135">
        <f t="shared" si="9"/>
        <v>0</v>
      </c>
      <c r="L135" t="str">
        <f t="shared" si="10"/>
        <v>Production</v>
      </c>
      <c r="M135">
        <f t="shared" si="11"/>
        <v>0</v>
      </c>
    </row>
    <row r="136" spans="1:13" x14ac:dyDescent="0.35">
      <c r="A136" s="12" t="str">
        <f>tblComponents[Component_ID]</f>
        <v>C135</v>
      </c>
      <c r="B136" s="12" t="str">
        <f>tblComponents[Component_Name]</f>
        <v>Component 135</v>
      </c>
      <c r="C136" t="str">
        <f>tblComponents[Product_Family]</f>
        <v>Interior</v>
      </c>
      <c r="D136" t="str">
        <f>tblComponents[Sourcing_Type]</f>
        <v>Make</v>
      </c>
      <c r="E136" t="str">
        <f>tblComponents[Criticality]</f>
        <v>High</v>
      </c>
      <c r="F136">
        <f>tblComponents[Forecast_Demand]</f>
        <v>2809</v>
      </c>
      <c r="G136">
        <f>tblComponents[Opening_Inventory]</f>
        <v>1188</v>
      </c>
      <c r="H136">
        <f>tblComponents[Safety_Stock]</f>
        <v>220</v>
      </c>
      <c r="I136">
        <f t="shared" si="8"/>
        <v>1841</v>
      </c>
      <c r="J136" s="15">
        <f>tblComponents[Defect_Rate]</f>
        <v>1.66E-2</v>
      </c>
      <c r="K136">
        <f t="shared" si="9"/>
        <v>1872.0764693919054</v>
      </c>
      <c r="L136" t="str">
        <f t="shared" si="10"/>
        <v>Production</v>
      </c>
      <c r="M136">
        <f t="shared" si="11"/>
        <v>1872.0764693919054</v>
      </c>
    </row>
    <row r="137" spans="1:13" x14ac:dyDescent="0.35">
      <c r="A137" s="12" t="str">
        <f>tblComponents[Component_ID]</f>
        <v>C136</v>
      </c>
      <c r="B137" s="12" t="str">
        <f>tblComponents[Component_Name]</f>
        <v>Component 136</v>
      </c>
      <c r="C137" t="str">
        <f>tblComponents[Product_Family]</f>
        <v>Powertrain</v>
      </c>
      <c r="D137" t="str">
        <f>tblComponents[Sourcing_Type]</f>
        <v>Make</v>
      </c>
      <c r="E137" t="str">
        <f>tblComponents[Criticality]</f>
        <v>High</v>
      </c>
      <c r="F137">
        <f>tblComponents[Forecast_Demand]</f>
        <v>621</v>
      </c>
      <c r="G137">
        <f>tblComponents[Opening_Inventory]</f>
        <v>6327</v>
      </c>
      <c r="H137">
        <f>tblComponents[Safety_Stock]</f>
        <v>671</v>
      </c>
      <c r="I137">
        <f t="shared" si="8"/>
        <v>0</v>
      </c>
      <c r="J137" s="15">
        <f>tblComponents[Defect_Rate]</f>
        <v>3.8E-3</v>
      </c>
      <c r="K137">
        <f t="shared" si="9"/>
        <v>0</v>
      </c>
      <c r="L137" t="str">
        <f t="shared" si="10"/>
        <v>Production</v>
      </c>
      <c r="M137">
        <f t="shared" si="11"/>
        <v>0</v>
      </c>
    </row>
    <row r="138" spans="1:13" x14ac:dyDescent="0.35">
      <c r="A138" s="12" t="str">
        <f>tblComponents[Component_ID]</f>
        <v>C137</v>
      </c>
      <c r="B138" s="12" t="str">
        <f>tblComponents[Component_Name]</f>
        <v>Component 137</v>
      </c>
      <c r="C138" t="str">
        <f>tblComponents[Product_Family]</f>
        <v>Body &amp; Exterior</v>
      </c>
      <c r="D138" t="str">
        <f>tblComponents[Sourcing_Type]</f>
        <v>Make</v>
      </c>
      <c r="E138" t="str">
        <f>tblComponents[Criticality]</f>
        <v>High</v>
      </c>
      <c r="F138">
        <f>tblComponents[Forecast_Demand]</f>
        <v>1620</v>
      </c>
      <c r="G138">
        <f>tblComponents[Opening_Inventory]</f>
        <v>2800</v>
      </c>
      <c r="H138">
        <f>tblComponents[Safety_Stock]</f>
        <v>812</v>
      </c>
      <c r="I138">
        <f t="shared" si="8"/>
        <v>0</v>
      </c>
      <c r="J138" s="15">
        <f>tblComponents[Defect_Rate]</f>
        <v>2.3999999999999998E-3</v>
      </c>
      <c r="K138">
        <f t="shared" si="9"/>
        <v>0</v>
      </c>
      <c r="L138" t="str">
        <f t="shared" si="10"/>
        <v>Production</v>
      </c>
      <c r="M138">
        <f t="shared" si="11"/>
        <v>0</v>
      </c>
    </row>
    <row r="139" spans="1:13" x14ac:dyDescent="0.35">
      <c r="A139" s="12" t="str">
        <f>tblComponents[Component_ID]</f>
        <v>C138</v>
      </c>
      <c r="B139" s="12" t="str">
        <f>tblComponents[Component_Name]</f>
        <v>Component 138</v>
      </c>
      <c r="C139" t="str">
        <f>tblComponents[Product_Family]</f>
        <v>Interior</v>
      </c>
      <c r="D139" t="str">
        <f>tblComponents[Sourcing_Type]</f>
        <v>Make</v>
      </c>
      <c r="E139" t="str">
        <f>tblComponents[Criticality]</f>
        <v>Medium</v>
      </c>
      <c r="F139">
        <f>tblComponents[Forecast_Demand]</f>
        <v>1238</v>
      </c>
      <c r="G139">
        <f>tblComponents[Opening_Inventory]</f>
        <v>4658</v>
      </c>
      <c r="H139">
        <f>tblComponents[Safety_Stock]</f>
        <v>414</v>
      </c>
      <c r="I139">
        <f t="shared" si="8"/>
        <v>0</v>
      </c>
      <c r="J139" s="15">
        <f>tblComponents[Defect_Rate]</f>
        <v>4.4000000000000003E-3</v>
      </c>
      <c r="K139">
        <f t="shared" si="9"/>
        <v>0</v>
      </c>
      <c r="L139" t="str">
        <f t="shared" si="10"/>
        <v>Production</v>
      </c>
      <c r="M139">
        <f t="shared" si="11"/>
        <v>0</v>
      </c>
    </row>
    <row r="140" spans="1:13" x14ac:dyDescent="0.35">
      <c r="A140" s="12" t="str">
        <f>tblComponents[Component_ID]</f>
        <v>C139</v>
      </c>
      <c r="B140" s="12" t="str">
        <f>tblComponents[Component_Name]</f>
        <v>Component 139</v>
      </c>
      <c r="C140" t="str">
        <f>tblComponents[Product_Family]</f>
        <v>Chassis</v>
      </c>
      <c r="D140" t="str">
        <f>tblComponents[Sourcing_Type]</f>
        <v>Make</v>
      </c>
      <c r="E140" t="str">
        <f>tblComponents[Criticality]</f>
        <v>Low</v>
      </c>
      <c r="F140">
        <f>tblComponents[Forecast_Demand]</f>
        <v>402</v>
      </c>
      <c r="G140">
        <f>tblComponents[Opening_Inventory]</f>
        <v>1627</v>
      </c>
      <c r="H140">
        <f>tblComponents[Safety_Stock]</f>
        <v>703</v>
      </c>
      <c r="I140">
        <f t="shared" si="8"/>
        <v>0</v>
      </c>
      <c r="J140" s="15">
        <f>tblComponents[Defect_Rate]</f>
        <v>1.43E-2</v>
      </c>
      <c r="K140">
        <f t="shared" si="9"/>
        <v>0</v>
      </c>
      <c r="L140" t="str">
        <f t="shared" si="10"/>
        <v>Production</v>
      </c>
      <c r="M140">
        <f t="shared" si="11"/>
        <v>0</v>
      </c>
    </row>
    <row r="141" spans="1:13" x14ac:dyDescent="0.35">
      <c r="A141" s="12" t="str">
        <f>tblComponents[Component_ID]</f>
        <v>C140</v>
      </c>
      <c r="B141" s="12" t="str">
        <f>tblComponents[Component_Name]</f>
        <v>Component 140</v>
      </c>
      <c r="C141" t="str">
        <f>tblComponents[Product_Family]</f>
        <v>Chassis</v>
      </c>
      <c r="D141" t="str">
        <f>tblComponents[Sourcing_Type]</f>
        <v>Make</v>
      </c>
      <c r="E141" t="str">
        <f>tblComponents[Criticality]</f>
        <v>Medium</v>
      </c>
      <c r="F141">
        <f>tblComponents[Forecast_Demand]</f>
        <v>318</v>
      </c>
      <c r="G141">
        <f>tblComponents[Opening_Inventory]</f>
        <v>3334</v>
      </c>
      <c r="H141">
        <f>tblComponents[Safety_Stock]</f>
        <v>441</v>
      </c>
      <c r="I141">
        <f t="shared" si="8"/>
        <v>0</v>
      </c>
      <c r="J141" s="15">
        <f>tblComponents[Defect_Rate]</f>
        <v>2.35E-2</v>
      </c>
      <c r="K141">
        <f t="shared" si="9"/>
        <v>0</v>
      </c>
      <c r="L141" t="str">
        <f t="shared" si="10"/>
        <v>Production</v>
      </c>
      <c r="M141">
        <f t="shared" si="11"/>
        <v>0</v>
      </c>
    </row>
    <row r="142" spans="1:13" x14ac:dyDescent="0.35">
      <c r="A142" s="12" t="str">
        <f>tblComponents[Component_ID]</f>
        <v>C141</v>
      </c>
      <c r="B142" s="12" t="str">
        <f>tblComponents[Component_Name]</f>
        <v>Component 141</v>
      </c>
      <c r="C142" t="str">
        <f>tblComponents[Product_Family]</f>
        <v>Interior</v>
      </c>
      <c r="D142" t="str">
        <f>tblComponents[Sourcing_Type]</f>
        <v>Make</v>
      </c>
      <c r="E142" t="str">
        <f>tblComponents[Criticality]</f>
        <v>Low</v>
      </c>
      <c r="F142">
        <f>tblComponents[Forecast_Demand]</f>
        <v>1776</v>
      </c>
      <c r="G142">
        <f>tblComponents[Opening_Inventory]</f>
        <v>5340</v>
      </c>
      <c r="H142">
        <f>tblComponents[Safety_Stock]</f>
        <v>694</v>
      </c>
      <c r="I142">
        <f t="shared" si="8"/>
        <v>0</v>
      </c>
      <c r="J142" s="15">
        <f>tblComponents[Defect_Rate]</f>
        <v>1.67E-2</v>
      </c>
      <c r="K142">
        <f t="shared" si="9"/>
        <v>0</v>
      </c>
      <c r="L142" t="str">
        <f t="shared" si="10"/>
        <v>Production</v>
      </c>
      <c r="M142">
        <f t="shared" si="11"/>
        <v>0</v>
      </c>
    </row>
    <row r="143" spans="1:13" x14ac:dyDescent="0.35">
      <c r="A143" s="12" t="str">
        <f>tblComponents[Component_ID]</f>
        <v>C142</v>
      </c>
      <c r="B143" s="12" t="str">
        <f>tblComponents[Component_Name]</f>
        <v>Component 142</v>
      </c>
      <c r="C143" t="str">
        <f>tblComponents[Product_Family]</f>
        <v>Powertrain</v>
      </c>
      <c r="D143" t="str">
        <f>tblComponents[Sourcing_Type]</f>
        <v>Make</v>
      </c>
      <c r="E143" t="str">
        <f>tblComponents[Criticality]</f>
        <v>Medium</v>
      </c>
      <c r="F143">
        <f>tblComponents[Forecast_Demand]</f>
        <v>1231</v>
      </c>
      <c r="G143">
        <f>tblComponents[Opening_Inventory]</f>
        <v>2402</v>
      </c>
      <c r="H143">
        <f>tblComponents[Safety_Stock]</f>
        <v>402</v>
      </c>
      <c r="I143">
        <f t="shared" si="8"/>
        <v>0</v>
      </c>
      <c r="J143" s="15">
        <f>tblComponents[Defect_Rate]</f>
        <v>2.0400000000000001E-2</v>
      </c>
      <c r="K143">
        <f t="shared" si="9"/>
        <v>0</v>
      </c>
      <c r="L143" t="str">
        <f t="shared" si="10"/>
        <v>Production</v>
      </c>
      <c r="M143">
        <f t="shared" si="11"/>
        <v>0</v>
      </c>
    </row>
    <row r="144" spans="1:13" x14ac:dyDescent="0.35">
      <c r="A144" s="12" t="str">
        <f>tblComponents[Component_ID]</f>
        <v>C143</v>
      </c>
      <c r="B144" s="12" t="str">
        <f>tblComponents[Component_Name]</f>
        <v>Component 143</v>
      </c>
      <c r="C144" t="str">
        <f>tblComponents[Product_Family]</f>
        <v>Interior</v>
      </c>
      <c r="D144" t="str">
        <f>tblComponents[Sourcing_Type]</f>
        <v>Make</v>
      </c>
      <c r="E144" t="str">
        <f>tblComponents[Criticality]</f>
        <v>High</v>
      </c>
      <c r="F144">
        <f>tblComponents[Forecast_Demand]</f>
        <v>314</v>
      </c>
      <c r="G144">
        <f>tblComponents[Opening_Inventory]</f>
        <v>3211</v>
      </c>
      <c r="H144">
        <f>tblComponents[Safety_Stock]</f>
        <v>1296</v>
      </c>
      <c r="I144">
        <f t="shared" si="8"/>
        <v>0</v>
      </c>
      <c r="J144" s="15">
        <f>tblComponents[Defect_Rate]</f>
        <v>1.2699999999999999E-2</v>
      </c>
      <c r="K144">
        <f t="shared" si="9"/>
        <v>0</v>
      </c>
      <c r="L144" t="str">
        <f t="shared" si="10"/>
        <v>Production</v>
      </c>
      <c r="M144">
        <f t="shared" si="11"/>
        <v>0</v>
      </c>
    </row>
    <row r="145" spans="1:13" x14ac:dyDescent="0.35">
      <c r="A145" s="12" t="str">
        <f>tblComponents[Component_ID]</f>
        <v>C144</v>
      </c>
      <c r="B145" s="12" t="str">
        <f>tblComponents[Component_Name]</f>
        <v>Component 144</v>
      </c>
      <c r="C145" t="str">
        <f>tblComponents[Product_Family]</f>
        <v>Chassis</v>
      </c>
      <c r="D145" t="str">
        <f>tblComponents[Sourcing_Type]</f>
        <v>Make</v>
      </c>
      <c r="E145" t="str">
        <f>tblComponents[Criticality]</f>
        <v>Medium</v>
      </c>
      <c r="F145">
        <f>tblComponents[Forecast_Demand]</f>
        <v>1343</v>
      </c>
      <c r="G145">
        <f>tblComponents[Opening_Inventory]</f>
        <v>8773</v>
      </c>
      <c r="H145">
        <f>tblComponents[Safety_Stock]</f>
        <v>2275</v>
      </c>
      <c r="I145">
        <f t="shared" si="8"/>
        <v>0</v>
      </c>
      <c r="J145" s="15">
        <f>tblComponents[Defect_Rate]</f>
        <v>1.29E-2</v>
      </c>
      <c r="K145">
        <f t="shared" si="9"/>
        <v>0</v>
      </c>
      <c r="L145" t="str">
        <f t="shared" si="10"/>
        <v>Production</v>
      </c>
      <c r="M145">
        <f t="shared" si="11"/>
        <v>0</v>
      </c>
    </row>
    <row r="146" spans="1:13" x14ac:dyDescent="0.35">
      <c r="A146" s="12" t="str">
        <f>tblComponents[Component_ID]</f>
        <v>C145</v>
      </c>
      <c r="B146" s="12" t="str">
        <f>tblComponents[Component_Name]</f>
        <v>Component 145</v>
      </c>
      <c r="C146" t="str">
        <f>tblComponents[Product_Family]</f>
        <v>Electrical Systems</v>
      </c>
      <c r="D146" t="str">
        <f>tblComponents[Sourcing_Type]</f>
        <v>Make</v>
      </c>
      <c r="E146" t="str">
        <f>tblComponents[Criticality]</f>
        <v>Medium</v>
      </c>
      <c r="F146">
        <f>tblComponents[Forecast_Demand]</f>
        <v>687</v>
      </c>
      <c r="G146">
        <f>tblComponents[Opening_Inventory]</f>
        <v>3329</v>
      </c>
      <c r="H146">
        <f>tblComponents[Safety_Stock]</f>
        <v>1516</v>
      </c>
      <c r="I146">
        <f t="shared" si="8"/>
        <v>0</v>
      </c>
      <c r="J146" s="15">
        <f>tblComponents[Defect_Rate]</f>
        <v>4.4999999999999997E-3</v>
      </c>
      <c r="K146">
        <f t="shared" si="9"/>
        <v>0</v>
      </c>
      <c r="L146" t="str">
        <f t="shared" si="10"/>
        <v>Production</v>
      </c>
      <c r="M146">
        <f t="shared" si="11"/>
        <v>0</v>
      </c>
    </row>
    <row r="147" spans="1:13" x14ac:dyDescent="0.35">
      <c r="A147" s="12" t="str">
        <f>tblComponents[Component_ID]</f>
        <v>C146</v>
      </c>
      <c r="B147" s="12" t="str">
        <f>tblComponents[Component_Name]</f>
        <v>Component 146</v>
      </c>
      <c r="C147" t="str">
        <f>tblComponents[Product_Family]</f>
        <v>Electrical Systems</v>
      </c>
      <c r="D147" t="str">
        <f>tblComponents[Sourcing_Type]</f>
        <v>Make</v>
      </c>
      <c r="E147" t="str">
        <f>tblComponents[Criticality]</f>
        <v>Medium</v>
      </c>
      <c r="F147">
        <f>tblComponents[Forecast_Demand]</f>
        <v>225</v>
      </c>
      <c r="G147">
        <f>tblComponents[Opening_Inventory]</f>
        <v>1909</v>
      </c>
      <c r="H147">
        <f>tblComponents[Safety_Stock]</f>
        <v>254</v>
      </c>
      <c r="I147">
        <f t="shared" si="8"/>
        <v>0</v>
      </c>
      <c r="J147" s="15">
        <f>tblComponents[Defect_Rate]</f>
        <v>2.5499999999999998E-2</v>
      </c>
      <c r="K147">
        <f t="shared" si="9"/>
        <v>0</v>
      </c>
      <c r="L147" t="str">
        <f t="shared" si="10"/>
        <v>Production</v>
      </c>
      <c r="M147">
        <f t="shared" si="11"/>
        <v>0</v>
      </c>
    </row>
    <row r="148" spans="1:13" x14ac:dyDescent="0.35">
      <c r="A148" s="12" t="str">
        <f>tblComponents[Component_ID]</f>
        <v>C147</v>
      </c>
      <c r="B148" s="12" t="str">
        <f>tblComponents[Component_Name]</f>
        <v>Component 147</v>
      </c>
      <c r="C148" t="str">
        <f>tblComponents[Product_Family]</f>
        <v>Interior</v>
      </c>
      <c r="D148" t="str">
        <f>tblComponents[Sourcing_Type]</f>
        <v>Make</v>
      </c>
      <c r="E148" t="str">
        <f>tblComponents[Criticality]</f>
        <v>Critical</v>
      </c>
      <c r="F148">
        <f>tblComponents[Forecast_Demand]</f>
        <v>568</v>
      </c>
      <c r="G148">
        <f>tblComponents[Opening_Inventory]</f>
        <v>17113</v>
      </c>
      <c r="H148">
        <f>tblComponents[Safety_Stock]</f>
        <v>2273</v>
      </c>
      <c r="I148">
        <f t="shared" si="8"/>
        <v>0</v>
      </c>
      <c r="J148" s="15">
        <f>tblComponents[Defect_Rate]</f>
        <v>2.5000000000000001E-2</v>
      </c>
      <c r="K148">
        <f t="shared" si="9"/>
        <v>0</v>
      </c>
      <c r="L148" t="str">
        <f t="shared" si="10"/>
        <v>Production</v>
      </c>
      <c r="M148">
        <f t="shared" si="11"/>
        <v>0</v>
      </c>
    </row>
    <row r="149" spans="1:13" x14ac:dyDescent="0.35">
      <c r="A149" s="12" t="str">
        <f>tblComponents[Component_ID]</f>
        <v>C148</v>
      </c>
      <c r="B149" s="12" t="str">
        <f>tblComponents[Component_Name]</f>
        <v>Component 148</v>
      </c>
      <c r="C149" t="str">
        <f>tblComponents[Product_Family]</f>
        <v>Chassis</v>
      </c>
      <c r="D149" t="str">
        <f>tblComponents[Sourcing_Type]</f>
        <v>Make</v>
      </c>
      <c r="E149" t="str">
        <f>tblComponents[Criticality]</f>
        <v>High</v>
      </c>
      <c r="F149">
        <f>tblComponents[Forecast_Demand]</f>
        <v>353</v>
      </c>
      <c r="G149">
        <f>tblComponents[Opening_Inventory]</f>
        <v>11129</v>
      </c>
      <c r="H149">
        <f>tblComponents[Safety_Stock]</f>
        <v>732</v>
      </c>
      <c r="I149">
        <f t="shared" si="8"/>
        <v>0</v>
      </c>
      <c r="J149" s="15">
        <f>tblComponents[Defect_Rate]</f>
        <v>5.8999999999999999E-3</v>
      </c>
      <c r="K149">
        <f t="shared" si="9"/>
        <v>0</v>
      </c>
      <c r="L149" t="str">
        <f t="shared" si="10"/>
        <v>Production</v>
      </c>
      <c r="M149">
        <f t="shared" si="11"/>
        <v>0</v>
      </c>
    </row>
    <row r="150" spans="1:13" x14ac:dyDescent="0.35">
      <c r="A150" s="12" t="str">
        <f>tblComponents[Component_ID]</f>
        <v>C149</v>
      </c>
      <c r="B150" s="12" t="str">
        <f>tblComponents[Component_Name]</f>
        <v>Component 149</v>
      </c>
      <c r="C150" t="str">
        <f>tblComponents[Product_Family]</f>
        <v>Chassis</v>
      </c>
      <c r="D150" t="str">
        <f>tblComponents[Sourcing_Type]</f>
        <v>Make</v>
      </c>
      <c r="E150" t="str">
        <f>tblComponents[Criticality]</f>
        <v>High</v>
      </c>
      <c r="F150">
        <f>tblComponents[Forecast_Demand]</f>
        <v>1584</v>
      </c>
      <c r="G150">
        <f>tblComponents[Opening_Inventory]</f>
        <v>2062</v>
      </c>
      <c r="H150">
        <f>tblComponents[Safety_Stock]</f>
        <v>466</v>
      </c>
      <c r="I150">
        <f t="shared" si="8"/>
        <v>0</v>
      </c>
      <c r="J150" s="15">
        <f>tblComponents[Defect_Rate]</f>
        <v>1.38E-2</v>
      </c>
      <c r="K150">
        <f t="shared" si="9"/>
        <v>0</v>
      </c>
      <c r="L150" t="str">
        <f t="shared" si="10"/>
        <v>Production</v>
      </c>
      <c r="M150">
        <f t="shared" si="11"/>
        <v>0</v>
      </c>
    </row>
    <row r="151" spans="1:13" x14ac:dyDescent="0.35">
      <c r="A151" s="12" t="str">
        <f>tblComponents[Component_ID]</f>
        <v>C150</v>
      </c>
      <c r="B151" s="12" t="str">
        <f>tblComponents[Component_Name]</f>
        <v>Component 150</v>
      </c>
      <c r="C151" t="str">
        <f>tblComponents[Product_Family]</f>
        <v>Powertrain</v>
      </c>
      <c r="D151" t="str">
        <f>tblComponents[Sourcing_Type]</f>
        <v>Make</v>
      </c>
      <c r="E151" t="str">
        <f>tblComponents[Criticality]</f>
        <v>High</v>
      </c>
      <c r="F151">
        <f>tblComponents[Forecast_Demand]</f>
        <v>818</v>
      </c>
      <c r="G151">
        <f>tblComponents[Opening_Inventory]</f>
        <v>3897</v>
      </c>
      <c r="H151">
        <f>tblComponents[Safety_Stock]</f>
        <v>508</v>
      </c>
      <c r="I151">
        <f t="shared" si="8"/>
        <v>0</v>
      </c>
      <c r="J151" s="15">
        <f>tblComponents[Defect_Rate]</f>
        <v>1.32E-2</v>
      </c>
      <c r="K151">
        <f t="shared" si="9"/>
        <v>0</v>
      </c>
      <c r="L151" t="str">
        <f t="shared" si="10"/>
        <v>Production</v>
      </c>
      <c r="M151">
        <f t="shared" si="11"/>
        <v>0</v>
      </c>
    </row>
    <row r="152" spans="1:13" x14ac:dyDescent="0.35">
      <c r="A152" s="12" t="str">
        <f>tblComponents[Component_ID]</f>
        <v>C151</v>
      </c>
      <c r="B152" s="12" t="str">
        <f>tblComponents[Component_Name]</f>
        <v>Component 151</v>
      </c>
      <c r="C152" t="str">
        <f>tblComponents[Product_Family]</f>
        <v>Electrical Systems</v>
      </c>
      <c r="D152" t="str">
        <f>tblComponents[Sourcing_Type]</f>
        <v>Make</v>
      </c>
      <c r="E152" t="str">
        <f>tblComponents[Criticality]</f>
        <v>Medium</v>
      </c>
      <c r="F152">
        <f>tblComponents[Forecast_Demand]</f>
        <v>331</v>
      </c>
      <c r="G152">
        <f>tblComponents[Opening_Inventory]</f>
        <v>10267</v>
      </c>
      <c r="H152">
        <f>tblComponents[Safety_Stock]</f>
        <v>639</v>
      </c>
      <c r="I152">
        <f t="shared" si="8"/>
        <v>0</v>
      </c>
      <c r="J152" s="15">
        <f>tblComponents[Defect_Rate]</f>
        <v>1.6400000000000001E-2</v>
      </c>
      <c r="K152">
        <f t="shared" si="9"/>
        <v>0</v>
      </c>
      <c r="L152" t="str">
        <f t="shared" si="10"/>
        <v>Production</v>
      </c>
      <c r="M152">
        <f t="shared" si="11"/>
        <v>0</v>
      </c>
    </row>
    <row r="153" spans="1:13" x14ac:dyDescent="0.35">
      <c r="A153" s="12" t="str">
        <f>tblComponents[Component_ID]</f>
        <v>C152</v>
      </c>
      <c r="B153" s="12" t="str">
        <f>tblComponents[Component_Name]</f>
        <v>Component 152</v>
      </c>
      <c r="C153" t="str">
        <f>tblComponents[Product_Family]</f>
        <v>Chassis</v>
      </c>
      <c r="D153" t="str">
        <f>tblComponents[Sourcing_Type]</f>
        <v>Make</v>
      </c>
      <c r="E153" t="str">
        <f>tblComponents[Criticality]</f>
        <v>Medium</v>
      </c>
      <c r="F153">
        <f>tblComponents[Forecast_Demand]</f>
        <v>1508</v>
      </c>
      <c r="G153">
        <f>tblComponents[Opening_Inventory]</f>
        <v>402</v>
      </c>
      <c r="H153">
        <f>tblComponents[Safety_Stock]</f>
        <v>136</v>
      </c>
      <c r="I153">
        <f t="shared" si="8"/>
        <v>1242</v>
      </c>
      <c r="J153" s="15">
        <f>tblComponents[Defect_Rate]</f>
        <v>3.4200000000000001E-2</v>
      </c>
      <c r="K153">
        <f t="shared" si="9"/>
        <v>1285.9805342721061</v>
      </c>
      <c r="L153" t="str">
        <f t="shared" si="10"/>
        <v>Production</v>
      </c>
      <c r="M153">
        <f t="shared" si="11"/>
        <v>1285.9805342721061</v>
      </c>
    </row>
    <row r="154" spans="1:13" x14ac:dyDescent="0.35">
      <c r="A154" s="12" t="str">
        <f>tblComponents[Component_ID]</f>
        <v>C153</v>
      </c>
      <c r="B154" s="12" t="str">
        <f>tblComponents[Component_Name]</f>
        <v>Component 153</v>
      </c>
      <c r="C154" t="str">
        <f>tblComponents[Product_Family]</f>
        <v>Powertrain</v>
      </c>
      <c r="D154" t="str">
        <f>tblComponents[Sourcing_Type]</f>
        <v>Make</v>
      </c>
      <c r="E154" t="str">
        <f>tblComponents[Criticality]</f>
        <v>Medium</v>
      </c>
      <c r="F154">
        <f>tblComponents[Forecast_Demand]</f>
        <v>2220</v>
      </c>
      <c r="G154">
        <f>tblComponents[Opening_Inventory]</f>
        <v>10064</v>
      </c>
      <c r="H154">
        <f>tblComponents[Safety_Stock]</f>
        <v>1680</v>
      </c>
      <c r="I154">
        <f t="shared" si="8"/>
        <v>0</v>
      </c>
      <c r="J154" s="15">
        <f>tblComponents[Defect_Rate]</f>
        <v>1.9199999999999998E-2</v>
      </c>
      <c r="K154">
        <f t="shared" si="9"/>
        <v>0</v>
      </c>
      <c r="L154" t="str">
        <f t="shared" si="10"/>
        <v>Production</v>
      </c>
      <c r="M154">
        <f t="shared" si="11"/>
        <v>0</v>
      </c>
    </row>
    <row r="155" spans="1:13" x14ac:dyDescent="0.35">
      <c r="A155" s="12" t="str">
        <f>tblComponents[Component_ID]</f>
        <v>C154</v>
      </c>
      <c r="B155" s="12" t="str">
        <f>tblComponents[Component_Name]</f>
        <v>Component 154</v>
      </c>
      <c r="C155" t="str">
        <f>tblComponents[Product_Family]</f>
        <v>Chassis</v>
      </c>
      <c r="D155" t="str">
        <f>tblComponents[Sourcing_Type]</f>
        <v>Make</v>
      </c>
      <c r="E155" t="str">
        <f>tblComponents[Criticality]</f>
        <v>Medium</v>
      </c>
      <c r="F155">
        <f>tblComponents[Forecast_Demand]</f>
        <v>2476</v>
      </c>
      <c r="G155">
        <f>tblComponents[Opening_Inventory]</f>
        <v>1747</v>
      </c>
      <c r="H155">
        <f>tblComponents[Safety_Stock]</f>
        <v>210</v>
      </c>
      <c r="I155">
        <f t="shared" si="8"/>
        <v>939</v>
      </c>
      <c r="J155" s="15">
        <f>tblComponents[Defect_Rate]</f>
        <v>1.66E-2</v>
      </c>
      <c r="K155">
        <f t="shared" si="9"/>
        <v>954.85051860890781</v>
      </c>
      <c r="L155" t="str">
        <f t="shared" si="10"/>
        <v>Production</v>
      </c>
      <c r="M155">
        <f t="shared" si="11"/>
        <v>954.85051860890781</v>
      </c>
    </row>
    <row r="156" spans="1:13" x14ac:dyDescent="0.35">
      <c r="A156" s="12" t="str">
        <f>tblComponents[Component_ID]</f>
        <v>C155</v>
      </c>
      <c r="B156" s="12" t="str">
        <f>tblComponents[Component_Name]</f>
        <v>Component 155</v>
      </c>
      <c r="C156" t="str">
        <f>tblComponents[Product_Family]</f>
        <v>Chassis</v>
      </c>
      <c r="D156" t="str">
        <f>tblComponents[Sourcing_Type]</f>
        <v>Make</v>
      </c>
      <c r="E156" t="str">
        <f>tblComponents[Criticality]</f>
        <v>Low</v>
      </c>
      <c r="F156">
        <f>tblComponents[Forecast_Demand]</f>
        <v>400</v>
      </c>
      <c r="G156">
        <f>tblComponents[Opening_Inventory]</f>
        <v>1132</v>
      </c>
      <c r="H156">
        <f>tblComponents[Safety_Stock]</f>
        <v>227</v>
      </c>
      <c r="I156">
        <f t="shared" si="8"/>
        <v>0</v>
      </c>
      <c r="J156" s="15">
        <f>tblComponents[Defect_Rate]</f>
        <v>3.2000000000000002E-3</v>
      </c>
      <c r="K156">
        <f t="shared" si="9"/>
        <v>0</v>
      </c>
      <c r="L156" t="str">
        <f t="shared" si="10"/>
        <v>Production</v>
      </c>
      <c r="M156">
        <f t="shared" si="11"/>
        <v>0</v>
      </c>
    </row>
    <row r="157" spans="1:13" x14ac:dyDescent="0.35">
      <c r="A157" s="12" t="str">
        <f>tblComponents[Component_ID]</f>
        <v>C156</v>
      </c>
      <c r="B157" s="12" t="str">
        <f>tblComponents[Component_Name]</f>
        <v>Component 156</v>
      </c>
      <c r="C157" t="str">
        <f>tblComponents[Product_Family]</f>
        <v>Powertrain</v>
      </c>
      <c r="D157" t="str">
        <f>tblComponents[Sourcing_Type]</f>
        <v>Make</v>
      </c>
      <c r="E157" t="str">
        <f>tblComponents[Criticality]</f>
        <v>High</v>
      </c>
      <c r="F157">
        <f>tblComponents[Forecast_Demand]</f>
        <v>1320</v>
      </c>
      <c r="G157">
        <f>tblComponents[Opening_Inventory]</f>
        <v>6543</v>
      </c>
      <c r="H157">
        <f>tblComponents[Safety_Stock]</f>
        <v>652</v>
      </c>
      <c r="I157">
        <f t="shared" si="8"/>
        <v>0</v>
      </c>
      <c r="J157" s="15">
        <f>tblComponents[Defect_Rate]</f>
        <v>4.3E-3</v>
      </c>
      <c r="K157">
        <f t="shared" si="9"/>
        <v>0</v>
      </c>
      <c r="L157" t="str">
        <f t="shared" si="10"/>
        <v>Production</v>
      </c>
      <c r="M157">
        <f t="shared" si="11"/>
        <v>0</v>
      </c>
    </row>
    <row r="158" spans="1:13" x14ac:dyDescent="0.35">
      <c r="A158" s="12" t="str">
        <f>tblComponents[Component_ID]</f>
        <v>C157</v>
      </c>
      <c r="B158" s="12" t="str">
        <f>tblComponents[Component_Name]</f>
        <v>Component 157</v>
      </c>
      <c r="C158" t="str">
        <f>tblComponents[Product_Family]</f>
        <v>Electrical Systems</v>
      </c>
      <c r="D158" t="str">
        <f>tblComponents[Sourcing_Type]</f>
        <v>Make</v>
      </c>
      <c r="E158" t="str">
        <f>tblComponents[Criticality]</f>
        <v>Medium</v>
      </c>
      <c r="F158">
        <f>tblComponents[Forecast_Demand]</f>
        <v>2521</v>
      </c>
      <c r="G158">
        <f>tblComponents[Opening_Inventory]</f>
        <v>8262</v>
      </c>
      <c r="H158">
        <f>tblComponents[Safety_Stock]</f>
        <v>734</v>
      </c>
      <c r="I158">
        <f t="shared" si="8"/>
        <v>0</v>
      </c>
      <c r="J158" s="15">
        <f>tblComponents[Defect_Rate]</f>
        <v>6.3E-3</v>
      </c>
      <c r="K158">
        <f t="shared" si="9"/>
        <v>0</v>
      </c>
      <c r="L158" t="str">
        <f t="shared" si="10"/>
        <v>Production</v>
      </c>
      <c r="M158">
        <f t="shared" si="11"/>
        <v>0</v>
      </c>
    </row>
    <row r="159" spans="1:13" x14ac:dyDescent="0.35">
      <c r="A159" s="12" t="str">
        <f>tblComponents[Component_ID]</f>
        <v>C158</v>
      </c>
      <c r="B159" s="12" t="str">
        <f>tblComponents[Component_Name]</f>
        <v>Component 158</v>
      </c>
      <c r="C159" t="str">
        <f>tblComponents[Product_Family]</f>
        <v>Electrical Systems</v>
      </c>
      <c r="D159" t="str">
        <f>tblComponents[Sourcing_Type]</f>
        <v>Make</v>
      </c>
      <c r="E159" t="str">
        <f>tblComponents[Criticality]</f>
        <v>Low</v>
      </c>
      <c r="F159">
        <f>tblComponents[Forecast_Demand]</f>
        <v>1123</v>
      </c>
      <c r="G159">
        <f>tblComponents[Opening_Inventory]</f>
        <v>5726</v>
      </c>
      <c r="H159">
        <f>tblComponents[Safety_Stock]</f>
        <v>663</v>
      </c>
      <c r="I159">
        <f t="shared" si="8"/>
        <v>0</v>
      </c>
      <c r="J159" s="15">
        <f>tblComponents[Defect_Rate]</f>
        <v>2.7000000000000001E-3</v>
      </c>
      <c r="K159">
        <f t="shared" si="9"/>
        <v>0</v>
      </c>
      <c r="L159" t="str">
        <f t="shared" si="10"/>
        <v>Production</v>
      </c>
      <c r="M159">
        <f t="shared" si="11"/>
        <v>0</v>
      </c>
    </row>
    <row r="160" spans="1:13" x14ac:dyDescent="0.35">
      <c r="A160" s="12" t="str">
        <f>tblComponents[Component_ID]</f>
        <v>C159</v>
      </c>
      <c r="B160" s="12" t="str">
        <f>tblComponents[Component_Name]</f>
        <v>Component 159</v>
      </c>
      <c r="C160" t="str">
        <f>tblComponents[Product_Family]</f>
        <v>Powertrain</v>
      </c>
      <c r="D160" t="str">
        <f>tblComponents[Sourcing_Type]</f>
        <v>Make</v>
      </c>
      <c r="E160" t="str">
        <f>tblComponents[Criticality]</f>
        <v>High</v>
      </c>
      <c r="F160">
        <f>tblComponents[Forecast_Demand]</f>
        <v>619</v>
      </c>
      <c r="G160">
        <f>tblComponents[Opening_Inventory]</f>
        <v>1183</v>
      </c>
      <c r="H160">
        <f>tblComponents[Safety_Stock]</f>
        <v>552</v>
      </c>
      <c r="I160">
        <f t="shared" si="8"/>
        <v>0</v>
      </c>
      <c r="J160" s="15">
        <f>tblComponents[Defect_Rate]</f>
        <v>2.3900000000000001E-2</v>
      </c>
      <c r="K160">
        <f t="shared" si="9"/>
        <v>0</v>
      </c>
      <c r="L160" t="str">
        <f t="shared" si="10"/>
        <v>Production</v>
      </c>
      <c r="M160">
        <f t="shared" si="11"/>
        <v>0</v>
      </c>
    </row>
    <row r="161" spans="1:13" x14ac:dyDescent="0.35">
      <c r="A161" s="12" t="str">
        <f>tblComponents[Component_ID]</f>
        <v>C160</v>
      </c>
      <c r="B161" s="12" t="str">
        <f>tblComponents[Component_Name]</f>
        <v>Component 160</v>
      </c>
      <c r="C161" t="str">
        <f>tblComponents[Product_Family]</f>
        <v>Body &amp; Exterior</v>
      </c>
      <c r="D161" t="str">
        <f>tblComponents[Sourcing_Type]</f>
        <v>Make</v>
      </c>
      <c r="E161" t="str">
        <f>tblComponents[Criticality]</f>
        <v>High</v>
      </c>
      <c r="F161">
        <f>tblComponents[Forecast_Demand]</f>
        <v>2747</v>
      </c>
      <c r="G161">
        <f>tblComponents[Opening_Inventory]</f>
        <v>6367</v>
      </c>
      <c r="H161">
        <f>tblComponents[Safety_Stock]</f>
        <v>1081</v>
      </c>
      <c r="I161">
        <f t="shared" si="8"/>
        <v>0</v>
      </c>
      <c r="J161" s="15">
        <f>tblComponents[Defect_Rate]</f>
        <v>1.8599999999999998E-2</v>
      </c>
      <c r="K161">
        <f t="shared" si="9"/>
        <v>0</v>
      </c>
      <c r="L161" t="str">
        <f t="shared" si="10"/>
        <v>Production</v>
      </c>
      <c r="M161">
        <f t="shared" si="11"/>
        <v>0</v>
      </c>
    </row>
    <row r="162" spans="1:13" x14ac:dyDescent="0.35">
      <c r="A162" s="12" t="str">
        <f>tblComponents[Component_ID]</f>
        <v>C161</v>
      </c>
      <c r="B162" s="12" t="str">
        <f>tblComponents[Component_Name]</f>
        <v>Component 161</v>
      </c>
      <c r="C162" t="str">
        <f>tblComponents[Product_Family]</f>
        <v>Body &amp; Exterior</v>
      </c>
      <c r="D162" t="str">
        <f>tblComponents[Sourcing_Type]</f>
        <v>Make</v>
      </c>
      <c r="E162" t="str">
        <f>tblComponents[Criticality]</f>
        <v>Medium</v>
      </c>
      <c r="F162">
        <f>tblComponents[Forecast_Demand]</f>
        <v>2525</v>
      </c>
      <c r="G162">
        <f>tblComponents[Opening_Inventory]</f>
        <v>4727</v>
      </c>
      <c r="H162">
        <f>tblComponents[Safety_Stock]</f>
        <v>929</v>
      </c>
      <c r="I162">
        <f t="shared" si="8"/>
        <v>0</v>
      </c>
      <c r="J162" s="15">
        <f>tblComponents[Defect_Rate]</f>
        <v>5.1000000000000004E-3</v>
      </c>
      <c r="K162">
        <f t="shared" si="9"/>
        <v>0</v>
      </c>
      <c r="L162" t="str">
        <f t="shared" si="10"/>
        <v>Production</v>
      </c>
      <c r="M162">
        <f t="shared" si="11"/>
        <v>0</v>
      </c>
    </row>
    <row r="163" spans="1:13" x14ac:dyDescent="0.35">
      <c r="A163" s="12" t="str">
        <f>tblComponents[Component_ID]</f>
        <v>C162</v>
      </c>
      <c r="B163" s="12" t="str">
        <f>tblComponents[Component_Name]</f>
        <v>Component 162</v>
      </c>
      <c r="C163" t="str">
        <f>tblComponents[Product_Family]</f>
        <v>Chassis</v>
      </c>
      <c r="D163" t="str">
        <f>tblComponents[Sourcing_Type]</f>
        <v>Make</v>
      </c>
      <c r="E163" t="str">
        <f>tblComponents[Criticality]</f>
        <v>Medium</v>
      </c>
      <c r="F163">
        <f>tblComponents[Forecast_Demand]</f>
        <v>1038</v>
      </c>
      <c r="G163">
        <f>tblComponents[Opening_Inventory]</f>
        <v>3388</v>
      </c>
      <c r="H163">
        <f>tblComponents[Safety_Stock]</f>
        <v>272</v>
      </c>
      <c r="I163">
        <f t="shared" si="8"/>
        <v>0</v>
      </c>
      <c r="J163" s="15">
        <f>tblComponents[Defect_Rate]</f>
        <v>2.4400000000000002E-2</v>
      </c>
      <c r="K163">
        <f t="shared" si="9"/>
        <v>0</v>
      </c>
      <c r="L163" t="str">
        <f t="shared" si="10"/>
        <v>Production</v>
      </c>
      <c r="M163">
        <f t="shared" si="11"/>
        <v>0</v>
      </c>
    </row>
    <row r="164" spans="1:13" x14ac:dyDescent="0.35">
      <c r="A164" s="12" t="str">
        <f>tblComponents[Component_ID]</f>
        <v>C163</v>
      </c>
      <c r="B164" s="12" t="str">
        <f>tblComponents[Component_Name]</f>
        <v>Component 163</v>
      </c>
      <c r="C164" t="str">
        <f>tblComponents[Product_Family]</f>
        <v>Interior</v>
      </c>
      <c r="D164" t="str">
        <f>tblComponents[Sourcing_Type]</f>
        <v>Make</v>
      </c>
      <c r="E164" t="str">
        <f>tblComponents[Criticality]</f>
        <v>High</v>
      </c>
      <c r="F164">
        <f>tblComponents[Forecast_Demand]</f>
        <v>149</v>
      </c>
      <c r="G164">
        <f>tblComponents[Opening_Inventory]</f>
        <v>3686</v>
      </c>
      <c r="H164">
        <f>tblComponents[Safety_Stock]</f>
        <v>551</v>
      </c>
      <c r="I164">
        <f t="shared" si="8"/>
        <v>0</v>
      </c>
      <c r="J164" s="15">
        <f>tblComponents[Defect_Rate]</f>
        <v>5.5999999999999999E-3</v>
      </c>
      <c r="K164">
        <f t="shared" si="9"/>
        <v>0</v>
      </c>
      <c r="L164" t="str">
        <f t="shared" si="10"/>
        <v>Production</v>
      </c>
      <c r="M164">
        <f t="shared" si="11"/>
        <v>0</v>
      </c>
    </row>
    <row r="165" spans="1:13" x14ac:dyDescent="0.35">
      <c r="A165" s="12" t="str">
        <f>tblComponents[Component_ID]</f>
        <v>C164</v>
      </c>
      <c r="B165" s="12" t="str">
        <f>tblComponents[Component_Name]</f>
        <v>Component 164</v>
      </c>
      <c r="C165" t="str">
        <f>tblComponents[Product_Family]</f>
        <v>Powertrain</v>
      </c>
      <c r="D165" t="str">
        <f>tblComponents[Sourcing_Type]</f>
        <v>Make</v>
      </c>
      <c r="E165" t="str">
        <f>tblComponents[Criticality]</f>
        <v>Low</v>
      </c>
      <c r="F165">
        <f>tblComponents[Forecast_Demand]</f>
        <v>1470</v>
      </c>
      <c r="G165">
        <f>tblComponents[Opening_Inventory]</f>
        <v>8254</v>
      </c>
      <c r="H165">
        <f>tblComponents[Safety_Stock]</f>
        <v>980</v>
      </c>
      <c r="I165">
        <f t="shared" si="8"/>
        <v>0</v>
      </c>
      <c r="J165" s="15">
        <f>tblComponents[Defect_Rate]</f>
        <v>8.8999999999999999E-3</v>
      </c>
      <c r="K165">
        <f t="shared" si="9"/>
        <v>0</v>
      </c>
      <c r="L165" t="str">
        <f t="shared" si="10"/>
        <v>Production</v>
      </c>
      <c r="M165">
        <f t="shared" si="11"/>
        <v>0</v>
      </c>
    </row>
    <row r="166" spans="1:13" x14ac:dyDescent="0.35">
      <c r="A166" s="12" t="str">
        <f>tblComponents[Component_ID]</f>
        <v>C165</v>
      </c>
      <c r="B166" s="12" t="str">
        <f>tblComponents[Component_Name]</f>
        <v>Component 165</v>
      </c>
      <c r="C166" t="str">
        <f>tblComponents[Product_Family]</f>
        <v>Electrical Systems</v>
      </c>
      <c r="D166" t="str">
        <f>tblComponents[Sourcing_Type]</f>
        <v>Make</v>
      </c>
      <c r="E166" t="str">
        <f>tblComponents[Criticality]</f>
        <v>Medium</v>
      </c>
      <c r="F166">
        <f>tblComponents[Forecast_Demand]</f>
        <v>724</v>
      </c>
      <c r="G166">
        <f>tblComponents[Opening_Inventory]</f>
        <v>8513</v>
      </c>
      <c r="H166">
        <f>tblComponents[Safety_Stock]</f>
        <v>2988</v>
      </c>
      <c r="I166">
        <f t="shared" si="8"/>
        <v>0</v>
      </c>
      <c r="J166" s="15">
        <f>tblComponents[Defect_Rate]</f>
        <v>7.7000000000000002E-3</v>
      </c>
      <c r="K166">
        <f t="shared" si="9"/>
        <v>0</v>
      </c>
      <c r="L166" t="str">
        <f t="shared" si="10"/>
        <v>Production</v>
      </c>
      <c r="M166">
        <f t="shared" si="11"/>
        <v>0</v>
      </c>
    </row>
    <row r="167" spans="1:13" x14ac:dyDescent="0.35">
      <c r="A167" s="12" t="str">
        <f>tblComponents[Component_ID]</f>
        <v>C166</v>
      </c>
      <c r="B167" s="12" t="str">
        <f>tblComponents[Component_Name]</f>
        <v>Component 166</v>
      </c>
      <c r="C167" t="str">
        <f>tblComponents[Product_Family]</f>
        <v>Electrical Systems</v>
      </c>
      <c r="D167" t="str">
        <f>tblComponents[Sourcing_Type]</f>
        <v>Make</v>
      </c>
      <c r="E167" t="str">
        <f>tblComponents[Criticality]</f>
        <v>Low</v>
      </c>
      <c r="F167">
        <f>tblComponents[Forecast_Demand]</f>
        <v>662</v>
      </c>
      <c r="G167">
        <f>tblComponents[Opening_Inventory]</f>
        <v>808</v>
      </c>
      <c r="H167">
        <f>tblComponents[Safety_Stock]</f>
        <v>133</v>
      </c>
      <c r="I167">
        <f t="shared" si="8"/>
        <v>0</v>
      </c>
      <c r="J167" s="15">
        <f>tblComponents[Defect_Rate]</f>
        <v>1.21E-2</v>
      </c>
      <c r="K167">
        <f t="shared" si="9"/>
        <v>0</v>
      </c>
      <c r="L167" t="str">
        <f t="shared" si="10"/>
        <v>Production</v>
      </c>
      <c r="M167">
        <f t="shared" si="11"/>
        <v>0</v>
      </c>
    </row>
    <row r="168" spans="1:13" x14ac:dyDescent="0.35">
      <c r="A168" s="12" t="str">
        <f>tblComponents[Component_ID]</f>
        <v>C167</v>
      </c>
      <c r="B168" s="12" t="str">
        <f>tblComponents[Component_Name]</f>
        <v>Component 167</v>
      </c>
      <c r="C168" t="str">
        <f>tblComponents[Product_Family]</f>
        <v>Body &amp; Exterior</v>
      </c>
      <c r="D168" t="str">
        <f>tblComponents[Sourcing_Type]</f>
        <v>Make</v>
      </c>
      <c r="E168" t="str">
        <f>tblComponents[Criticality]</f>
        <v>Low</v>
      </c>
      <c r="F168">
        <f>tblComponents[Forecast_Demand]</f>
        <v>337</v>
      </c>
      <c r="G168">
        <f>tblComponents[Opening_Inventory]</f>
        <v>2675</v>
      </c>
      <c r="H168">
        <f>tblComponents[Safety_Stock]</f>
        <v>450</v>
      </c>
      <c r="I168">
        <f t="shared" si="8"/>
        <v>0</v>
      </c>
      <c r="J168" s="15">
        <f>tblComponents[Defect_Rate]</f>
        <v>7.9000000000000008E-3</v>
      </c>
      <c r="K168">
        <f t="shared" si="9"/>
        <v>0</v>
      </c>
      <c r="L168" t="str">
        <f t="shared" si="10"/>
        <v>Production</v>
      </c>
      <c r="M168">
        <f t="shared" si="11"/>
        <v>0</v>
      </c>
    </row>
    <row r="169" spans="1:13" x14ac:dyDescent="0.35">
      <c r="A169" s="12" t="str">
        <f>tblComponents[Component_ID]</f>
        <v>C168</v>
      </c>
      <c r="B169" s="12" t="str">
        <f>tblComponents[Component_Name]</f>
        <v>Component 168</v>
      </c>
      <c r="C169" t="str">
        <f>tblComponents[Product_Family]</f>
        <v>Interior</v>
      </c>
      <c r="D169" t="str">
        <f>tblComponents[Sourcing_Type]</f>
        <v>Make</v>
      </c>
      <c r="E169" t="str">
        <f>tblComponents[Criticality]</f>
        <v>High</v>
      </c>
      <c r="F169">
        <f>tblComponents[Forecast_Demand]</f>
        <v>1011</v>
      </c>
      <c r="G169">
        <f>tblComponents[Opening_Inventory]</f>
        <v>5518</v>
      </c>
      <c r="H169">
        <f>tblComponents[Safety_Stock]</f>
        <v>823</v>
      </c>
      <c r="I169">
        <f t="shared" si="8"/>
        <v>0</v>
      </c>
      <c r="J169" s="15">
        <f>tblComponents[Defect_Rate]</f>
        <v>1.32E-2</v>
      </c>
      <c r="K169">
        <f t="shared" si="9"/>
        <v>0</v>
      </c>
      <c r="L169" t="str">
        <f t="shared" si="10"/>
        <v>Production</v>
      </c>
      <c r="M169">
        <f t="shared" si="11"/>
        <v>0</v>
      </c>
    </row>
    <row r="170" spans="1:13" x14ac:dyDescent="0.35">
      <c r="A170" s="12" t="str">
        <f>tblComponents[Component_ID]</f>
        <v>C169</v>
      </c>
      <c r="B170" s="12" t="str">
        <f>tblComponents[Component_Name]</f>
        <v>Component 169</v>
      </c>
      <c r="C170" t="str">
        <f>tblComponents[Product_Family]</f>
        <v>Chassis</v>
      </c>
      <c r="D170" t="str">
        <f>tblComponents[Sourcing_Type]</f>
        <v>Make</v>
      </c>
      <c r="E170" t="str">
        <f>tblComponents[Criticality]</f>
        <v>Medium</v>
      </c>
      <c r="F170">
        <f>tblComponents[Forecast_Demand]</f>
        <v>429</v>
      </c>
      <c r="G170">
        <f>tblComponents[Opening_Inventory]</f>
        <v>2651</v>
      </c>
      <c r="H170">
        <f>tblComponents[Safety_Stock]</f>
        <v>351</v>
      </c>
      <c r="I170">
        <f t="shared" si="8"/>
        <v>0</v>
      </c>
      <c r="J170" s="15">
        <f>tblComponents[Defect_Rate]</f>
        <v>1.14E-2</v>
      </c>
      <c r="K170">
        <f t="shared" si="9"/>
        <v>0</v>
      </c>
      <c r="L170" t="str">
        <f t="shared" si="10"/>
        <v>Production</v>
      </c>
      <c r="M170">
        <f t="shared" si="11"/>
        <v>0</v>
      </c>
    </row>
    <row r="171" spans="1:13" x14ac:dyDescent="0.35">
      <c r="A171" s="12" t="str">
        <f>tblComponents[Component_ID]</f>
        <v>C170</v>
      </c>
      <c r="B171" s="12" t="str">
        <f>tblComponents[Component_Name]</f>
        <v>Component 170</v>
      </c>
      <c r="C171" t="str">
        <f>tblComponents[Product_Family]</f>
        <v>Electrical Systems</v>
      </c>
      <c r="D171" t="str">
        <f>tblComponents[Sourcing_Type]</f>
        <v>Make</v>
      </c>
      <c r="E171" t="str">
        <f>tblComponents[Criticality]</f>
        <v>Critical</v>
      </c>
      <c r="F171">
        <f>tblComponents[Forecast_Demand]</f>
        <v>782</v>
      </c>
      <c r="G171">
        <f>tblComponents[Opening_Inventory]</f>
        <v>5505</v>
      </c>
      <c r="H171">
        <f>tblComponents[Safety_Stock]</f>
        <v>564</v>
      </c>
      <c r="I171">
        <f t="shared" si="8"/>
        <v>0</v>
      </c>
      <c r="J171" s="15">
        <f>tblComponents[Defect_Rate]</f>
        <v>2.47E-2</v>
      </c>
      <c r="K171">
        <f t="shared" si="9"/>
        <v>0</v>
      </c>
      <c r="L171" t="str">
        <f t="shared" si="10"/>
        <v>Production</v>
      </c>
      <c r="M171">
        <f t="shared" si="11"/>
        <v>0</v>
      </c>
    </row>
    <row r="172" spans="1:13" x14ac:dyDescent="0.35">
      <c r="A172" s="12" t="str">
        <f>tblComponents[Component_ID]</f>
        <v>C171</v>
      </c>
      <c r="B172" s="12" t="str">
        <f>tblComponents[Component_Name]</f>
        <v>Component 171</v>
      </c>
      <c r="C172" t="str">
        <f>tblComponents[Product_Family]</f>
        <v>Electrical Systems</v>
      </c>
      <c r="D172" t="str">
        <f>tblComponents[Sourcing_Type]</f>
        <v>Make</v>
      </c>
      <c r="E172" t="str">
        <f>tblComponents[Criticality]</f>
        <v>Critical</v>
      </c>
      <c r="F172">
        <f>tblComponents[Forecast_Demand]</f>
        <v>510</v>
      </c>
      <c r="G172">
        <f>tblComponents[Opening_Inventory]</f>
        <v>15466</v>
      </c>
      <c r="H172">
        <f>tblComponents[Safety_Stock]</f>
        <v>1743</v>
      </c>
      <c r="I172">
        <f t="shared" si="8"/>
        <v>0</v>
      </c>
      <c r="J172" s="15">
        <f>tblComponents[Defect_Rate]</f>
        <v>3.3E-3</v>
      </c>
      <c r="K172">
        <f t="shared" si="9"/>
        <v>0</v>
      </c>
      <c r="L172" t="str">
        <f t="shared" si="10"/>
        <v>Production</v>
      </c>
      <c r="M172">
        <f t="shared" si="11"/>
        <v>0</v>
      </c>
    </row>
    <row r="173" spans="1:13" x14ac:dyDescent="0.35">
      <c r="A173" s="12" t="str">
        <f>tblComponents[Component_ID]</f>
        <v>C172</v>
      </c>
      <c r="B173" s="12" t="str">
        <f>tblComponents[Component_Name]</f>
        <v>Component 172</v>
      </c>
      <c r="C173" t="str">
        <f>tblComponents[Product_Family]</f>
        <v>Chassis</v>
      </c>
      <c r="D173" t="str">
        <f>tblComponents[Sourcing_Type]</f>
        <v>Make</v>
      </c>
      <c r="E173" t="str">
        <f>tblComponents[Criticality]</f>
        <v>Low</v>
      </c>
      <c r="F173">
        <f>tblComponents[Forecast_Demand]</f>
        <v>935</v>
      </c>
      <c r="G173">
        <f>tblComponents[Opening_Inventory]</f>
        <v>2763</v>
      </c>
      <c r="H173">
        <f>tblComponents[Safety_Stock]</f>
        <v>676</v>
      </c>
      <c r="I173">
        <f t="shared" si="8"/>
        <v>0</v>
      </c>
      <c r="J173" s="15">
        <f>tblComponents[Defect_Rate]</f>
        <v>6.6E-3</v>
      </c>
      <c r="K173">
        <f t="shared" si="9"/>
        <v>0</v>
      </c>
      <c r="L173" t="str">
        <f t="shared" si="10"/>
        <v>Production</v>
      </c>
      <c r="M173">
        <f t="shared" si="11"/>
        <v>0</v>
      </c>
    </row>
    <row r="174" spans="1:13" x14ac:dyDescent="0.35">
      <c r="A174" s="12" t="str">
        <f>tblComponents[Component_ID]</f>
        <v>C173</v>
      </c>
      <c r="B174" s="12" t="str">
        <f>tblComponents[Component_Name]</f>
        <v>Component 173</v>
      </c>
      <c r="C174" t="str">
        <f>tblComponents[Product_Family]</f>
        <v>Interior</v>
      </c>
      <c r="D174" t="str">
        <f>tblComponents[Sourcing_Type]</f>
        <v>Make</v>
      </c>
      <c r="E174" t="str">
        <f>tblComponents[Criticality]</f>
        <v>High</v>
      </c>
      <c r="F174">
        <f>tblComponents[Forecast_Demand]</f>
        <v>1288</v>
      </c>
      <c r="G174">
        <f>tblComponents[Opening_Inventory]</f>
        <v>4741</v>
      </c>
      <c r="H174">
        <f>tblComponents[Safety_Stock]</f>
        <v>762</v>
      </c>
      <c r="I174">
        <f t="shared" si="8"/>
        <v>0</v>
      </c>
      <c r="J174" s="15">
        <f>tblComponents[Defect_Rate]</f>
        <v>3.2000000000000002E-3</v>
      </c>
      <c r="K174">
        <f t="shared" si="9"/>
        <v>0</v>
      </c>
      <c r="L174" t="str">
        <f t="shared" si="10"/>
        <v>Production</v>
      </c>
      <c r="M174">
        <f t="shared" si="11"/>
        <v>0</v>
      </c>
    </row>
    <row r="175" spans="1:13" x14ac:dyDescent="0.35">
      <c r="A175" s="12" t="str">
        <f>tblComponents[Component_ID]</f>
        <v>C174</v>
      </c>
      <c r="B175" s="12" t="str">
        <f>tblComponents[Component_Name]</f>
        <v>Component 174</v>
      </c>
      <c r="C175" t="str">
        <f>tblComponents[Product_Family]</f>
        <v>Chassis</v>
      </c>
      <c r="D175" t="str">
        <f>tblComponents[Sourcing_Type]</f>
        <v>Make</v>
      </c>
      <c r="E175" t="str">
        <f>tblComponents[Criticality]</f>
        <v>High</v>
      </c>
      <c r="F175">
        <f>tblComponents[Forecast_Demand]</f>
        <v>1119</v>
      </c>
      <c r="G175">
        <f>tblComponents[Opening_Inventory]</f>
        <v>2440</v>
      </c>
      <c r="H175">
        <f>tblComponents[Safety_Stock]</f>
        <v>798</v>
      </c>
      <c r="I175">
        <f t="shared" si="8"/>
        <v>0</v>
      </c>
      <c r="J175" s="15">
        <f>tblComponents[Defect_Rate]</f>
        <v>1.6400000000000001E-2</v>
      </c>
      <c r="K175">
        <f t="shared" si="9"/>
        <v>0</v>
      </c>
      <c r="L175" t="str">
        <f t="shared" si="10"/>
        <v>Production</v>
      </c>
      <c r="M175">
        <f t="shared" si="11"/>
        <v>0</v>
      </c>
    </row>
    <row r="176" spans="1:13" x14ac:dyDescent="0.35">
      <c r="A176" s="12" t="str">
        <f>tblComponents[Component_ID]</f>
        <v>C175</v>
      </c>
      <c r="B176" s="12" t="str">
        <f>tblComponents[Component_Name]</f>
        <v>Component 175</v>
      </c>
      <c r="C176" t="str">
        <f>tblComponents[Product_Family]</f>
        <v>Body &amp; Exterior</v>
      </c>
      <c r="D176" t="str">
        <f>tblComponents[Sourcing_Type]</f>
        <v>Make</v>
      </c>
      <c r="E176" t="str">
        <f>tblComponents[Criticality]</f>
        <v>Critical</v>
      </c>
      <c r="F176">
        <f>tblComponents[Forecast_Demand]</f>
        <v>1341</v>
      </c>
      <c r="G176">
        <f>tblComponents[Opening_Inventory]</f>
        <v>4607</v>
      </c>
      <c r="H176">
        <f>tblComponents[Safety_Stock]</f>
        <v>270</v>
      </c>
      <c r="I176">
        <f t="shared" si="8"/>
        <v>0</v>
      </c>
      <c r="J176" s="15">
        <f>tblComponents[Defect_Rate]</f>
        <v>3.3E-3</v>
      </c>
      <c r="K176">
        <f t="shared" si="9"/>
        <v>0</v>
      </c>
      <c r="L176" t="str">
        <f t="shared" si="10"/>
        <v>Production</v>
      </c>
      <c r="M176">
        <f t="shared" si="11"/>
        <v>0</v>
      </c>
    </row>
    <row r="177" spans="1:13" x14ac:dyDescent="0.35">
      <c r="A177" s="12" t="str">
        <f>tblComponents[Component_ID]</f>
        <v>C176</v>
      </c>
      <c r="B177" s="12" t="str">
        <f>tblComponents[Component_Name]</f>
        <v>Component 176</v>
      </c>
      <c r="C177" t="str">
        <f>tblComponents[Product_Family]</f>
        <v>Interior</v>
      </c>
      <c r="D177" t="str">
        <f>tblComponents[Sourcing_Type]</f>
        <v>Make</v>
      </c>
      <c r="E177" t="str">
        <f>tblComponents[Criticality]</f>
        <v>High</v>
      </c>
      <c r="F177">
        <f>tblComponents[Forecast_Demand]</f>
        <v>260</v>
      </c>
      <c r="G177">
        <f>tblComponents[Opening_Inventory]</f>
        <v>8281</v>
      </c>
      <c r="H177">
        <f>tblComponents[Safety_Stock]</f>
        <v>871</v>
      </c>
      <c r="I177">
        <f t="shared" si="8"/>
        <v>0</v>
      </c>
      <c r="J177" s="15">
        <f>tblComponents[Defect_Rate]</f>
        <v>2.12E-2</v>
      </c>
      <c r="K177">
        <f t="shared" si="9"/>
        <v>0</v>
      </c>
      <c r="L177" t="str">
        <f t="shared" si="10"/>
        <v>Production</v>
      </c>
      <c r="M177">
        <f t="shared" si="11"/>
        <v>0</v>
      </c>
    </row>
    <row r="178" spans="1:13" x14ac:dyDescent="0.35">
      <c r="A178" s="12" t="str">
        <f>tblComponents[Component_ID]</f>
        <v>C177</v>
      </c>
      <c r="B178" s="12" t="str">
        <f>tblComponents[Component_Name]</f>
        <v>Component 177</v>
      </c>
      <c r="C178" t="str">
        <f>tblComponents[Product_Family]</f>
        <v>Electrical Systems</v>
      </c>
      <c r="D178" t="str">
        <f>tblComponents[Sourcing_Type]</f>
        <v>Make</v>
      </c>
      <c r="E178" t="str">
        <f>tblComponents[Criticality]</f>
        <v>Medium</v>
      </c>
      <c r="F178">
        <f>tblComponents[Forecast_Demand]</f>
        <v>3226</v>
      </c>
      <c r="G178">
        <f>tblComponents[Opening_Inventory]</f>
        <v>3931</v>
      </c>
      <c r="H178">
        <f>tblComponents[Safety_Stock]</f>
        <v>589</v>
      </c>
      <c r="I178">
        <f t="shared" si="8"/>
        <v>0</v>
      </c>
      <c r="J178" s="15">
        <f>tblComponents[Defect_Rate]</f>
        <v>1.72E-2</v>
      </c>
      <c r="K178">
        <f t="shared" si="9"/>
        <v>0</v>
      </c>
      <c r="L178" t="str">
        <f t="shared" si="10"/>
        <v>Production</v>
      </c>
      <c r="M178">
        <f t="shared" si="11"/>
        <v>0</v>
      </c>
    </row>
    <row r="179" spans="1:13" x14ac:dyDescent="0.35">
      <c r="A179" s="12" t="str">
        <f>tblComponents[Component_ID]</f>
        <v>C178</v>
      </c>
      <c r="B179" s="12" t="str">
        <f>tblComponents[Component_Name]</f>
        <v>Component 178</v>
      </c>
      <c r="C179" t="str">
        <f>tblComponents[Product_Family]</f>
        <v>Electrical Systems</v>
      </c>
      <c r="D179" t="str">
        <f>tblComponents[Sourcing_Type]</f>
        <v>Make</v>
      </c>
      <c r="E179" t="str">
        <f>tblComponents[Criticality]</f>
        <v>High</v>
      </c>
      <c r="F179">
        <f>tblComponents[Forecast_Demand]</f>
        <v>1298</v>
      </c>
      <c r="G179">
        <f>tblComponents[Opening_Inventory]</f>
        <v>6947</v>
      </c>
      <c r="H179">
        <f>tblComponents[Safety_Stock]</f>
        <v>791</v>
      </c>
      <c r="I179">
        <f t="shared" si="8"/>
        <v>0</v>
      </c>
      <c r="J179" s="15">
        <f>tblComponents[Defect_Rate]</f>
        <v>1.41E-2</v>
      </c>
      <c r="K179">
        <f t="shared" si="9"/>
        <v>0</v>
      </c>
      <c r="L179" t="str">
        <f t="shared" si="10"/>
        <v>Production</v>
      </c>
      <c r="M179">
        <f t="shared" si="11"/>
        <v>0</v>
      </c>
    </row>
    <row r="180" spans="1:13" x14ac:dyDescent="0.35">
      <c r="A180" s="12" t="str">
        <f>tblComponents[Component_ID]</f>
        <v>C179</v>
      </c>
      <c r="B180" s="12" t="str">
        <f>tblComponents[Component_Name]</f>
        <v>Component 179</v>
      </c>
      <c r="C180" t="str">
        <f>tblComponents[Product_Family]</f>
        <v>Interior</v>
      </c>
      <c r="D180" t="str">
        <f>tblComponents[Sourcing_Type]</f>
        <v>Make</v>
      </c>
      <c r="E180" t="str">
        <f>tblComponents[Criticality]</f>
        <v>Medium</v>
      </c>
      <c r="F180">
        <f>tblComponents[Forecast_Demand]</f>
        <v>812</v>
      </c>
      <c r="G180">
        <f>tblComponents[Opening_Inventory]</f>
        <v>4529</v>
      </c>
      <c r="H180">
        <f>tblComponents[Safety_Stock]</f>
        <v>648</v>
      </c>
      <c r="I180">
        <f t="shared" si="8"/>
        <v>0</v>
      </c>
      <c r="J180" s="15">
        <f>tblComponents[Defect_Rate]</f>
        <v>1.49E-2</v>
      </c>
      <c r="K180">
        <f t="shared" si="9"/>
        <v>0</v>
      </c>
      <c r="L180" t="str">
        <f t="shared" si="10"/>
        <v>Production</v>
      </c>
      <c r="M180">
        <f t="shared" si="11"/>
        <v>0</v>
      </c>
    </row>
    <row r="181" spans="1:13" x14ac:dyDescent="0.35">
      <c r="A181" s="12" t="str">
        <f>tblComponents[Component_ID]</f>
        <v>C180</v>
      </c>
      <c r="B181" s="12" t="str">
        <f>tblComponents[Component_Name]</f>
        <v>Component 180</v>
      </c>
      <c r="C181" t="str">
        <f>tblComponents[Product_Family]</f>
        <v>Body &amp; Exterior</v>
      </c>
      <c r="D181" t="str">
        <f>tblComponents[Sourcing_Type]</f>
        <v>Make</v>
      </c>
      <c r="E181" t="str">
        <f>tblComponents[Criticality]</f>
        <v>Medium</v>
      </c>
      <c r="F181">
        <f>tblComponents[Forecast_Demand]</f>
        <v>1038</v>
      </c>
      <c r="G181">
        <f>tblComponents[Opening_Inventory]</f>
        <v>2286</v>
      </c>
      <c r="H181">
        <f>tblComponents[Safety_Stock]</f>
        <v>234</v>
      </c>
      <c r="I181">
        <f t="shared" si="8"/>
        <v>0</v>
      </c>
      <c r="J181" s="15">
        <f>tblComponents[Defect_Rate]</f>
        <v>5.8999999999999999E-3</v>
      </c>
      <c r="K181">
        <f t="shared" si="9"/>
        <v>0</v>
      </c>
      <c r="L181" t="str">
        <f t="shared" si="10"/>
        <v>Production</v>
      </c>
      <c r="M181">
        <f t="shared" si="11"/>
        <v>0</v>
      </c>
    </row>
    <row r="182" spans="1:13" x14ac:dyDescent="0.35">
      <c r="A182" s="12" t="str">
        <f>tblComponents[Component_ID]</f>
        <v>C181</v>
      </c>
      <c r="B182" s="12" t="str">
        <f>tblComponents[Component_Name]</f>
        <v>Component 181</v>
      </c>
      <c r="C182" t="str">
        <f>tblComponents[Product_Family]</f>
        <v>Chassis</v>
      </c>
      <c r="D182" t="str">
        <f>tblComponents[Sourcing_Type]</f>
        <v>Make</v>
      </c>
      <c r="E182" t="str">
        <f>tblComponents[Criticality]</f>
        <v>Low</v>
      </c>
      <c r="F182">
        <f>tblComponents[Forecast_Demand]</f>
        <v>110</v>
      </c>
      <c r="G182">
        <f>tblComponents[Opening_Inventory]</f>
        <v>3659</v>
      </c>
      <c r="H182">
        <f>tblComponents[Safety_Stock]</f>
        <v>605</v>
      </c>
      <c r="I182">
        <f t="shared" si="8"/>
        <v>0</v>
      </c>
      <c r="J182" s="15">
        <f>tblComponents[Defect_Rate]</f>
        <v>7.4999999999999997E-3</v>
      </c>
      <c r="K182">
        <f t="shared" si="9"/>
        <v>0</v>
      </c>
      <c r="L182" t="str">
        <f t="shared" si="10"/>
        <v>Production</v>
      </c>
      <c r="M182">
        <f t="shared" si="11"/>
        <v>0</v>
      </c>
    </row>
    <row r="183" spans="1:13" x14ac:dyDescent="0.35">
      <c r="A183" s="12" t="str">
        <f>tblComponents[Component_ID]</f>
        <v>C182</v>
      </c>
      <c r="B183" s="12" t="str">
        <f>tblComponents[Component_Name]</f>
        <v>Component 182</v>
      </c>
      <c r="C183" t="str">
        <f>tblComponents[Product_Family]</f>
        <v>Powertrain</v>
      </c>
      <c r="D183" t="str">
        <f>tblComponents[Sourcing_Type]</f>
        <v>Make</v>
      </c>
      <c r="E183" t="str">
        <f>tblComponents[Criticality]</f>
        <v>Low</v>
      </c>
      <c r="F183">
        <f>tblComponents[Forecast_Demand]</f>
        <v>1133</v>
      </c>
      <c r="G183">
        <f>tblComponents[Opening_Inventory]</f>
        <v>6480</v>
      </c>
      <c r="H183">
        <f>tblComponents[Safety_Stock]</f>
        <v>2479</v>
      </c>
      <c r="I183">
        <f t="shared" si="8"/>
        <v>0</v>
      </c>
      <c r="J183" s="15">
        <f>tblComponents[Defect_Rate]</f>
        <v>9.2999999999999992E-3</v>
      </c>
      <c r="K183">
        <f t="shared" si="9"/>
        <v>0</v>
      </c>
      <c r="L183" t="str">
        <f t="shared" si="10"/>
        <v>Production</v>
      </c>
      <c r="M183">
        <f t="shared" si="11"/>
        <v>0</v>
      </c>
    </row>
    <row r="184" spans="1:13" x14ac:dyDescent="0.35">
      <c r="A184" s="12" t="str">
        <f>tblComponents[Component_ID]</f>
        <v>C183</v>
      </c>
      <c r="B184" s="12" t="str">
        <f>tblComponents[Component_Name]</f>
        <v>Component 183</v>
      </c>
      <c r="C184" t="str">
        <f>tblComponents[Product_Family]</f>
        <v>Chassis</v>
      </c>
      <c r="D184" t="str">
        <f>tblComponents[Sourcing_Type]</f>
        <v>Make</v>
      </c>
      <c r="E184" t="str">
        <f>tblComponents[Criticality]</f>
        <v>Low</v>
      </c>
      <c r="F184">
        <f>tblComponents[Forecast_Demand]</f>
        <v>577</v>
      </c>
      <c r="G184">
        <f>tblComponents[Opening_Inventory]</f>
        <v>4658</v>
      </c>
      <c r="H184">
        <f>tblComponents[Safety_Stock]</f>
        <v>633</v>
      </c>
      <c r="I184">
        <f t="shared" si="8"/>
        <v>0</v>
      </c>
      <c r="J184" s="15">
        <f>tblComponents[Defect_Rate]</f>
        <v>1.9599999999999999E-2</v>
      </c>
      <c r="K184">
        <f t="shared" si="9"/>
        <v>0</v>
      </c>
      <c r="L184" t="str">
        <f t="shared" si="10"/>
        <v>Production</v>
      </c>
      <c r="M184">
        <f t="shared" si="11"/>
        <v>0</v>
      </c>
    </row>
    <row r="185" spans="1:13" x14ac:dyDescent="0.35">
      <c r="A185" s="12" t="str">
        <f>tblComponents[Component_ID]</f>
        <v>C184</v>
      </c>
      <c r="B185" s="12" t="str">
        <f>tblComponents[Component_Name]</f>
        <v>Component 184</v>
      </c>
      <c r="C185" t="str">
        <f>tblComponents[Product_Family]</f>
        <v>Body &amp; Exterior</v>
      </c>
      <c r="D185" t="str">
        <f>tblComponents[Sourcing_Type]</f>
        <v>Make</v>
      </c>
      <c r="E185" t="str">
        <f>tblComponents[Criticality]</f>
        <v>Medium</v>
      </c>
      <c r="F185">
        <f>tblComponents[Forecast_Demand]</f>
        <v>731</v>
      </c>
      <c r="G185">
        <f>tblComponents[Opening_Inventory]</f>
        <v>5930</v>
      </c>
      <c r="H185">
        <f>tblComponents[Safety_Stock]</f>
        <v>614</v>
      </c>
      <c r="I185">
        <f t="shared" si="8"/>
        <v>0</v>
      </c>
      <c r="J185" s="15">
        <f>tblComponents[Defect_Rate]</f>
        <v>6.7999999999999996E-3</v>
      </c>
      <c r="K185">
        <f t="shared" si="9"/>
        <v>0</v>
      </c>
      <c r="L185" t="str">
        <f t="shared" si="10"/>
        <v>Production</v>
      </c>
      <c r="M185">
        <f t="shared" si="11"/>
        <v>0</v>
      </c>
    </row>
    <row r="186" spans="1:13" x14ac:dyDescent="0.35">
      <c r="A186" s="12" t="str">
        <f>tblComponents[Component_ID]</f>
        <v>C185</v>
      </c>
      <c r="B186" s="12" t="str">
        <f>tblComponents[Component_Name]</f>
        <v>Component 185</v>
      </c>
      <c r="C186" t="str">
        <f>tblComponents[Product_Family]</f>
        <v>Chassis</v>
      </c>
      <c r="D186" t="str">
        <f>tblComponents[Sourcing_Type]</f>
        <v>Make</v>
      </c>
      <c r="E186" t="str">
        <f>tblComponents[Criticality]</f>
        <v>Medium</v>
      </c>
      <c r="F186">
        <f>tblComponents[Forecast_Demand]</f>
        <v>1320</v>
      </c>
      <c r="G186">
        <f>tblComponents[Opening_Inventory]</f>
        <v>5926</v>
      </c>
      <c r="H186">
        <f>tblComponents[Safety_Stock]</f>
        <v>794</v>
      </c>
      <c r="I186">
        <f t="shared" si="8"/>
        <v>0</v>
      </c>
      <c r="J186" s="15">
        <f>tblComponents[Defect_Rate]</f>
        <v>5.7999999999999996E-3</v>
      </c>
      <c r="K186">
        <f t="shared" si="9"/>
        <v>0</v>
      </c>
      <c r="L186" t="str">
        <f t="shared" si="10"/>
        <v>Production</v>
      </c>
      <c r="M186">
        <f t="shared" si="11"/>
        <v>0</v>
      </c>
    </row>
    <row r="187" spans="1:13" x14ac:dyDescent="0.35">
      <c r="A187" s="12" t="str">
        <f>tblComponents[Component_ID]</f>
        <v>C186</v>
      </c>
      <c r="B187" s="12" t="str">
        <f>tblComponents[Component_Name]</f>
        <v>Component 186</v>
      </c>
      <c r="C187" t="str">
        <f>tblComponents[Product_Family]</f>
        <v>Electrical Systems</v>
      </c>
      <c r="D187" t="str">
        <f>tblComponents[Sourcing_Type]</f>
        <v>Make</v>
      </c>
      <c r="E187" t="str">
        <f>tblComponents[Criticality]</f>
        <v>Medium</v>
      </c>
      <c r="F187">
        <f>tblComponents[Forecast_Demand]</f>
        <v>1296</v>
      </c>
      <c r="G187">
        <f>tblComponents[Opening_Inventory]</f>
        <v>5312</v>
      </c>
      <c r="H187">
        <f>tblComponents[Safety_Stock]</f>
        <v>583</v>
      </c>
      <c r="I187">
        <f t="shared" si="8"/>
        <v>0</v>
      </c>
      <c r="J187" s="15">
        <f>tblComponents[Defect_Rate]</f>
        <v>2.4299999999999999E-2</v>
      </c>
      <c r="K187">
        <f t="shared" si="9"/>
        <v>0</v>
      </c>
      <c r="L187" t="str">
        <f t="shared" si="10"/>
        <v>Production</v>
      </c>
      <c r="M187">
        <f t="shared" si="11"/>
        <v>0</v>
      </c>
    </row>
    <row r="188" spans="1:13" x14ac:dyDescent="0.35">
      <c r="A188" s="12" t="str">
        <f>tblComponents[Component_ID]</f>
        <v>C187</v>
      </c>
      <c r="B188" s="12" t="str">
        <f>tblComponents[Component_Name]</f>
        <v>Component 187</v>
      </c>
      <c r="C188" t="str">
        <f>tblComponents[Product_Family]</f>
        <v>Powertrain</v>
      </c>
      <c r="D188" t="str">
        <f>tblComponents[Sourcing_Type]</f>
        <v>Make</v>
      </c>
      <c r="E188" t="str">
        <f>tblComponents[Criticality]</f>
        <v>High</v>
      </c>
      <c r="F188">
        <f>tblComponents[Forecast_Demand]</f>
        <v>2695</v>
      </c>
      <c r="G188">
        <f>tblComponents[Opening_Inventory]</f>
        <v>1786</v>
      </c>
      <c r="H188">
        <f>tblComponents[Safety_Stock]</f>
        <v>225</v>
      </c>
      <c r="I188">
        <f t="shared" si="8"/>
        <v>1134</v>
      </c>
      <c r="J188" s="15">
        <f>tblComponents[Defect_Rate]</f>
        <v>3.5999999999999999E-3</v>
      </c>
      <c r="K188">
        <f t="shared" si="9"/>
        <v>1138.0971497390606</v>
      </c>
      <c r="L188" t="str">
        <f t="shared" si="10"/>
        <v>Production</v>
      </c>
      <c r="M188">
        <f t="shared" si="11"/>
        <v>1138.0971497390606</v>
      </c>
    </row>
    <row r="189" spans="1:13" x14ac:dyDescent="0.35">
      <c r="A189" s="12" t="str">
        <f>tblComponents[Component_ID]</f>
        <v>C188</v>
      </c>
      <c r="B189" s="12" t="str">
        <f>tblComponents[Component_Name]</f>
        <v>Component 188</v>
      </c>
      <c r="C189" t="str">
        <f>tblComponents[Product_Family]</f>
        <v>Powertrain</v>
      </c>
      <c r="D189" t="str">
        <f>tblComponents[Sourcing_Type]</f>
        <v>Make</v>
      </c>
      <c r="E189" t="str">
        <f>tblComponents[Criticality]</f>
        <v>Medium</v>
      </c>
      <c r="F189">
        <f>tblComponents[Forecast_Demand]</f>
        <v>662</v>
      </c>
      <c r="G189">
        <f>tblComponents[Opening_Inventory]</f>
        <v>6323</v>
      </c>
      <c r="H189">
        <f>tblComponents[Safety_Stock]</f>
        <v>742</v>
      </c>
      <c r="I189">
        <f t="shared" si="8"/>
        <v>0</v>
      </c>
      <c r="J189" s="15">
        <f>tblComponents[Defect_Rate]</f>
        <v>2.0500000000000001E-2</v>
      </c>
      <c r="K189">
        <f t="shared" si="9"/>
        <v>0</v>
      </c>
      <c r="L189" t="str">
        <f t="shared" si="10"/>
        <v>Production</v>
      </c>
      <c r="M189">
        <f t="shared" si="11"/>
        <v>0</v>
      </c>
    </row>
    <row r="190" spans="1:13" x14ac:dyDescent="0.35">
      <c r="A190" s="12" t="str">
        <f>tblComponents[Component_ID]</f>
        <v>C189</v>
      </c>
      <c r="B190" s="12" t="str">
        <f>tblComponents[Component_Name]</f>
        <v>Component 189</v>
      </c>
      <c r="C190" t="str">
        <f>tblComponents[Product_Family]</f>
        <v>Electrical Systems</v>
      </c>
      <c r="D190" t="str">
        <f>tblComponents[Sourcing_Type]</f>
        <v>Make</v>
      </c>
      <c r="E190" t="str">
        <f>tblComponents[Criticality]</f>
        <v>High</v>
      </c>
      <c r="F190">
        <f>tblComponents[Forecast_Demand]</f>
        <v>179</v>
      </c>
      <c r="G190">
        <f>tblComponents[Opening_Inventory]</f>
        <v>2355</v>
      </c>
      <c r="H190">
        <f>tblComponents[Safety_Stock]</f>
        <v>489</v>
      </c>
      <c r="I190">
        <f t="shared" si="8"/>
        <v>0</v>
      </c>
      <c r="J190" s="15">
        <f>tblComponents[Defect_Rate]</f>
        <v>2.01E-2</v>
      </c>
      <c r="K190">
        <f t="shared" si="9"/>
        <v>0</v>
      </c>
      <c r="L190" t="str">
        <f t="shared" si="10"/>
        <v>Production</v>
      </c>
      <c r="M190">
        <f t="shared" si="11"/>
        <v>0</v>
      </c>
    </row>
    <row r="191" spans="1:13" x14ac:dyDescent="0.35">
      <c r="A191" s="12" t="str">
        <f>tblComponents[Component_ID]</f>
        <v>C190</v>
      </c>
      <c r="B191" s="12" t="str">
        <f>tblComponents[Component_Name]</f>
        <v>Component 190</v>
      </c>
      <c r="C191" t="str">
        <f>tblComponents[Product_Family]</f>
        <v>Electrical Systems</v>
      </c>
      <c r="D191" t="str">
        <f>tblComponents[Sourcing_Type]</f>
        <v>Make</v>
      </c>
      <c r="E191" t="str">
        <f>tblComponents[Criticality]</f>
        <v>Medium</v>
      </c>
      <c r="F191">
        <f>tblComponents[Forecast_Demand]</f>
        <v>297</v>
      </c>
      <c r="G191">
        <f>tblComponents[Opening_Inventory]</f>
        <v>7489</v>
      </c>
      <c r="H191">
        <f>tblComponents[Safety_Stock]</f>
        <v>2039</v>
      </c>
      <c r="I191">
        <f t="shared" si="8"/>
        <v>0</v>
      </c>
      <c r="J191" s="15">
        <f>tblComponents[Defect_Rate]</f>
        <v>8.8000000000000005E-3</v>
      </c>
      <c r="K191">
        <f t="shared" si="9"/>
        <v>0</v>
      </c>
      <c r="L191" t="str">
        <f t="shared" si="10"/>
        <v>Production</v>
      </c>
      <c r="M191">
        <f t="shared" si="11"/>
        <v>0</v>
      </c>
    </row>
    <row r="192" spans="1:13" x14ac:dyDescent="0.35">
      <c r="A192" s="12" t="str">
        <f>tblComponents[Component_ID]</f>
        <v>C191</v>
      </c>
      <c r="B192" s="12" t="str">
        <f>tblComponents[Component_Name]</f>
        <v>Component 191</v>
      </c>
      <c r="C192" t="str">
        <f>tblComponents[Product_Family]</f>
        <v>Powertrain</v>
      </c>
      <c r="D192" t="str">
        <f>tblComponents[Sourcing_Type]</f>
        <v>Make</v>
      </c>
      <c r="E192" t="str">
        <f>tblComponents[Criticality]</f>
        <v>High</v>
      </c>
      <c r="F192">
        <f>tblComponents[Forecast_Demand]</f>
        <v>581</v>
      </c>
      <c r="G192">
        <f>tblComponents[Opening_Inventory]</f>
        <v>2721</v>
      </c>
      <c r="H192">
        <f>tblComponents[Safety_Stock]</f>
        <v>271</v>
      </c>
      <c r="I192">
        <f t="shared" si="8"/>
        <v>0</v>
      </c>
      <c r="J192" s="15">
        <f>tblComponents[Defect_Rate]</f>
        <v>5.1000000000000004E-3</v>
      </c>
      <c r="K192">
        <f t="shared" si="9"/>
        <v>0</v>
      </c>
      <c r="L192" t="str">
        <f t="shared" si="10"/>
        <v>Production</v>
      </c>
      <c r="M192">
        <f t="shared" si="11"/>
        <v>0</v>
      </c>
    </row>
    <row r="193" spans="1:13" x14ac:dyDescent="0.35">
      <c r="A193" s="12" t="str">
        <f>tblComponents[Component_ID]</f>
        <v>C192</v>
      </c>
      <c r="B193" s="12" t="str">
        <f>tblComponents[Component_Name]</f>
        <v>Component 192</v>
      </c>
      <c r="C193" t="str">
        <f>tblComponents[Product_Family]</f>
        <v>Electrical Systems</v>
      </c>
      <c r="D193" t="str">
        <f>tblComponents[Sourcing_Type]</f>
        <v>Make</v>
      </c>
      <c r="E193" t="str">
        <f>tblComponents[Criticality]</f>
        <v>Critical</v>
      </c>
      <c r="F193">
        <f>tblComponents[Forecast_Demand]</f>
        <v>1083</v>
      </c>
      <c r="G193">
        <f>tblComponents[Opening_Inventory]</f>
        <v>3061</v>
      </c>
      <c r="H193">
        <f>tblComponents[Safety_Stock]</f>
        <v>974</v>
      </c>
      <c r="I193">
        <f t="shared" si="8"/>
        <v>0</v>
      </c>
      <c r="J193" s="15">
        <f>tblComponents[Defect_Rate]</f>
        <v>6.7000000000000002E-3</v>
      </c>
      <c r="K193">
        <f t="shared" si="9"/>
        <v>0</v>
      </c>
      <c r="L193" t="str">
        <f t="shared" si="10"/>
        <v>Production</v>
      </c>
      <c r="M193">
        <f t="shared" si="11"/>
        <v>0</v>
      </c>
    </row>
    <row r="194" spans="1:13" x14ac:dyDescent="0.35">
      <c r="A194" s="12" t="str">
        <f>tblComponents[Component_ID]</f>
        <v>C193</v>
      </c>
      <c r="B194" s="12" t="str">
        <f>tblComponents[Component_Name]</f>
        <v>Component 193</v>
      </c>
      <c r="C194" t="str">
        <f>tblComponents[Product_Family]</f>
        <v>Interior</v>
      </c>
      <c r="D194" t="str">
        <f>tblComponents[Sourcing_Type]</f>
        <v>Make</v>
      </c>
      <c r="E194" t="str">
        <f>tblComponents[Criticality]</f>
        <v>High</v>
      </c>
      <c r="F194">
        <f>tblComponents[Forecast_Demand]</f>
        <v>1406</v>
      </c>
      <c r="G194">
        <f>tblComponents[Opening_Inventory]</f>
        <v>4620</v>
      </c>
      <c r="H194">
        <f>tblComponents[Safety_Stock]</f>
        <v>636</v>
      </c>
      <c r="I194">
        <f t="shared" si="8"/>
        <v>0</v>
      </c>
      <c r="J194" s="15">
        <f>tblComponents[Defect_Rate]</f>
        <v>1.7999999999999999E-2</v>
      </c>
      <c r="K194">
        <f t="shared" si="9"/>
        <v>0</v>
      </c>
      <c r="L194" t="str">
        <f t="shared" si="10"/>
        <v>Production</v>
      </c>
      <c r="M194">
        <f t="shared" si="11"/>
        <v>0</v>
      </c>
    </row>
    <row r="195" spans="1:13" x14ac:dyDescent="0.35">
      <c r="A195" s="12" t="str">
        <f>tblComponents[Component_ID]</f>
        <v>C194</v>
      </c>
      <c r="B195" s="12" t="str">
        <f>tblComponents[Component_Name]</f>
        <v>Component 194</v>
      </c>
      <c r="C195" t="str">
        <f>tblComponents[Product_Family]</f>
        <v>Electrical Systems</v>
      </c>
      <c r="D195" t="str">
        <f>tblComponents[Sourcing_Type]</f>
        <v>Make</v>
      </c>
      <c r="E195" t="str">
        <f>tblComponents[Criticality]</f>
        <v>Low</v>
      </c>
      <c r="F195">
        <f>tblComponents[Forecast_Demand]</f>
        <v>1366</v>
      </c>
      <c r="G195">
        <f>tblComponents[Opening_Inventory]</f>
        <v>3603</v>
      </c>
      <c r="H195">
        <f>tblComponents[Safety_Stock]</f>
        <v>621</v>
      </c>
      <c r="I195">
        <f t="shared" ref="I195:I258" si="12">MAX(0,F195+H195-G195)</f>
        <v>0</v>
      </c>
      <c r="J195" s="15">
        <f>tblComponents[Defect_Rate]</f>
        <v>1.6799999999999999E-2</v>
      </c>
      <c r="K195">
        <f t="shared" ref="K195:K258" si="13">IFERROR(I195/(1-J195),0)</f>
        <v>0</v>
      </c>
      <c r="L195" t="str">
        <f t="shared" ref="L195:L258" si="14">IF(D195="Make","Production","Procurement")</f>
        <v>Production</v>
      </c>
      <c r="M195">
        <f t="shared" ref="M195:M258" si="15">K195</f>
        <v>0</v>
      </c>
    </row>
    <row r="196" spans="1:13" x14ac:dyDescent="0.35">
      <c r="A196" s="12" t="str">
        <f>tblComponents[Component_ID]</f>
        <v>C195</v>
      </c>
      <c r="B196" s="12" t="str">
        <f>tblComponents[Component_Name]</f>
        <v>Component 195</v>
      </c>
      <c r="C196" t="str">
        <f>tblComponents[Product_Family]</f>
        <v>Body &amp; Exterior</v>
      </c>
      <c r="D196" t="str">
        <f>tblComponents[Sourcing_Type]</f>
        <v>Make</v>
      </c>
      <c r="E196" t="str">
        <f>tblComponents[Criticality]</f>
        <v>Low</v>
      </c>
      <c r="F196">
        <f>tblComponents[Forecast_Demand]</f>
        <v>3412</v>
      </c>
      <c r="G196">
        <f>tblComponents[Opening_Inventory]</f>
        <v>5468</v>
      </c>
      <c r="H196">
        <f>tblComponents[Safety_Stock]</f>
        <v>1502</v>
      </c>
      <c r="I196">
        <f t="shared" si="12"/>
        <v>0</v>
      </c>
      <c r="J196" s="15">
        <f>tblComponents[Defect_Rate]</f>
        <v>0.02</v>
      </c>
      <c r="K196">
        <f t="shared" si="13"/>
        <v>0</v>
      </c>
      <c r="L196" t="str">
        <f t="shared" si="14"/>
        <v>Production</v>
      </c>
      <c r="M196">
        <f t="shared" si="15"/>
        <v>0</v>
      </c>
    </row>
    <row r="197" spans="1:13" x14ac:dyDescent="0.35">
      <c r="A197" s="12" t="str">
        <f>tblComponents[Component_ID]</f>
        <v>C196</v>
      </c>
      <c r="B197" s="12" t="str">
        <f>tblComponents[Component_Name]</f>
        <v>Component 196</v>
      </c>
      <c r="C197" t="str">
        <f>tblComponents[Product_Family]</f>
        <v>Electrical Systems</v>
      </c>
      <c r="D197" t="str">
        <f>tblComponents[Sourcing_Type]</f>
        <v>Make</v>
      </c>
      <c r="E197" t="str">
        <f>tblComponents[Criticality]</f>
        <v>High</v>
      </c>
      <c r="F197">
        <f>tblComponents[Forecast_Demand]</f>
        <v>477</v>
      </c>
      <c r="G197">
        <f>tblComponents[Opening_Inventory]</f>
        <v>2722</v>
      </c>
      <c r="H197">
        <f>tblComponents[Safety_Stock]</f>
        <v>975</v>
      </c>
      <c r="I197">
        <f t="shared" si="12"/>
        <v>0</v>
      </c>
      <c r="J197" s="15">
        <f>tblComponents[Defect_Rate]</f>
        <v>2.9499999999999998E-2</v>
      </c>
      <c r="K197">
        <f t="shared" si="13"/>
        <v>0</v>
      </c>
      <c r="L197" t="str">
        <f t="shared" si="14"/>
        <v>Production</v>
      </c>
      <c r="M197">
        <f t="shared" si="15"/>
        <v>0</v>
      </c>
    </row>
    <row r="198" spans="1:13" x14ac:dyDescent="0.35">
      <c r="A198" s="12" t="str">
        <f>tblComponents[Component_ID]</f>
        <v>C197</v>
      </c>
      <c r="B198" s="12" t="str">
        <f>tblComponents[Component_Name]</f>
        <v>Component 197</v>
      </c>
      <c r="C198" t="str">
        <f>tblComponents[Product_Family]</f>
        <v>Body &amp; Exterior</v>
      </c>
      <c r="D198" t="str">
        <f>tblComponents[Sourcing_Type]</f>
        <v>Make</v>
      </c>
      <c r="E198" t="str">
        <f>tblComponents[Criticality]</f>
        <v>Critical</v>
      </c>
      <c r="F198">
        <f>tblComponents[Forecast_Demand]</f>
        <v>1162</v>
      </c>
      <c r="G198">
        <f>tblComponents[Opening_Inventory]</f>
        <v>4610</v>
      </c>
      <c r="H198">
        <f>tblComponents[Safety_Stock]</f>
        <v>381</v>
      </c>
      <c r="I198">
        <f t="shared" si="12"/>
        <v>0</v>
      </c>
      <c r="J198" s="15">
        <f>tblComponents[Defect_Rate]</f>
        <v>2.24E-2</v>
      </c>
      <c r="K198">
        <f t="shared" si="13"/>
        <v>0</v>
      </c>
      <c r="L198" t="str">
        <f t="shared" si="14"/>
        <v>Production</v>
      </c>
      <c r="M198">
        <f t="shared" si="15"/>
        <v>0</v>
      </c>
    </row>
    <row r="199" spans="1:13" x14ac:dyDescent="0.35">
      <c r="A199" s="12" t="str">
        <f>tblComponents[Component_ID]</f>
        <v>C198</v>
      </c>
      <c r="B199" s="12" t="str">
        <f>tblComponents[Component_Name]</f>
        <v>Component 198</v>
      </c>
      <c r="C199" t="str">
        <f>tblComponents[Product_Family]</f>
        <v>Powertrain</v>
      </c>
      <c r="D199" t="str">
        <f>tblComponents[Sourcing_Type]</f>
        <v>Make</v>
      </c>
      <c r="E199" t="str">
        <f>tblComponents[Criticality]</f>
        <v>Medium</v>
      </c>
      <c r="F199">
        <f>tblComponents[Forecast_Demand]</f>
        <v>754</v>
      </c>
      <c r="G199">
        <f>tblComponents[Opening_Inventory]</f>
        <v>2413</v>
      </c>
      <c r="H199">
        <f>tblComponents[Safety_Stock]</f>
        <v>543</v>
      </c>
      <c r="I199">
        <f t="shared" si="12"/>
        <v>0</v>
      </c>
      <c r="J199" s="15">
        <f>tblComponents[Defect_Rate]</f>
        <v>5.5999999999999999E-3</v>
      </c>
      <c r="K199">
        <f t="shared" si="13"/>
        <v>0</v>
      </c>
      <c r="L199" t="str">
        <f t="shared" si="14"/>
        <v>Production</v>
      </c>
      <c r="M199">
        <f t="shared" si="15"/>
        <v>0</v>
      </c>
    </row>
    <row r="200" spans="1:13" x14ac:dyDescent="0.35">
      <c r="A200" s="12" t="str">
        <f>tblComponents[Component_ID]</f>
        <v>C199</v>
      </c>
      <c r="B200" s="12" t="str">
        <f>tblComponents[Component_Name]</f>
        <v>Component 199</v>
      </c>
      <c r="C200" t="str">
        <f>tblComponents[Product_Family]</f>
        <v>Body &amp; Exterior</v>
      </c>
      <c r="D200" t="str">
        <f>tblComponents[Sourcing_Type]</f>
        <v>Make</v>
      </c>
      <c r="E200" t="str">
        <f>tblComponents[Criticality]</f>
        <v>Critical</v>
      </c>
      <c r="F200">
        <f>tblComponents[Forecast_Demand]</f>
        <v>823</v>
      </c>
      <c r="G200">
        <f>tblComponents[Opening_Inventory]</f>
        <v>4440</v>
      </c>
      <c r="H200">
        <f>tblComponents[Safety_Stock]</f>
        <v>686</v>
      </c>
      <c r="I200">
        <f t="shared" si="12"/>
        <v>0</v>
      </c>
      <c r="J200" s="15">
        <f>tblComponents[Defect_Rate]</f>
        <v>9.4999999999999998E-3</v>
      </c>
      <c r="K200">
        <f t="shared" si="13"/>
        <v>0</v>
      </c>
      <c r="L200" t="str">
        <f t="shared" si="14"/>
        <v>Production</v>
      </c>
      <c r="M200">
        <f t="shared" si="15"/>
        <v>0</v>
      </c>
    </row>
    <row r="201" spans="1:13" x14ac:dyDescent="0.35">
      <c r="A201" s="12" t="str">
        <f>tblComponents[Component_ID]</f>
        <v>C200</v>
      </c>
      <c r="B201" s="12" t="str">
        <f>tblComponents[Component_Name]</f>
        <v>Component 200</v>
      </c>
      <c r="C201" t="str">
        <f>tblComponents[Product_Family]</f>
        <v>Powertrain</v>
      </c>
      <c r="D201" t="str">
        <f>tblComponents[Sourcing_Type]</f>
        <v>Make</v>
      </c>
      <c r="E201" t="str">
        <f>tblComponents[Criticality]</f>
        <v>Medium</v>
      </c>
      <c r="F201">
        <f>tblComponents[Forecast_Demand]</f>
        <v>866</v>
      </c>
      <c r="G201">
        <f>tblComponents[Opening_Inventory]</f>
        <v>3320</v>
      </c>
      <c r="H201">
        <f>tblComponents[Safety_Stock]</f>
        <v>534</v>
      </c>
      <c r="I201">
        <f t="shared" si="12"/>
        <v>0</v>
      </c>
      <c r="J201" s="15">
        <f>tblComponents[Defect_Rate]</f>
        <v>2.46E-2</v>
      </c>
      <c r="K201">
        <f t="shared" si="13"/>
        <v>0</v>
      </c>
      <c r="L201" t="str">
        <f t="shared" si="14"/>
        <v>Production</v>
      </c>
      <c r="M201">
        <f t="shared" si="15"/>
        <v>0</v>
      </c>
    </row>
    <row r="202" spans="1:13" x14ac:dyDescent="0.35">
      <c r="A202" s="12" t="str">
        <f>tblComponents[Component_ID]</f>
        <v>C201</v>
      </c>
      <c r="B202" s="12" t="str">
        <f>tblComponents[Component_Name]</f>
        <v>Component 201</v>
      </c>
      <c r="C202" t="str">
        <f>tblComponents[Product_Family]</f>
        <v>Powertrain</v>
      </c>
      <c r="D202" t="str">
        <f>tblComponents[Sourcing_Type]</f>
        <v>Make</v>
      </c>
      <c r="E202" t="str">
        <f>tblComponents[Criticality]</f>
        <v>Medium</v>
      </c>
      <c r="F202">
        <f>tblComponents[Forecast_Demand]</f>
        <v>809</v>
      </c>
      <c r="G202">
        <f>tblComponents[Opening_Inventory]</f>
        <v>5126</v>
      </c>
      <c r="H202">
        <f>tblComponents[Safety_Stock]</f>
        <v>478</v>
      </c>
      <c r="I202">
        <f t="shared" si="12"/>
        <v>0</v>
      </c>
      <c r="J202" s="15">
        <f>tblComponents[Defect_Rate]</f>
        <v>6.7999999999999996E-3</v>
      </c>
      <c r="K202">
        <f t="shared" si="13"/>
        <v>0</v>
      </c>
      <c r="L202" t="str">
        <f t="shared" si="14"/>
        <v>Production</v>
      </c>
      <c r="M202">
        <f t="shared" si="15"/>
        <v>0</v>
      </c>
    </row>
    <row r="203" spans="1:13" x14ac:dyDescent="0.35">
      <c r="A203" s="12" t="str">
        <f>tblComponents[Component_ID]</f>
        <v>C202</v>
      </c>
      <c r="B203" s="12" t="str">
        <f>tblComponents[Component_Name]</f>
        <v>Component 202</v>
      </c>
      <c r="C203" t="str">
        <f>tblComponents[Product_Family]</f>
        <v>Powertrain</v>
      </c>
      <c r="D203" t="str">
        <f>tblComponents[Sourcing_Type]</f>
        <v>Make</v>
      </c>
      <c r="E203" t="str">
        <f>tblComponents[Criticality]</f>
        <v>Medium</v>
      </c>
      <c r="F203">
        <f>tblComponents[Forecast_Demand]</f>
        <v>575</v>
      </c>
      <c r="G203">
        <f>tblComponents[Opening_Inventory]</f>
        <v>7307</v>
      </c>
      <c r="H203">
        <f>tblComponents[Safety_Stock]</f>
        <v>971</v>
      </c>
      <c r="I203">
        <f t="shared" si="12"/>
        <v>0</v>
      </c>
      <c r="J203" s="15">
        <f>tblComponents[Defect_Rate]</f>
        <v>3.7000000000000002E-3</v>
      </c>
      <c r="K203">
        <f t="shared" si="13"/>
        <v>0</v>
      </c>
      <c r="L203" t="str">
        <f t="shared" si="14"/>
        <v>Production</v>
      </c>
      <c r="M203">
        <f t="shared" si="15"/>
        <v>0</v>
      </c>
    </row>
    <row r="204" spans="1:13" x14ac:dyDescent="0.35">
      <c r="A204" s="12" t="str">
        <f>tblComponents[Component_ID]</f>
        <v>C203</v>
      </c>
      <c r="B204" s="12" t="str">
        <f>tblComponents[Component_Name]</f>
        <v>Component 203</v>
      </c>
      <c r="C204" t="str">
        <f>tblComponents[Product_Family]</f>
        <v>Powertrain</v>
      </c>
      <c r="D204" t="str">
        <f>tblComponents[Sourcing_Type]</f>
        <v>Make</v>
      </c>
      <c r="E204" t="str">
        <f>tblComponents[Criticality]</f>
        <v>High</v>
      </c>
      <c r="F204">
        <f>tblComponents[Forecast_Demand]</f>
        <v>1442</v>
      </c>
      <c r="G204">
        <f>tblComponents[Opening_Inventory]</f>
        <v>1182</v>
      </c>
      <c r="H204">
        <f>tblComponents[Safety_Stock]</f>
        <v>319</v>
      </c>
      <c r="I204">
        <f t="shared" si="12"/>
        <v>579</v>
      </c>
      <c r="J204" s="15">
        <f>tblComponents[Defect_Rate]</f>
        <v>2.0899999999999998E-2</v>
      </c>
      <c r="K204">
        <f t="shared" si="13"/>
        <v>591.35941170462672</v>
      </c>
      <c r="L204" t="str">
        <f t="shared" si="14"/>
        <v>Production</v>
      </c>
      <c r="M204">
        <f t="shared" si="15"/>
        <v>591.35941170462672</v>
      </c>
    </row>
    <row r="205" spans="1:13" x14ac:dyDescent="0.35">
      <c r="A205" s="12" t="str">
        <f>tblComponents[Component_ID]</f>
        <v>C204</v>
      </c>
      <c r="B205" s="12" t="str">
        <f>tblComponents[Component_Name]</f>
        <v>Component 204</v>
      </c>
      <c r="C205" t="str">
        <f>tblComponents[Product_Family]</f>
        <v>Powertrain</v>
      </c>
      <c r="D205" t="str">
        <f>tblComponents[Sourcing_Type]</f>
        <v>Make</v>
      </c>
      <c r="E205" t="str">
        <f>tblComponents[Criticality]</f>
        <v>Medium</v>
      </c>
      <c r="F205">
        <f>tblComponents[Forecast_Demand]</f>
        <v>680</v>
      </c>
      <c r="G205">
        <f>tblComponents[Opening_Inventory]</f>
        <v>1790</v>
      </c>
      <c r="H205">
        <f>tblComponents[Safety_Stock]</f>
        <v>156</v>
      </c>
      <c r="I205">
        <f t="shared" si="12"/>
        <v>0</v>
      </c>
      <c r="J205" s="15">
        <f>tblComponents[Defect_Rate]</f>
        <v>1.29E-2</v>
      </c>
      <c r="K205">
        <f t="shared" si="13"/>
        <v>0</v>
      </c>
      <c r="L205" t="str">
        <f t="shared" si="14"/>
        <v>Production</v>
      </c>
      <c r="M205">
        <f t="shared" si="15"/>
        <v>0</v>
      </c>
    </row>
    <row r="206" spans="1:13" x14ac:dyDescent="0.35">
      <c r="A206" s="12" t="str">
        <f>tblComponents[Component_ID]</f>
        <v>C205</v>
      </c>
      <c r="B206" s="12" t="str">
        <f>tblComponents[Component_Name]</f>
        <v>Component 205</v>
      </c>
      <c r="C206" t="str">
        <f>tblComponents[Product_Family]</f>
        <v>Body &amp; Exterior</v>
      </c>
      <c r="D206" t="str">
        <f>tblComponents[Sourcing_Type]</f>
        <v>Make</v>
      </c>
      <c r="E206" t="str">
        <f>tblComponents[Criticality]</f>
        <v>Low</v>
      </c>
      <c r="F206">
        <f>tblComponents[Forecast_Demand]</f>
        <v>901</v>
      </c>
      <c r="G206">
        <f>tblComponents[Opening_Inventory]</f>
        <v>5129</v>
      </c>
      <c r="H206">
        <f>tblComponents[Safety_Stock]</f>
        <v>650</v>
      </c>
      <c r="I206">
        <f t="shared" si="12"/>
        <v>0</v>
      </c>
      <c r="J206" s="15">
        <f>tblComponents[Defect_Rate]</f>
        <v>3.3300000000000003E-2</v>
      </c>
      <c r="K206">
        <f t="shared" si="13"/>
        <v>0</v>
      </c>
      <c r="L206" t="str">
        <f t="shared" si="14"/>
        <v>Production</v>
      </c>
      <c r="M206">
        <f t="shared" si="15"/>
        <v>0</v>
      </c>
    </row>
    <row r="207" spans="1:13" x14ac:dyDescent="0.35">
      <c r="A207" s="12" t="str">
        <f>tblComponents[Component_ID]</f>
        <v>C206</v>
      </c>
      <c r="B207" s="12" t="str">
        <f>tblComponents[Component_Name]</f>
        <v>Component 206</v>
      </c>
      <c r="C207" t="str">
        <f>tblComponents[Product_Family]</f>
        <v>Body &amp; Exterior</v>
      </c>
      <c r="D207" t="str">
        <f>tblComponents[Sourcing_Type]</f>
        <v>Make</v>
      </c>
      <c r="E207" t="str">
        <f>tblComponents[Criticality]</f>
        <v>Critical</v>
      </c>
      <c r="F207">
        <f>tblComponents[Forecast_Demand]</f>
        <v>1389</v>
      </c>
      <c r="G207">
        <f>tblComponents[Opening_Inventory]</f>
        <v>10272</v>
      </c>
      <c r="H207">
        <f>tblComponents[Safety_Stock]</f>
        <v>898</v>
      </c>
      <c r="I207">
        <f t="shared" si="12"/>
        <v>0</v>
      </c>
      <c r="J207" s="15">
        <f>tblComponents[Defect_Rate]</f>
        <v>1.7000000000000001E-2</v>
      </c>
      <c r="K207">
        <f t="shared" si="13"/>
        <v>0</v>
      </c>
      <c r="L207" t="str">
        <f t="shared" si="14"/>
        <v>Production</v>
      </c>
      <c r="M207">
        <f t="shared" si="15"/>
        <v>0</v>
      </c>
    </row>
    <row r="208" spans="1:13" x14ac:dyDescent="0.35">
      <c r="A208" s="12" t="str">
        <f>tblComponents[Component_ID]</f>
        <v>C207</v>
      </c>
      <c r="B208" s="12" t="str">
        <f>tblComponents[Component_Name]</f>
        <v>Component 207</v>
      </c>
      <c r="C208" t="str">
        <f>tblComponents[Product_Family]</f>
        <v>Powertrain</v>
      </c>
      <c r="D208" t="str">
        <f>tblComponents[Sourcing_Type]</f>
        <v>Make</v>
      </c>
      <c r="E208" t="str">
        <f>tblComponents[Criticality]</f>
        <v>Medium</v>
      </c>
      <c r="F208">
        <f>tblComponents[Forecast_Demand]</f>
        <v>208</v>
      </c>
      <c r="G208">
        <f>tblComponents[Opening_Inventory]</f>
        <v>9825</v>
      </c>
      <c r="H208">
        <f>tblComponents[Safety_Stock]</f>
        <v>1108</v>
      </c>
      <c r="I208">
        <f t="shared" si="12"/>
        <v>0</v>
      </c>
      <c r="J208" s="15">
        <f>tblComponents[Defect_Rate]</f>
        <v>4.1000000000000003E-3</v>
      </c>
      <c r="K208">
        <f t="shared" si="13"/>
        <v>0</v>
      </c>
      <c r="L208" t="str">
        <f t="shared" si="14"/>
        <v>Production</v>
      </c>
      <c r="M208">
        <f t="shared" si="15"/>
        <v>0</v>
      </c>
    </row>
    <row r="209" spans="1:13" x14ac:dyDescent="0.35">
      <c r="A209" s="12" t="str">
        <f>tblComponents[Component_ID]</f>
        <v>C208</v>
      </c>
      <c r="B209" s="12" t="str">
        <f>tblComponents[Component_Name]</f>
        <v>Component 208</v>
      </c>
      <c r="C209" t="str">
        <f>tblComponents[Product_Family]</f>
        <v>Chassis</v>
      </c>
      <c r="D209" t="str">
        <f>tblComponents[Sourcing_Type]</f>
        <v>Make</v>
      </c>
      <c r="E209" t="str">
        <f>tblComponents[Criticality]</f>
        <v>Medium</v>
      </c>
      <c r="F209">
        <f>tblComponents[Forecast_Demand]</f>
        <v>1232</v>
      </c>
      <c r="G209">
        <f>tblComponents[Opening_Inventory]</f>
        <v>3095</v>
      </c>
      <c r="H209">
        <f>tblComponents[Safety_Stock]</f>
        <v>285</v>
      </c>
      <c r="I209">
        <f t="shared" si="12"/>
        <v>0</v>
      </c>
      <c r="J209" s="15">
        <f>tblComponents[Defect_Rate]</f>
        <v>2.3800000000000002E-2</v>
      </c>
      <c r="K209">
        <f t="shared" si="13"/>
        <v>0</v>
      </c>
      <c r="L209" t="str">
        <f t="shared" si="14"/>
        <v>Production</v>
      </c>
      <c r="M209">
        <f t="shared" si="15"/>
        <v>0</v>
      </c>
    </row>
    <row r="210" spans="1:13" x14ac:dyDescent="0.35">
      <c r="A210" s="12" t="str">
        <f>tblComponents[Component_ID]</f>
        <v>C209</v>
      </c>
      <c r="B210" s="12" t="str">
        <f>tblComponents[Component_Name]</f>
        <v>Component 209</v>
      </c>
      <c r="C210" t="str">
        <f>tblComponents[Product_Family]</f>
        <v>Interior</v>
      </c>
      <c r="D210" t="str">
        <f>tblComponents[Sourcing_Type]</f>
        <v>Make</v>
      </c>
      <c r="E210" t="str">
        <f>tblComponents[Criticality]</f>
        <v>High</v>
      </c>
      <c r="F210">
        <f>tblComponents[Forecast_Demand]</f>
        <v>1332</v>
      </c>
      <c r="G210">
        <f>tblComponents[Opening_Inventory]</f>
        <v>2319</v>
      </c>
      <c r="H210">
        <f>tblComponents[Safety_Stock]</f>
        <v>608</v>
      </c>
      <c r="I210">
        <f t="shared" si="12"/>
        <v>0</v>
      </c>
      <c r="J210" s="15">
        <f>tblComponents[Defect_Rate]</f>
        <v>9.9000000000000008E-3</v>
      </c>
      <c r="K210">
        <f t="shared" si="13"/>
        <v>0</v>
      </c>
      <c r="L210" t="str">
        <f t="shared" si="14"/>
        <v>Production</v>
      </c>
      <c r="M210">
        <f t="shared" si="15"/>
        <v>0</v>
      </c>
    </row>
    <row r="211" spans="1:13" x14ac:dyDescent="0.35">
      <c r="A211" s="12" t="str">
        <f>tblComponents[Component_ID]</f>
        <v>C210</v>
      </c>
      <c r="B211" s="12" t="str">
        <f>tblComponents[Component_Name]</f>
        <v>Component 210</v>
      </c>
      <c r="C211" t="str">
        <f>tblComponents[Product_Family]</f>
        <v>Interior</v>
      </c>
      <c r="D211" t="str">
        <f>tblComponents[Sourcing_Type]</f>
        <v>Make</v>
      </c>
      <c r="E211" t="str">
        <f>tblComponents[Criticality]</f>
        <v>Low</v>
      </c>
      <c r="F211">
        <f>tblComponents[Forecast_Demand]</f>
        <v>1058</v>
      </c>
      <c r="G211">
        <f>tblComponents[Opening_Inventory]</f>
        <v>5790</v>
      </c>
      <c r="H211">
        <f>tblComponents[Safety_Stock]</f>
        <v>709</v>
      </c>
      <c r="I211">
        <f t="shared" si="12"/>
        <v>0</v>
      </c>
      <c r="J211" s="15">
        <f>tblComponents[Defect_Rate]</f>
        <v>9.7999999999999997E-3</v>
      </c>
      <c r="K211">
        <f t="shared" si="13"/>
        <v>0</v>
      </c>
      <c r="L211" t="str">
        <f t="shared" si="14"/>
        <v>Production</v>
      </c>
      <c r="M211">
        <f t="shared" si="15"/>
        <v>0</v>
      </c>
    </row>
    <row r="212" spans="1:13" x14ac:dyDescent="0.35">
      <c r="A212" s="12" t="str">
        <f>tblComponents[Component_ID]</f>
        <v>C211</v>
      </c>
      <c r="B212" s="12" t="str">
        <f>tblComponents[Component_Name]</f>
        <v>Component 211</v>
      </c>
      <c r="C212" t="str">
        <f>tblComponents[Product_Family]</f>
        <v>Electrical Systems</v>
      </c>
      <c r="D212" t="str">
        <f>tblComponents[Sourcing_Type]</f>
        <v>Make</v>
      </c>
      <c r="E212" t="str">
        <f>tblComponents[Criticality]</f>
        <v>Medium</v>
      </c>
      <c r="F212">
        <f>tblComponents[Forecast_Demand]</f>
        <v>1275</v>
      </c>
      <c r="G212">
        <f>tblComponents[Opening_Inventory]</f>
        <v>3730</v>
      </c>
      <c r="H212">
        <f>tblComponents[Safety_Stock]</f>
        <v>530</v>
      </c>
      <c r="I212">
        <f t="shared" si="12"/>
        <v>0</v>
      </c>
      <c r="J212" s="15">
        <f>tblComponents[Defect_Rate]</f>
        <v>1.1299999999999999E-2</v>
      </c>
      <c r="K212">
        <f t="shared" si="13"/>
        <v>0</v>
      </c>
      <c r="L212" t="str">
        <f t="shared" si="14"/>
        <v>Production</v>
      </c>
      <c r="M212">
        <f t="shared" si="15"/>
        <v>0</v>
      </c>
    </row>
    <row r="213" spans="1:13" x14ac:dyDescent="0.35">
      <c r="A213" s="12" t="str">
        <f>tblComponents[Component_ID]</f>
        <v>C212</v>
      </c>
      <c r="B213" s="12" t="str">
        <f>tblComponents[Component_Name]</f>
        <v>Component 212</v>
      </c>
      <c r="C213" t="str">
        <f>tblComponents[Product_Family]</f>
        <v>Body &amp; Exterior</v>
      </c>
      <c r="D213" t="str">
        <f>tblComponents[Sourcing_Type]</f>
        <v>Make</v>
      </c>
      <c r="E213" t="str">
        <f>tblComponents[Criticality]</f>
        <v>Medium</v>
      </c>
      <c r="F213">
        <f>tblComponents[Forecast_Demand]</f>
        <v>1393</v>
      </c>
      <c r="G213">
        <f>tblComponents[Opening_Inventory]</f>
        <v>5575</v>
      </c>
      <c r="H213">
        <f>tblComponents[Safety_Stock]</f>
        <v>929</v>
      </c>
      <c r="I213">
        <f t="shared" si="12"/>
        <v>0</v>
      </c>
      <c r="J213" s="15">
        <f>tblComponents[Defect_Rate]</f>
        <v>3.2000000000000002E-3</v>
      </c>
      <c r="K213">
        <f t="shared" si="13"/>
        <v>0</v>
      </c>
      <c r="L213" t="str">
        <f t="shared" si="14"/>
        <v>Production</v>
      </c>
      <c r="M213">
        <f t="shared" si="15"/>
        <v>0</v>
      </c>
    </row>
    <row r="214" spans="1:13" x14ac:dyDescent="0.35">
      <c r="A214" s="12" t="str">
        <f>tblComponents[Component_ID]</f>
        <v>C213</v>
      </c>
      <c r="B214" s="12" t="str">
        <f>tblComponents[Component_Name]</f>
        <v>Component 213</v>
      </c>
      <c r="C214" t="str">
        <f>tblComponents[Product_Family]</f>
        <v>Interior</v>
      </c>
      <c r="D214" t="str">
        <f>tblComponents[Sourcing_Type]</f>
        <v>Make</v>
      </c>
      <c r="E214" t="str">
        <f>tblComponents[Criticality]</f>
        <v>Medium</v>
      </c>
      <c r="F214">
        <f>tblComponents[Forecast_Demand]</f>
        <v>124</v>
      </c>
      <c r="G214">
        <f>tblComponents[Opening_Inventory]</f>
        <v>3965</v>
      </c>
      <c r="H214">
        <f>tblComponents[Safety_Stock]</f>
        <v>504</v>
      </c>
      <c r="I214">
        <f t="shared" si="12"/>
        <v>0</v>
      </c>
      <c r="J214" s="15">
        <f>tblComponents[Defect_Rate]</f>
        <v>1.34E-2</v>
      </c>
      <c r="K214">
        <f t="shared" si="13"/>
        <v>0</v>
      </c>
      <c r="L214" t="str">
        <f t="shared" si="14"/>
        <v>Production</v>
      </c>
      <c r="M214">
        <f t="shared" si="15"/>
        <v>0</v>
      </c>
    </row>
    <row r="215" spans="1:13" x14ac:dyDescent="0.35">
      <c r="A215" s="12" t="str">
        <f>tblComponents[Component_ID]</f>
        <v>C214</v>
      </c>
      <c r="B215" s="12" t="str">
        <f>tblComponents[Component_Name]</f>
        <v>Component 214</v>
      </c>
      <c r="C215" t="str">
        <f>tblComponents[Product_Family]</f>
        <v>Body &amp; Exterior</v>
      </c>
      <c r="D215" t="str">
        <f>tblComponents[Sourcing_Type]</f>
        <v>Make</v>
      </c>
      <c r="E215" t="str">
        <f>tblComponents[Criticality]</f>
        <v>Critical</v>
      </c>
      <c r="F215">
        <f>tblComponents[Forecast_Demand]</f>
        <v>1363</v>
      </c>
      <c r="G215">
        <f>tblComponents[Opening_Inventory]</f>
        <v>10955</v>
      </c>
      <c r="H215">
        <f>tblComponents[Safety_Stock]</f>
        <v>1172</v>
      </c>
      <c r="I215">
        <f t="shared" si="12"/>
        <v>0</v>
      </c>
      <c r="J215" s="15">
        <f>tblComponents[Defect_Rate]</f>
        <v>4.7999999999999996E-3</v>
      </c>
      <c r="K215">
        <f t="shared" si="13"/>
        <v>0</v>
      </c>
      <c r="L215" t="str">
        <f t="shared" si="14"/>
        <v>Production</v>
      </c>
      <c r="M215">
        <f t="shared" si="15"/>
        <v>0</v>
      </c>
    </row>
    <row r="216" spans="1:13" x14ac:dyDescent="0.35">
      <c r="A216" s="12" t="str">
        <f>tblComponents[Component_ID]</f>
        <v>C215</v>
      </c>
      <c r="B216" s="12" t="str">
        <f>tblComponents[Component_Name]</f>
        <v>Component 215</v>
      </c>
      <c r="C216" t="str">
        <f>tblComponents[Product_Family]</f>
        <v>Electrical Systems</v>
      </c>
      <c r="D216" t="str">
        <f>tblComponents[Sourcing_Type]</f>
        <v>Make</v>
      </c>
      <c r="E216" t="str">
        <f>tblComponents[Criticality]</f>
        <v>Critical</v>
      </c>
      <c r="F216">
        <f>tblComponents[Forecast_Demand]</f>
        <v>624</v>
      </c>
      <c r="G216">
        <f>tblComponents[Opening_Inventory]</f>
        <v>7791</v>
      </c>
      <c r="H216">
        <f>tblComponents[Safety_Stock]</f>
        <v>382</v>
      </c>
      <c r="I216">
        <f t="shared" si="12"/>
        <v>0</v>
      </c>
      <c r="J216" s="15">
        <f>tblComponents[Defect_Rate]</f>
        <v>1.12E-2</v>
      </c>
      <c r="K216">
        <f t="shared" si="13"/>
        <v>0</v>
      </c>
      <c r="L216" t="str">
        <f t="shared" si="14"/>
        <v>Production</v>
      </c>
      <c r="M216">
        <f t="shared" si="15"/>
        <v>0</v>
      </c>
    </row>
    <row r="217" spans="1:13" x14ac:dyDescent="0.35">
      <c r="A217" s="12" t="str">
        <f>tblComponents[Component_ID]</f>
        <v>C216</v>
      </c>
      <c r="B217" s="12" t="str">
        <f>tblComponents[Component_Name]</f>
        <v>Component 216</v>
      </c>
      <c r="C217" t="str">
        <f>tblComponents[Product_Family]</f>
        <v>Electrical Systems</v>
      </c>
      <c r="D217" t="str">
        <f>tblComponents[Sourcing_Type]</f>
        <v>Make</v>
      </c>
      <c r="E217" t="str">
        <f>tblComponents[Criticality]</f>
        <v>Critical</v>
      </c>
      <c r="F217">
        <f>tblComponents[Forecast_Demand]</f>
        <v>793</v>
      </c>
      <c r="G217">
        <f>tblComponents[Opening_Inventory]</f>
        <v>4136</v>
      </c>
      <c r="H217">
        <f>tblComponents[Safety_Stock]</f>
        <v>720</v>
      </c>
      <c r="I217">
        <f t="shared" si="12"/>
        <v>0</v>
      </c>
      <c r="J217" s="15">
        <f>tblComponents[Defect_Rate]</f>
        <v>1.01E-2</v>
      </c>
      <c r="K217">
        <f t="shared" si="13"/>
        <v>0</v>
      </c>
      <c r="L217" t="str">
        <f t="shared" si="14"/>
        <v>Production</v>
      </c>
      <c r="M217">
        <f t="shared" si="15"/>
        <v>0</v>
      </c>
    </row>
    <row r="218" spans="1:13" x14ac:dyDescent="0.35">
      <c r="A218" s="12" t="str">
        <f>tblComponents[Component_ID]</f>
        <v>C217</v>
      </c>
      <c r="B218" s="12" t="str">
        <f>tblComponents[Component_Name]</f>
        <v>Component 217</v>
      </c>
      <c r="C218" t="str">
        <f>tblComponents[Product_Family]</f>
        <v>Chassis</v>
      </c>
      <c r="D218" t="str">
        <f>tblComponents[Sourcing_Type]</f>
        <v>Make</v>
      </c>
      <c r="E218" t="str">
        <f>tblComponents[Criticality]</f>
        <v>Medium</v>
      </c>
      <c r="F218">
        <f>tblComponents[Forecast_Demand]</f>
        <v>971</v>
      </c>
      <c r="G218">
        <f>tblComponents[Opening_Inventory]</f>
        <v>2326</v>
      </c>
      <c r="H218">
        <f>tblComponents[Safety_Stock]</f>
        <v>495</v>
      </c>
      <c r="I218">
        <f t="shared" si="12"/>
        <v>0</v>
      </c>
      <c r="J218" s="15">
        <f>tblComponents[Defect_Rate]</f>
        <v>1.9800000000000002E-2</v>
      </c>
      <c r="K218">
        <f t="shared" si="13"/>
        <v>0</v>
      </c>
      <c r="L218" t="str">
        <f t="shared" si="14"/>
        <v>Production</v>
      </c>
      <c r="M218">
        <f t="shared" si="15"/>
        <v>0</v>
      </c>
    </row>
    <row r="219" spans="1:13" x14ac:dyDescent="0.35">
      <c r="A219" s="12" t="str">
        <f>tblComponents[Component_ID]</f>
        <v>C218</v>
      </c>
      <c r="B219" s="12" t="str">
        <f>tblComponents[Component_Name]</f>
        <v>Component 218</v>
      </c>
      <c r="C219" t="str">
        <f>tblComponents[Product_Family]</f>
        <v>Body &amp; Exterior</v>
      </c>
      <c r="D219" t="str">
        <f>tblComponents[Sourcing_Type]</f>
        <v>Make</v>
      </c>
      <c r="E219" t="str">
        <f>tblComponents[Criticality]</f>
        <v>Critical</v>
      </c>
      <c r="F219">
        <f>tblComponents[Forecast_Demand]</f>
        <v>482</v>
      </c>
      <c r="G219">
        <f>tblComponents[Opening_Inventory]</f>
        <v>3517</v>
      </c>
      <c r="H219">
        <f>tblComponents[Safety_Stock]</f>
        <v>277</v>
      </c>
      <c r="I219">
        <f t="shared" si="12"/>
        <v>0</v>
      </c>
      <c r="J219" s="15">
        <f>tblComponents[Defect_Rate]</f>
        <v>2.0500000000000001E-2</v>
      </c>
      <c r="K219">
        <f t="shared" si="13"/>
        <v>0</v>
      </c>
      <c r="L219" t="str">
        <f t="shared" si="14"/>
        <v>Production</v>
      </c>
      <c r="M219">
        <f t="shared" si="15"/>
        <v>0</v>
      </c>
    </row>
    <row r="220" spans="1:13" x14ac:dyDescent="0.35">
      <c r="A220" s="12" t="str">
        <f>tblComponents[Component_ID]</f>
        <v>C219</v>
      </c>
      <c r="B220" s="12" t="str">
        <f>tblComponents[Component_Name]</f>
        <v>Component 219</v>
      </c>
      <c r="C220" t="str">
        <f>tblComponents[Product_Family]</f>
        <v>Body &amp; Exterior</v>
      </c>
      <c r="D220" t="str">
        <f>tblComponents[Sourcing_Type]</f>
        <v>Make</v>
      </c>
      <c r="E220" t="str">
        <f>tblComponents[Criticality]</f>
        <v>Medium</v>
      </c>
      <c r="F220">
        <f>tblComponents[Forecast_Demand]</f>
        <v>3274</v>
      </c>
      <c r="G220">
        <f>tblComponents[Opening_Inventory]</f>
        <v>5431</v>
      </c>
      <c r="H220">
        <f>tblComponents[Safety_Stock]</f>
        <v>820</v>
      </c>
      <c r="I220">
        <f t="shared" si="12"/>
        <v>0</v>
      </c>
      <c r="J220" s="15">
        <f>tblComponents[Defect_Rate]</f>
        <v>5.4999999999999997E-3</v>
      </c>
      <c r="K220">
        <f t="shared" si="13"/>
        <v>0</v>
      </c>
      <c r="L220" t="str">
        <f t="shared" si="14"/>
        <v>Production</v>
      </c>
      <c r="M220">
        <f t="shared" si="15"/>
        <v>0</v>
      </c>
    </row>
    <row r="221" spans="1:13" x14ac:dyDescent="0.35">
      <c r="A221" s="12" t="str">
        <f>tblComponents[Component_ID]</f>
        <v>C220</v>
      </c>
      <c r="B221" s="12" t="str">
        <f>tblComponents[Component_Name]</f>
        <v>Component 220</v>
      </c>
      <c r="C221" t="str">
        <f>tblComponents[Product_Family]</f>
        <v>Body &amp; Exterior</v>
      </c>
      <c r="D221" t="str">
        <f>tblComponents[Sourcing_Type]</f>
        <v>Make</v>
      </c>
      <c r="E221" t="str">
        <f>tblComponents[Criticality]</f>
        <v>Medium</v>
      </c>
      <c r="F221">
        <f>tblComponents[Forecast_Demand]</f>
        <v>342</v>
      </c>
      <c r="G221">
        <f>tblComponents[Opening_Inventory]</f>
        <v>11205</v>
      </c>
      <c r="H221">
        <f>tblComponents[Safety_Stock]</f>
        <v>1639</v>
      </c>
      <c r="I221">
        <f t="shared" si="12"/>
        <v>0</v>
      </c>
      <c r="J221" s="15">
        <f>tblComponents[Defect_Rate]</f>
        <v>1.04E-2</v>
      </c>
      <c r="K221">
        <f t="shared" si="13"/>
        <v>0</v>
      </c>
      <c r="L221" t="str">
        <f t="shared" si="14"/>
        <v>Production</v>
      </c>
      <c r="M221">
        <f t="shared" si="15"/>
        <v>0</v>
      </c>
    </row>
    <row r="222" spans="1:13" x14ac:dyDescent="0.35">
      <c r="A222" s="12" t="str">
        <f>tblComponents[Component_ID]</f>
        <v>C221</v>
      </c>
      <c r="B222" s="12" t="str">
        <f>tblComponents[Component_Name]</f>
        <v>Component 221</v>
      </c>
      <c r="C222" t="str">
        <f>tblComponents[Product_Family]</f>
        <v>Body &amp; Exterior</v>
      </c>
      <c r="D222" t="str">
        <f>tblComponents[Sourcing_Type]</f>
        <v>Make</v>
      </c>
      <c r="E222" t="str">
        <f>tblComponents[Criticality]</f>
        <v>High</v>
      </c>
      <c r="F222">
        <f>tblComponents[Forecast_Demand]</f>
        <v>142</v>
      </c>
      <c r="G222">
        <f>tblComponents[Opening_Inventory]</f>
        <v>2885</v>
      </c>
      <c r="H222">
        <f>tblComponents[Safety_Stock]</f>
        <v>616</v>
      </c>
      <c r="I222">
        <f t="shared" si="12"/>
        <v>0</v>
      </c>
      <c r="J222" s="15">
        <f>tblComponents[Defect_Rate]</f>
        <v>1.06E-2</v>
      </c>
      <c r="K222">
        <f t="shared" si="13"/>
        <v>0</v>
      </c>
      <c r="L222" t="str">
        <f t="shared" si="14"/>
        <v>Production</v>
      </c>
      <c r="M222">
        <f t="shared" si="15"/>
        <v>0</v>
      </c>
    </row>
    <row r="223" spans="1:13" x14ac:dyDescent="0.35">
      <c r="A223" s="12" t="str">
        <f>tblComponents[Component_ID]</f>
        <v>C222</v>
      </c>
      <c r="B223" s="12" t="str">
        <f>tblComponents[Component_Name]</f>
        <v>Component 222</v>
      </c>
      <c r="C223" t="str">
        <f>tblComponents[Product_Family]</f>
        <v>Interior</v>
      </c>
      <c r="D223" t="str">
        <f>tblComponents[Sourcing_Type]</f>
        <v>Make</v>
      </c>
      <c r="E223" t="str">
        <f>tblComponents[Criticality]</f>
        <v>Medium</v>
      </c>
      <c r="F223">
        <f>tblComponents[Forecast_Demand]</f>
        <v>1198</v>
      </c>
      <c r="G223">
        <f>tblComponents[Opening_Inventory]</f>
        <v>822</v>
      </c>
      <c r="H223">
        <f>tblComponents[Safety_Stock]</f>
        <v>107</v>
      </c>
      <c r="I223">
        <f t="shared" si="12"/>
        <v>483</v>
      </c>
      <c r="J223" s="15">
        <f>tblComponents[Defect_Rate]</f>
        <v>6.3E-3</v>
      </c>
      <c r="K223">
        <f t="shared" si="13"/>
        <v>486.06219180839287</v>
      </c>
      <c r="L223" t="str">
        <f t="shared" si="14"/>
        <v>Production</v>
      </c>
      <c r="M223">
        <f t="shared" si="15"/>
        <v>486.06219180839287</v>
      </c>
    </row>
    <row r="224" spans="1:13" x14ac:dyDescent="0.35">
      <c r="A224" s="12" t="str">
        <f>tblComponents[Component_ID]</f>
        <v>C223</v>
      </c>
      <c r="B224" s="12" t="str">
        <f>tblComponents[Component_Name]</f>
        <v>Component 223</v>
      </c>
      <c r="C224" t="str">
        <f>tblComponents[Product_Family]</f>
        <v>Interior</v>
      </c>
      <c r="D224" t="str">
        <f>tblComponents[Sourcing_Type]</f>
        <v>Make</v>
      </c>
      <c r="E224" t="str">
        <f>tblComponents[Criticality]</f>
        <v>Critical</v>
      </c>
      <c r="F224">
        <f>tblComponents[Forecast_Demand]</f>
        <v>1858</v>
      </c>
      <c r="G224">
        <f>tblComponents[Opening_Inventory]</f>
        <v>2692</v>
      </c>
      <c r="H224">
        <f>tblComponents[Safety_Stock]</f>
        <v>475</v>
      </c>
      <c r="I224">
        <f t="shared" si="12"/>
        <v>0</v>
      </c>
      <c r="J224" s="15">
        <f>tblComponents[Defect_Rate]</f>
        <v>2.0400000000000001E-2</v>
      </c>
      <c r="K224">
        <f t="shared" si="13"/>
        <v>0</v>
      </c>
      <c r="L224" t="str">
        <f t="shared" si="14"/>
        <v>Production</v>
      </c>
      <c r="M224">
        <f t="shared" si="15"/>
        <v>0</v>
      </c>
    </row>
    <row r="225" spans="1:13" x14ac:dyDescent="0.35">
      <c r="A225" s="12" t="str">
        <f>tblComponents[Component_ID]</f>
        <v>C224</v>
      </c>
      <c r="B225" s="12" t="str">
        <f>tblComponents[Component_Name]</f>
        <v>Component 224</v>
      </c>
      <c r="C225" t="str">
        <f>tblComponents[Product_Family]</f>
        <v>Body &amp; Exterior</v>
      </c>
      <c r="D225" t="str">
        <f>tblComponents[Sourcing_Type]</f>
        <v>Make</v>
      </c>
      <c r="E225" t="str">
        <f>tblComponents[Criticality]</f>
        <v>Critical</v>
      </c>
      <c r="F225">
        <f>tblComponents[Forecast_Demand]</f>
        <v>1355</v>
      </c>
      <c r="G225">
        <f>tblComponents[Opening_Inventory]</f>
        <v>969</v>
      </c>
      <c r="H225">
        <f>tblComponents[Safety_Stock]</f>
        <v>298</v>
      </c>
      <c r="I225">
        <f t="shared" si="12"/>
        <v>684</v>
      </c>
      <c r="J225" s="15">
        <f>tblComponents[Defect_Rate]</f>
        <v>2.1000000000000001E-2</v>
      </c>
      <c r="K225">
        <f t="shared" si="13"/>
        <v>698.67211440245148</v>
      </c>
      <c r="L225" t="str">
        <f t="shared" si="14"/>
        <v>Production</v>
      </c>
      <c r="M225">
        <f t="shared" si="15"/>
        <v>698.67211440245148</v>
      </c>
    </row>
    <row r="226" spans="1:13" x14ac:dyDescent="0.35">
      <c r="A226" s="12" t="str">
        <f>tblComponents[Component_ID]</f>
        <v>C225</v>
      </c>
      <c r="B226" s="12" t="str">
        <f>tblComponents[Component_Name]</f>
        <v>Component 225</v>
      </c>
      <c r="C226" t="str">
        <f>tblComponents[Product_Family]</f>
        <v>Chassis</v>
      </c>
      <c r="D226" t="str">
        <f>tblComponents[Sourcing_Type]</f>
        <v>Make</v>
      </c>
      <c r="E226" t="str">
        <f>tblComponents[Criticality]</f>
        <v>Medium</v>
      </c>
      <c r="F226">
        <f>tblComponents[Forecast_Demand]</f>
        <v>1405</v>
      </c>
      <c r="G226">
        <f>tblComponents[Opening_Inventory]</f>
        <v>2797</v>
      </c>
      <c r="H226">
        <f>tblComponents[Safety_Stock]</f>
        <v>425</v>
      </c>
      <c r="I226">
        <f t="shared" si="12"/>
        <v>0</v>
      </c>
      <c r="J226" s="15">
        <f>tblComponents[Defect_Rate]</f>
        <v>7.3000000000000001E-3</v>
      </c>
      <c r="K226">
        <f t="shared" si="13"/>
        <v>0</v>
      </c>
      <c r="L226" t="str">
        <f t="shared" si="14"/>
        <v>Production</v>
      </c>
      <c r="M226">
        <f t="shared" si="15"/>
        <v>0</v>
      </c>
    </row>
    <row r="227" spans="1:13" x14ac:dyDescent="0.35">
      <c r="A227" s="12" t="str">
        <f>tblComponents[Component_ID]</f>
        <v>C226</v>
      </c>
      <c r="B227" s="12" t="str">
        <f>tblComponents[Component_Name]</f>
        <v>Component 226</v>
      </c>
      <c r="C227" t="str">
        <f>tblComponents[Product_Family]</f>
        <v>Electrical Systems</v>
      </c>
      <c r="D227" t="str">
        <f>tblComponents[Sourcing_Type]</f>
        <v>Make</v>
      </c>
      <c r="E227" t="str">
        <f>tblComponents[Criticality]</f>
        <v>Low</v>
      </c>
      <c r="F227">
        <f>tblComponents[Forecast_Demand]</f>
        <v>1229</v>
      </c>
      <c r="G227">
        <f>tblComponents[Opening_Inventory]</f>
        <v>4097</v>
      </c>
      <c r="H227">
        <f>tblComponents[Safety_Stock]</f>
        <v>950</v>
      </c>
      <c r="I227">
        <f t="shared" si="12"/>
        <v>0</v>
      </c>
      <c r="J227" s="15">
        <f>tblComponents[Defect_Rate]</f>
        <v>1.04E-2</v>
      </c>
      <c r="K227">
        <f t="shared" si="13"/>
        <v>0</v>
      </c>
      <c r="L227" t="str">
        <f t="shared" si="14"/>
        <v>Production</v>
      </c>
      <c r="M227">
        <f t="shared" si="15"/>
        <v>0</v>
      </c>
    </row>
    <row r="228" spans="1:13" x14ac:dyDescent="0.35">
      <c r="A228" s="12" t="str">
        <f>tblComponents[Component_ID]</f>
        <v>C227</v>
      </c>
      <c r="B228" s="12" t="str">
        <f>tblComponents[Component_Name]</f>
        <v>Component 227</v>
      </c>
      <c r="C228" t="str">
        <f>tblComponents[Product_Family]</f>
        <v>Powertrain</v>
      </c>
      <c r="D228" t="str">
        <f>tblComponents[Sourcing_Type]</f>
        <v>Make</v>
      </c>
      <c r="E228" t="str">
        <f>tblComponents[Criticality]</f>
        <v>Medium</v>
      </c>
      <c r="F228">
        <f>tblComponents[Forecast_Demand]</f>
        <v>2301</v>
      </c>
      <c r="G228">
        <f>tblComponents[Opening_Inventory]</f>
        <v>1930</v>
      </c>
      <c r="H228">
        <f>tblComponents[Safety_Stock]</f>
        <v>460</v>
      </c>
      <c r="I228">
        <f t="shared" si="12"/>
        <v>831</v>
      </c>
      <c r="J228" s="15">
        <f>tblComponents[Defect_Rate]</f>
        <v>4.4000000000000003E-3</v>
      </c>
      <c r="K228">
        <f t="shared" si="13"/>
        <v>834.67255926074722</v>
      </c>
      <c r="L228" t="str">
        <f t="shared" si="14"/>
        <v>Production</v>
      </c>
      <c r="M228">
        <f t="shared" si="15"/>
        <v>834.67255926074722</v>
      </c>
    </row>
    <row r="229" spans="1:13" x14ac:dyDescent="0.35">
      <c r="A229" s="12" t="str">
        <f>tblComponents[Component_ID]</f>
        <v>C228</v>
      </c>
      <c r="B229" s="12" t="str">
        <f>tblComponents[Component_Name]</f>
        <v>Component 228</v>
      </c>
      <c r="C229" t="str">
        <f>tblComponents[Product_Family]</f>
        <v>Chassis</v>
      </c>
      <c r="D229" t="str">
        <f>tblComponents[Sourcing_Type]</f>
        <v>Make</v>
      </c>
      <c r="E229" t="str">
        <f>tblComponents[Criticality]</f>
        <v>Low</v>
      </c>
      <c r="F229">
        <f>tblComponents[Forecast_Demand]</f>
        <v>713</v>
      </c>
      <c r="G229">
        <f>tblComponents[Opening_Inventory]</f>
        <v>3816</v>
      </c>
      <c r="H229">
        <f>tblComponents[Safety_Stock]</f>
        <v>753</v>
      </c>
      <c r="I229">
        <f t="shared" si="12"/>
        <v>0</v>
      </c>
      <c r="J229" s="15">
        <f>tblComponents[Defect_Rate]</f>
        <v>1.6400000000000001E-2</v>
      </c>
      <c r="K229">
        <f t="shared" si="13"/>
        <v>0</v>
      </c>
      <c r="L229" t="str">
        <f t="shared" si="14"/>
        <v>Production</v>
      </c>
      <c r="M229">
        <f t="shared" si="15"/>
        <v>0</v>
      </c>
    </row>
    <row r="230" spans="1:13" x14ac:dyDescent="0.35">
      <c r="A230" s="12" t="str">
        <f>tblComponents[Component_ID]</f>
        <v>C229</v>
      </c>
      <c r="B230" s="12" t="str">
        <f>tblComponents[Component_Name]</f>
        <v>Component 229</v>
      </c>
      <c r="C230" t="str">
        <f>tblComponents[Product_Family]</f>
        <v>Chassis</v>
      </c>
      <c r="D230" t="str">
        <f>tblComponents[Sourcing_Type]</f>
        <v>Make</v>
      </c>
      <c r="E230" t="str">
        <f>tblComponents[Criticality]</f>
        <v>Low</v>
      </c>
      <c r="F230">
        <f>tblComponents[Forecast_Demand]</f>
        <v>1146</v>
      </c>
      <c r="G230">
        <f>tblComponents[Opening_Inventory]</f>
        <v>1183</v>
      </c>
      <c r="H230">
        <f>tblComponents[Safety_Stock]</f>
        <v>258</v>
      </c>
      <c r="I230">
        <f t="shared" si="12"/>
        <v>221</v>
      </c>
      <c r="J230" s="15">
        <f>tblComponents[Defect_Rate]</f>
        <v>5.4999999999999997E-3</v>
      </c>
      <c r="K230">
        <f t="shared" si="13"/>
        <v>222.2222222222222</v>
      </c>
      <c r="L230" t="str">
        <f t="shared" si="14"/>
        <v>Production</v>
      </c>
      <c r="M230">
        <f t="shared" si="15"/>
        <v>222.2222222222222</v>
      </c>
    </row>
    <row r="231" spans="1:13" x14ac:dyDescent="0.35">
      <c r="A231" s="12" t="str">
        <f>tblComponents[Component_ID]</f>
        <v>C230</v>
      </c>
      <c r="B231" s="12" t="str">
        <f>tblComponents[Component_Name]</f>
        <v>Component 230</v>
      </c>
      <c r="C231" t="str">
        <f>tblComponents[Product_Family]</f>
        <v>Chassis</v>
      </c>
      <c r="D231" t="str">
        <f>tblComponents[Sourcing_Type]</f>
        <v>Make</v>
      </c>
      <c r="E231" t="str">
        <f>tblComponents[Criticality]</f>
        <v>Medium</v>
      </c>
      <c r="F231">
        <f>tblComponents[Forecast_Demand]</f>
        <v>2498</v>
      </c>
      <c r="G231">
        <f>tblComponents[Opening_Inventory]</f>
        <v>3795</v>
      </c>
      <c r="H231">
        <f>tblComponents[Safety_Stock]</f>
        <v>776</v>
      </c>
      <c r="I231">
        <f t="shared" si="12"/>
        <v>0</v>
      </c>
      <c r="J231" s="15">
        <f>tblComponents[Defect_Rate]</f>
        <v>2.47E-2</v>
      </c>
      <c r="K231">
        <f t="shared" si="13"/>
        <v>0</v>
      </c>
      <c r="L231" t="str">
        <f t="shared" si="14"/>
        <v>Production</v>
      </c>
      <c r="M231">
        <f t="shared" si="15"/>
        <v>0</v>
      </c>
    </row>
    <row r="232" spans="1:13" x14ac:dyDescent="0.35">
      <c r="A232" s="12" t="str">
        <f>tblComponents[Component_ID]</f>
        <v>C231</v>
      </c>
      <c r="B232" s="12" t="str">
        <f>tblComponents[Component_Name]</f>
        <v>Component 231</v>
      </c>
      <c r="C232" t="str">
        <f>tblComponents[Product_Family]</f>
        <v>Body &amp; Exterior</v>
      </c>
      <c r="D232" t="str">
        <f>tblComponents[Sourcing_Type]</f>
        <v>Make</v>
      </c>
      <c r="E232" t="str">
        <f>tblComponents[Criticality]</f>
        <v>High</v>
      </c>
      <c r="F232">
        <f>tblComponents[Forecast_Demand]</f>
        <v>425</v>
      </c>
      <c r="G232">
        <f>tblComponents[Opening_Inventory]</f>
        <v>3768</v>
      </c>
      <c r="H232">
        <f>tblComponents[Safety_Stock]</f>
        <v>683</v>
      </c>
      <c r="I232">
        <f t="shared" si="12"/>
        <v>0</v>
      </c>
      <c r="J232" s="15">
        <f>tblComponents[Defect_Rate]</f>
        <v>0.02</v>
      </c>
      <c r="K232">
        <f t="shared" si="13"/>
        <v>0</v>
      </c>
      <c r="L232" t="str">
        <f t="shared" si="14"/>
        <v>Production</v>
      </c>
      <c r="M232">
        <f t="shared" si="15"/>
        <v>0</v>
      </c>
    </row>
    <row r="233" spans="1:13" x14ac:dyDescent="0.35">
      <c r="A233" s="12" t="str">
        <f>tblComponents[Component_ID]</f>
        <v>C232</v>
      </c>
      <c r="B233" s="12" t="str">
        <f>tblComponents[Component_Name]</f>
        <v>Component 232</v>
      </c>
      <c r="C233" t="str">
        <f>tblComponents[Product_Family]</f>
        <v>Interior</v>
      </c>
      <c r="D233" t="str">
        <f>tblComponents[Sourcing_Type]</f>
        <v>Make</v>
      </c>
      <c r="E233" t="str">
        <f>tblComponents[Criticality]</f>
        <v>Medium</v>
      </c>
      <c r="F233">
        <f>tblComponents[Forecast_Demand]</f>
        <v>598</v>
      </c>
      <c r="G233">
        <f>tblComponents[Opening_Inventory]</f>
        <v>3895</v>
      </c>
      <c r="H233">
        <f>tblComponents[Safety_Stock]</f>
        <v>722</v>
      </c>
      <c r="I233">
        <f t="shared" si="12"/>
        <v>0</v>
      </c>
      <c r="J233" s="15">
        <f>tblComponents[Defect_Rate]</f>
        <v>1.0999999999999999E-2</v>
      </c>
      <c r="K233">
        <f t="shared" si="13"/>
        <v>0</v>
      </c>
      <c r="L233" t="str">
        <f t="shared" si="14"/>
        <v>Production</v>
      </c>
      <c r="M233">
        <f t="shared" si="15"/>
        <v>0</v>
      </c>
    </row>
    <row r="234" spans="1:13" x14ac:dyDescent="0.35">
      <c r="A234" s="12" t="str">
        <f>tblComponents[Component_ID]</f>
        <v>C233</v>
      </c>
      <c r="B234" s="12" t="str">
        <f>tblComponents[Component_Name]</f>
        <v>Component 233</v>
      </c>
      <c r="C234" t="str">
        <f>tblComponents[Product_Family]</f>
        <v>Powertrain</v>
      </c>
      <c r="D234" t="str">
        <f>tblComponents[Sourcing_Type]</f>
        <v>Make</v>
      </c>
      <c r="E234" t="str">
        <f>tblComponents[Criticality]</f>
        <v>Medium</v>
      </c>
      <c r="F234">
        <f>tblComponents[Forecast_Demand]</f>
        <v>539</v>
      </c>
      <c r="G234">
        <f>tblComponents[Opening_Inventory]</f>
        <v>729</v>
      </c>
      <c r="H234">
        <f>tblComponents[Safety_Stock]</f>
        <v>207</v>
      </c>
      <c r="I234">
        <f t="shared" si="12"/>
        <v>17</v>
      </c>
      <c r="J234" s="15">
        <f>tblComponents[Defect_Rate]</f>
        <v>1.7600000000000001E-2</v>
      </c>
      <c r="K234">
        <f t="shared" si="13"/>
        <v>17.304560260586317</v>
      </c>
      <c r="L234" t="str">
        <f t="shared" si="14"/>
        <v>Production</v>
      </c>
      <c r="M234">
        <f t="shared" si="15"/>
        <v>17.304560260586317</v>
      </c>
    </row>
    <row r="235" spans="1:13" x14ac:dyDescent="0.35">
      <c r="A235" s="12" t="str">
        <f>tblComponents[Component_ID]</f>
        <v>C234</v>
      </c>
      <c r="B235" s="12" t="str">
        <f>tblComponents[Component_Name]</f>
        <v>Component 234</v>
      </c>
      <c r="C235" t="str">
        <f>tblComponents[Product_Family]</f>
        <v>Chassis</v>
      </c>
      <c r="D235" t="str">
        <f>tblComponents[Sourcing_Type]</f>
        <v>Make</v>
      </c>
      <c r="E235" t="str">
        <f>tblComponents[Criticality]</f>
        <v>High</v>
      </c>
      <c r="F235">
        <f>tblComponents[Forecast_Demand]</f>
        <v>310</v>
      </c>
      <c r="G235">
        <f>tblComponents[Opening_Inventory]</f>
        <v>4279</v>
      </c>
      <c r="H235">
        <f>tblComponents[Safety_Stock]</f>
        <v>1493</v>
      </c>
      <c r="I235">
        <f t="shared" si="12"/>
        <v>0</v>
      </c>
      <c r="J235" s="15">
        <f>tblComponents[Defect_Rate]</f>
        <v>2.3E-2</v>
      </c>
      <c r="K235">
        <f t="shared" si="13"/>
        <v>0</v>
      </c>
      <c r="L235" t="str">
        <f t="shared" si="14"/>
        <v>Production</v>
      </c>
      <c r="M235">
        <f t="shared" si="15"/>
        <v>0</v>
      </c>
    </row>
    <row r="236" spans="1:13" x14ac:dyDescent="0.35">
      <c r="A236" s="12" t="str">
        <f>tblComponents[Component_ID]</f>
        <v>C235</v>
      </c>
      <c r="B236" s="12" t="str">
        <f>tblComponents[Component_Name]</f>
        <v>Component 235</v>
      </c>
      <c r="C236" t="str">
        <f>tblComponents[Product_Family]</f>
        <v>Interior</v>
      </c>
      <c r="D236" t="str">
        <f>tblComponents[Sourcing_Type]</f>
        <v>Make</v>
      </c>
      <c r="E236" t="str">
        <f>tblComponents[Criticality]</f>
        <v>Medium</v>
      </c>
      <c r="F236">
        <f>tblComponents[Forecast_Demand]</f>
        <v>1342</v>
      </c>
      <c r="G236">
        <f>tblComponents[Opening_Inventory]</f>
        <v>8550</v>
      </c>
      <c r="H236">
        <f>tblComponents[Safety_Stock]</f>
        <v>775</v>
      </c>
      <c r="I236">
        <f t="shared" si="12"/>
        <v>0</v>
      </c>
      <c r="J236" s="15">
        <f>tblComponents[Defect_Rate]</f>
        <v>1.47E-2</v>
      </c>
      <c r="K236">
        <f t="shared" si="13"/>
        <v>0</v>
      </c>
      <c r="L236" t="str">
        <f t="shared" si="14"/>
        <v>Production</v>
      </c>
      <c r="M236">
        <f t="shared" si="15"/>
        <v>0</v>
      </c>
    </row>
    <row r="237" spans="1:13" x14ac:dyDescent="0.35">
      <c r="A237" s="12" t="str">
        <f>tblComponents[Component_ID]</f>
        <v>C236</v>
      </c>
      <c r="B237" s="12" t="str">
        <f>tblComponents[Component_Name]</f>
        <v>Component 236</v>
      </c>
      <c r="C237" t="str">
        <f>tblComponents[Product_Family]</f>
        <v>Electrical Systems</v>
      </c>
      <c r="D237" t="str">
        <f>tblComponents[Sourcing_Type]</f>
        <v>Make</v>
      </c>
      <c r="E237" t="str">
        <f>tblComponents[Criticality]</f>
        <v>Medium</v>
      </c>
      <c r="F237">
        <f>tblComponents[Forecast_Demand]</f>
        <v>270</v>
      </c>
      <c r="G237">
        <f>tblComponents[Opening_Inventory]</f>
        <v>7307</v>
      </c>
      <c r="H237">
        <f>tblComponents[Safety_Stock]</f>
        <v>2065</v>
      </c>
      <c r="I237">
        <f t="shared" si="12"/>
        <v>0</v>
      </c>
      <c r="J237" s="15">
        <f>tblComponents[Defect_Rate]</f>
        <v>6.0000000000000001E-3</v>
      </c>
      <c r="K237">
        <f t="shared" si="13"/>
        <v>0</v>
      </c>
      <c r="L237" t="str">
        <f t="shared" si="14"/>
        <v>Production</v>
      </c>
      <c r="M237">
        <f t="shared" si="15"/>
        <v>0</v>
      </c>
    </row>
    <row r="238" spans="1:13" x14ac:dyDescent="0.35">
      <c r="A238" s="12" t="str">
        <f>tblComponents[Component_ID]</f>
        <v>C237</v>
      </c>
      <c r="B238" s="12" t="str">
        <f>tblComponents[Component_Name]</f>
        <v>Component 237</v>
      </c>
      <c r="C238" t="str">
        <f>tblComponents[Product_Family]</f>
        <v>Powertrain</v>
      </c>
      <c r="D238" t="str">
        <f>tblComponents[Sourcing_Type]</f>
        <v>Make</v>
      </c>
      <c r="E238" t="str">
        <f>tblComponents[Criticality]</f>
        <v>Medium</v>
      </c>
      <c r="F238">
        <f>tblComponents[Forecast_Demand]</f>
        <v>189</v>
      </c>
      <c r="G238">
        <f>tblComponents[Opening_Inventory]</f>
        <v>10117</v>
      </c>
      <c r="H238">
        <f>tblComponents[Safety_Stock]</f>
        <v>795</v>
      </c>
      <c r="I238">
        <f t="shared" si="12"/>
        <v>0</v>
      </c>
      <c r="J238" s="15">
        <f>tblComponents[Defect_Rate]</f>
        <v>1.34E-2</v>
      </c>
      <c r="K238">
        <f t="shared" si="13"/>
        <v>0</v>
      </c>
      <c r="L238" t="str">
        <f t="shared" si="14"/>
        <v>Production</v>
      </c>
      <c r="M238">
        <f t="shared" si="15"/>
        <v>0</v>
      </c>
    </row>
    <row r="239" spans="1:13" x14ac:dyDescent="0.35">
      <c r="A239" s="12" t="str">
        <f>tblComponents[Component_ID]</f>
        <v>C238</v>
      </c>
      <c r="B239" s="12" t="str">
        <f>tblComponents[Component_Name]</f>
        <v>Component 238</v>
      </c>
      <c r="C239" t="str">
        <f>tblComponents[Product_Family]</f>
        <v>Powertrain</v>
      </c>
      <c r="D239" t="str">
        <f>tblComponents[Sourcing_Type]</f>
        <v>Make</v>
      </c>
      <c r="E239" t="str">
        <f>tblComponents[Criticality]</f>
        <v>Medium</v>
      </c>
      <c r="F239">
        <f>tblComponents[Forecast_Demand]</f>
        <v>911</v>
      </c>
      <c r="G239">
        <f>tblComponents[Opening_Inventory]</f>
        <v>6803</v>
      </c>
      <c r="H239">
        <f>tblComponents[Safety_Stock]</f>
        <v>883</v>
      </c>
      <c r="I239">
        <f t="shared" si="12"/>
        <v>0</v>
      </c>
      <c r="J239" s="15">
        <f>tblComponents[Defect_Rate]</f>
        <v>2.1399999999999999E-2</v>
      </c>
      <c r="K239">
        <f t="shared" si="13"/>
        <v>0</v>
      </c>
      <c r="L239" t="str">
        <f t="shared" si="14"/>
        <v>Production</v>
      </c>
      <c r="M239">
        <f t="shared" si="15"/>
        <v>0</v>
      </c>
    </row>
    <row r="240" spans="1:13" x14ac:dyDescent="0.35">
      <c r="A240" s="12" t="str">
        <f>tblComponents[Component_ID]</f>
        <v>C239</v>
      </c>
      <c r="B240" s="12" t="str">
        <f>tblComponents[Component_Name]</f>
        <v>Component 239</v>
      </c>
      <c r="C240" t="str">
        <f>tblComponents[Product_Family]</f>
        <v>Interior</v>
      </c>
      <c r="D240" t="str">
        <f>tblComponents[Sourcing_Type]</f>
        <v>Make</v>
      </c>
      <c r="E240" t="str">
        <f>tblComponents[Criticality]</f>
        <v>High</v>
      </c>
      <c r="F240">
        <f>tblComponents[Forecast_Demand]</f>
        <v>1196</v>
      </c>
      <c r="G240">
        <f>tblComponents[Opening_Inventory]</f>
        <v>3797</v>
      </c>
      <c r="H240">
        <f>tblComponents[Safety_Stock]</f>
        <v>453</v>
      </c>
      <c r="I240">
        <f t="shared" si="12"/>
        <v>0</v>
      </c>
      <c r="J240" s="15">
        <f>tblComponents[Defect_Rate]</f>
        <v>1.9300000000000001E-2</v>
      </c>
      <c r="K240">
        <f t="shared" si="13"/>
        <v>0</v>
      </c>
      <c r="L240" t="str">
        <f t="shared" si="14"/>
        <v>Production</v>
      </c>
      <c r="M240">
        <f t="shared" si="15"/>
        <v>0</v>
      </c>
    </row>
    <row r="241" spans="1:13" x14ac:dyDescent="0.35">
      <c r="A241" s="12" t="str">
        <f>tblComponents[Component_ID]</f>
        <v>C240</v>
      </c>
      <c r="B241" s="12" t="str">
        <f>tblComponents[Component_Name]</f>
        <v>Component 240</v>
      </c>
      <c r="C241" t="str">
        <f>tblComponents[Product_Family]</f>
        <v>Powertrain</v>
      </c>
      <c r="D241" t="str">
        <f>tblComponents[Sourcing_Type]</f>
        <v>Make</v>
      </c>
      <c r="E241" t="str">
        <f>tblComponents[Criticality]</f>
        <v>Critical</v>
      </c>
      <c r="F241">
        <f>tblComponents[Forecast_Demand]</f>
        <v>126</v>
      </c>
      <c r="G241">
        <f>tblComponents[Opening_Inventory]</f>
        <v>1616</v>
      </c>
      <c r="H241">
        <f>tblComponents[Safety_Stock]</f>
        <v>310</v>
      </c>
      <c r="I241">
        <f t="shared" si="12"/>
        <v>0</v>
      </c>
      <c r="J241" s="15">
        <f>tblComponents[Defect_Rate]</f>
        <v>1.7000000000000001E-2</v>
      </c>
      <c r="K241">
        <f t="shared" si="13"/>
        <v>0</v>
      </c>
      <c r="L241" t="str">
        <f t="shared" si="14"/>
        <v>Production</v>
      </c>
      <c r="M241">
        <f t="shared" si="15"/>
        <v>0</v>
      </c>
    </row>
    <row r="242" spans="1:13" x14ac:dyDescent="0.35">
      <c r="A242" s="12" t="str">
        <f>tblComponents[Component_ID]</f>
        <v>C241</v>
      </c>
      <c r="B242" s="12" t="str">
        <f>tblComponents[Component_Name]</f>
        <v>Component 241</v>
      </c>
      <c r="C242" t="str">
        <f>tblComponents[Product_Family]</f>
        <v>Interior</v>
      </c>
      <c r="D242" t="str">
        <f>tblComponents[Sourcing_Type]</f>
        <v>Make</v>
      </c>
      <c r="E242" t="str">
        <f>tblComponents[Criticality]</f>
        <v>Medium</v>
      </c>
      <c r="F242">
        <f>tblComponents[Forecast_Demand]</f>
        <v>1666</v>
      </c>
      <c r="G242">
        <f>tblComponents[Opening_Inventory]</f>
        <v>6548</v>
      </c>
      <c r="H242">
        <f>tblComponents[Safety_Stock]</f>
        <v>1196</v>
      </c>
      <c r="I242">
        <f t="shared" si="12"/>
        <v>0</v>
      </c>
      <c r="J242" s="15">
        <f>tblComponents[Defect_Rate]</f>
        <v>2.1899999999999999E-2</v>
      </c>
      <c r="K242">
        <f t="shared" si="13"/>
        <v>0</v>
      </c>
      <c r="L242" t="str">
        <f t="shared" si="14"/>
        <v>Production</v>
      </c>
      <c r="M242">
        <f t="shared" si="15"/>
        <v>0</v>
      </c>
    </row>
    <row r="243" spans="1:13" x14ac:dyDescent="0.35">
      <c r="A243" s="12" t="str">
        <f>tblComponents[Component_ID]</f>
        <v>C242</v>
      </c>
      <c r="B243" s="12" t="str">
        <f>tblComponents[Component_Name]</f>
        <v>Component 242</v>
      </c>
      <c r="C243" t="str">
        <f>tblComponents[Product_Family]</f>
        <v>Powertrain</v>
      </c>
      <c r="D243" t="str">
        <f>tblComponents[Sourcing_Type]</f>
        <v>Make</v>
      </c>
      <c r="E243" t="str">
        <f>tblComponents[Criticality]</f>
        <v>Medium</v>
      </c>
      <c r="F243">
        <f>tblComponents[Forecast_Demand]</f>
        <v>245</v>
      </c>
      <c r="G243">
        <f>tblComponents[Opening_Inventory]</f>
        <v>3241</v>
      </c>
      <c r="H243">
        <f>tblComponents[Safety_Stock]</f>
        <v>767</v>
      </c>
      <c r="I243">
        <f t="shared" si="12"/>
        <v>0</v>
      </c>
      <c r="J243" s="15">
        <f>tblComponents[Defect_Rate]</f>
        <v>2.8199999999999999E-2</v>
      </c>
      <c r="K243">
        <f t="shared" si="13"/>
        <v>0</v>
      </c>
      <c r="L243" t="str">
        <f t="shared" si="14"/>
        <v>Production</v>
      </c>
      <c r="M243">
        <f t="shared" si="15"/>
        <v>0</v>
      </c>
    </row>
    <row r="244" spans="1:13" x14ac:dyDescent="0.35">
      <c r="A244" s="12" t="str">
        <f>tblComponents[Component_ID]</f>
        <v>C243</v>
      </c>
      <c r="B244" s="12" t="str">
        <f>tblComponents[Component_Name]</f>
        <v>Component 243</v>
      </c>
      <c r="C244" t="str">
        <f>tblComponents[Product_Family]</f>
        <v>Powertrain</v>
      </c>
      <c r="D244" t="str">
        <f>tblComponents[Sourcing_Type]</f>
        <v>Make</v>
      </c>
      <c r="E244" t="str">
        <f>tblComponents[Criticality]</f>
        <v>Medium</v>
      </c>
      <c r="F244">
        <f>tblComponents[Forecast_Demand]</f>
        <v>508</v>
      </c>
      <c r="G244">
        <f>tblComponents[Opening_Inventory]</f>
        <v>1742</v>
      </c>
      <c r="H244">
        <f>tblComponents[Safety_Stock]</f>
        <v>169</v>
      </c>
      <c r="I244">
        <f t="shared" si="12"/>
        <v>0</v>
      </c>
      <c r="J244" s="15">
        <f>tblComponents[Defect_Rate]</f>
        <v>2.6599999999999999E-2</v>
      </c>
      <c r="K244">
        <f t="shared" si="13"/>
        <v>0</v>
      </c>
      <c r="L244" t="str">
        <f t="shared" si="14"/>
        <v>Production</v>
      </c>
      <c r="M244">
        <f t="shared" si="15"/>
        <v>0</v>
      </c>
    </row>
    <row r="245" spans="1:13" x14ac:dyDescent="0.35">
      <c r="A245" s="12" t="str">
        <f>tblComponents[Component_ID]</f>
        <v>C244</v>
      </c>
      <c r="B245" s="12" t="str">
        <f>tblComponents[Component_Name]</f>
        <v>Component 244</v>
      </c>
      <c r="C245" t="str">
        <f>tblComponents[Product_Family]</f>
        <v>Electrical Systems</v>
      </c>
      <c r="D245" t="str">
        <f>tblComponents[Sourcing_Type]</f>
        <v>Make</v>
      </c>
      <c r="E245" t="str">
        <f>tblComponents[Criticality]</f>
        <v>Low</v>
      </c>
      <c r="F245">
        <f>tblComponents[Forecast_Demand]</f>
        <v>1501</v>
      </c>
      <c r="G245">
        <f>tblComponents[Opening_Inventory]</f>
        <v>1416</v>
      </c>
      <c r="H245">
        <f>tblComponents[Safety_Stock]</f>
        <v>343</v>
      </c>
      <c r="I245">
        <f t="shared" si="12"/>
        <v>428</v>
      </c>
      <c r="J245" s="15">
        <f>tblComponents[Defect_Rate]</f>
        <v>4.1999999999999997E-3</v>
      </c>
      <c r="K245">
        <f t="shared" si="13"/>
        <v>429.80518176340632</v>
      </c>
      <c r="L245" t="str">
        <f t="shared" si="14"/>
        <v>Production</v>
      </c>
      <c r="M245">
        <f t="shared" si="15"/>
        <v>429.80518176340632</v>
      </c>
    </row>
    <row r="246" spans="1:13" x14ac:dyDescent="0.35">
      <c r="A246" s="12" t="str">
        <f>tblComponents[Component_ID]</f>
        <v>C245</v>
      </c>
      <c r="B246" s="12" t="str">
        <f>tblComponents[Component_Name]</f>
        <v>Component 245</v>
      </c>
      <c r="C246" t="str">
        <f>tblComponents[Product_Family]</f>
        <v>Powertrain</v>
      </c>
      <c r="D246" t="str">
        <f>tblComponents[Sourcing_Type]</f>
        <v>Make</v>
      </c>
      <c r="E246" t="str">
        <f>tblComponents[Criticality]</f>
        <v>Low</v>
      </c>
      <c r="F246">
        <f>tblComponents[Forecast_Demand]</f>
        <v>497</v>
      </c>
      <c r="G246">
        <f>tblComponents[Opening_Inventory]</f>
        <v>5005</v>
      </c>
      <c r="H246">
        <f>tblComponents[Safety_Stock]</f>
        <v>836</v>
      </c>
      <c r="I246">
        <f t="shared" si="12"/>
        <v>0</v>
      </c>
      <c r="J246" s="15">
        <f>tblComponents[Defect_Rate]</f>
        <v>1.4500000000000001E-2</v>
      </c>
      <c r="K246">
        <f t="shared" si="13"/>
        <v>0</v>
      </c>
      <c r="L246" t="str">
        <f t="shared" si="14"/>
        <v>Production</v>
      </c>
      <c r="M246">
        <f t="shared" si="15"/>
        <v>0</v>
      </c>
    </row>
    <row r="247" spans="1:13" x14ac:dyDescent="0.35">
      <c r="A247" s="12" t="str">
        <f>tblComponents[Component_ID]</f>
        <v>C246</v>
      </c>
      <c r="B247" s="12" t="str">
        <f>tblComponents[Component_Name]</f>
        <v>Component 246</v>
      </c>
      <c r="C247" t="str">
        <f>tblComponents[Product_Family]</f>
        <v>Electrical Systems</v>
      </c>
      <c r="D247" t="str">
        <f>tblComponents[Sourcing_Type]</f>
        <v>Make</v>
      </c>
      <c r="E247" t="str">
        <f>tblComponents[Criticality]</f>
        <v>Medium</v>
      </c>
      <c r="F247">
        <f>tblComponents[Forecast_Demand]</f>
        <v>381</v>
      </c>
      <c r="G247">
        <f>tblComponents[Opening_Inventory]</f>
        <v>1705</v>
      </c>
      <c r="H247">
        <f>tblComponents[Safety_Stock]</f>
        <v>737</v>
      </c>
      <c r="I247">
        <f t="shared" si="12"/>
        <v>0</v>
      </c>
      <c r="J247" s="15">
        <f>tblComponents[Defect_Rate]</f>
        <v>2.1899999999999999E-2</v>
      </c>
      <c r="K247">
        <f t="shared" si="13"/>
        <v>0</v>
      </c>
      <c r="L247" t="str">
        <f t="shared" si="14"/>
        <v>Production</v>
      </c>
      <c r="M247">
        <f t="shared" si="15"/>
        <v>0</v>
      </c>
    </row>
    <row r="248" spans="1:13" x14ac:dyDescent="0.35">
      <c r="A248" s="12" t="str">
        <f>tblComponents[Component_ID]</f>
        <v>C247</v>
      </c>
      <c r="B248" s="12" t="str">
        <f>tblComponents[Component_Name]</f>
        <v>Component 247</v>
      </c>
      <c r="C248" t="str">
        <f>tblComponents[Product_Family]</f>
        <v>Chassis</v>
      </c>
      <c r="D248" t="str">
        <f>tblComponents[Sourcing_Type]</f>
        <v>Make</v>
      </c>
      <c r="E248" t="str">
        <f>tblComponents[Criticality]</f>
        <v>High</v>
      </c>
      <c r="F248">
        <f>tblComponents[Forecast_Demand]</f>
        <v>267</v>
      </c>
      <c r="G248">
        <f>tblComponents[Opening_Inventory]</f>
        <v>5629</v>
      </c>
      <c r="H248">
        <f>tblComponents[Safety_Stock]</f>
        <v>763</v>
      </c>
      <c r="I248">
        <f t="shared" si="12"/>
        <v>0</v>
      </c>
      <c r="J248" s="15">
        <f>tblComponents[Defect_Rate]</f>
        <v>1.9400000000000001E-2</v>
      </c>
      <c r="K248">
        <f t="shared" si="13"/>
        <v>0</v>
      </c>
      <c r="L248" t="str">
        <f t="shared" si="14"/>
        <v>Production</v>
      </c>
      <c r="M248">
        <f t="shared" si="15"/>
        <v>0</v>
      </c>
    </row>
    <row r="249" spans="1:13" x14ac:dyDescent="0.35">
      <c r="A249" s="12" t="str">
        <f>tblComponents[Component_ID]</f>
        <v>C248</v>
      </c>
      <c r="B249" s="12" t="str">
        <f>tblComponents[Component_Name]</f>
        <v>Component 248</v>
      </c>
      <c r="C249" t="str">
        <f>tblComponents[Product_Family]</f>
        <v>Powertrain</v>
      </c>
      <c r="D249" t="str">
        <f>tblComponents[Sourcing_Type]</f>
        <v>Make</v>
      </c>
      <c r="E249" t="str">
        <f>tblComponents[Criticality]</f>
        <v>High</v>
      </c>
      <c r="F249">
        <f>tblComponents[Forecast_Demand]</f>
        <v>989</v>
      </c>
      <c r="G249">
        <f>tblComponents[Opening_Inventory]</f>
        <v>3743</v>
      </c>
      <c r="H249">
        <f>tblComponents[Safety_Stock]</f>
        <v>469</v>
      </c>
      <c r="I249">
        <f t="shared" si="12"/>
        <v>0</v>
      </c>
      <c r="J249" s="15">
        <f>tblComponents[Defect_Rate]</f>
        <v>2.29E-2</v>
      </c>
      <c r="K249">
        <f t="shared" si="13"/>
        <v>0</v>
      </c>
      <c r="L249" t="str">
        <f t="shared" si="14"/>
        <v>Production</v>
      </c>
      <c r="M249">
        <f t="shared" si="15"/>
        <v>0</v>
      </c>
    </row>
    <row r="250" spans="1:13" x14ac:dyDescent="0.35">
      <c r="A250" s="12" t="str">
        <f>tblComponents[Component_ID]</f>
        <v>C249</v>
      </c>
      <c r="B250" s="12" t="str">
        <f>tblComponents[Component_Name]</f>
        <v>Component 249</v>
      </c>
      <c r="C250" t="str">
        <f>tblComponents[Product_Family]</f>
        <v>Body &amp; Exterior</v>
      </c>
      <c r="D250" t="str">
        <f>tblComponents[Sourcing_Type]</f>
        <v>Make</v>
      </c>
      <c r="E250" t="str">
        <f>tblComponents[Criticality]</f>
        <v>Medium</v>
      </c>
      <c r="F250">
        <f>tblComponents[Forecast_Demand]</f>
        <v>507</v>
      </c>
      <c r="G250">
        <f>tblComponents[Opening_Inventory]</f>
        <v>2392</v>
      </c>
      <c r="H250">
        <f>tblComponents[Safety_Stock]</f>
        <v>965</v>
      </c>
      <c r="I250">
        <f t="shared" si="12"/>
        <v>0</v>
      </c>
      <c r="J250" s="15">
        <f>tblComponents[Defect_Rate]</f>
        <v>8.3999999999999995E-3</v>
      </c>
      <c r="K250">
        <f t="shared" si="13"/>
        <v>0</v>
      </c>
      <c r="L250" t="str">
        <f t="shared" si="14"/>
        <v>Production</v>
      </c>
      <c r="M250">
        <f t="shared" si="15"/>
        <v>0</v>
      </c>
    </row>
    <row r="251" spans="1:13" x14ac:dyDescent="0.35">
      <c r="A251" s="12" t="str">
        <f>tblComponents[Component_ID]</f>
        <v>C250</v>
      </c>
      <c r="B251" s="12" t="str">
        <f>tblComponents[Component_Name]</f>
        <v>Component 250</v>
      </c>
      <c r="C251" t="str">
        <f>tblComponents[Product_Family]</f>
        <v>Interior</v>
      </c>
      <c r="D251" t="str">
        <f>tblComponents[Sourcing_Type]</f>
        <v>Make</v>
      </c>
      <c r="E251" t="str">
        <f>tblComponents[Criticality]</f>
        <v>Medium</v>
      </c>
      <c r="F251">
        <f>tblComponents[Forecast_Demand]</f>
        <v>747</v>
      </c>
      <c r="G251">
        <f>tblComponents[Opening_Inventory]</f>
        <v>11240</v>
      </c>
      <c r="H251">
        <f>tblComponents[Safety_Stock]</f>
        <v>1138</v>
      </c>
      <c r="I251">
        <f t="shared" si="12"/>
        <v>0</v>
      </c>
      <c r="J251" s="15">
        <f>tblComponents[Defect_Rate]</f>
        <v>2.0299999999999999E-2</v>
      </c>
      <c r="K251">
        <f t="shared" si="13"/>
        <v>0</v>
      </c>
      <c r="L251" t="str">
        <f t="shared" si="14"/>
        <v>Production</v>
      </c>
      <c r="M251">
        <f t="shared" si="15"/>
        <v>0</v>
      </c>
    </row>
    <row r="252" spans="1:13" x14ac:dyDescent="0.35">
      <c r="A252" s="12" t="str">
        <f>tblComponents[Component_ID]</f>
        <v>C251</v>
      </c>
      <c r="B252" s="12" t="str">
        <f>tblComponents[Component_Name]</f>
        <v>Component 251</v>
      </c>
      <c r="C252" t="str">
        <f>tblComponents[Product_Family]</f>
        <v>Chassis</v>
      </c>
      <c r="D252" t="str">
        <f>tblComponents[Sourcing_Type]</f>
        <v>Make</v>
      </c>
      <c r="E252" t="str">
        <f>tblComponents[Criticality]</f>
        <v>Medium</v>
      </c>
      <c r="F252">
        <f>tblComponents[Forecast_Demand]</f>
        <v>1775</v>
      </c>
      <c r="G252">
        <f>tblComponents[Opening_Inventory]</f>
        <v>1843</v>
      </c>
      <c r="H252">
        <f>tblComponents[Safety_Stock]</f>
        <v>731</v>
      </c>
      <c r="I252">
        <f t="shared" si="12"/>
        <v>663</v>
      </c>
      <c r="J252" s="15">
        <f>tblComponents[Defect_Rate]</f>
        <v>1.8599999999999998E-2</v>
      </c>
      <c r="K252">
        <f t="shared" si="13"/>
        <v>675.56551864683104</v>
      </c>
      <c r="L252" t="str">
        <f t="shared" si="14"/>
        <v>Production</v>
      </c>
      <c r="M252">
        <f t="shared" si="15"/>
        <v>675.56551864683104</v>
      </c>
    </row>
    <row r="253" spans="1:13" x14ac:dyDescent="0.35">
      <c r="A253" s="12" t="str">
        <f>tblComponents[Component_ID]</f>
        <v>C252</v>
      </c>
      <c r="B253" s="12" t="str">
        <f>tblComponents[Component_Name]</f>
        <v>Component 252</v>
      </c>
      <c r="C253" t="str">
        <f>tblComponents[Product_Family]</f>
        <v>Powertrain</v>
      </c>
      <c r="D253" t="str">
        <f>tblComponents[Sourcing_Type]</f>
        <v>Make</v>
      </c>
      <c r="E253" t="str">
        <f>tblComponents[Criticality]</f>
        <v>Low</v>
      </c>
      <c r="F253">
        <f>tblComponents[Forecast_Demand]</f>
        <v>747</v>
      </c>
      <c r="G253">
        <f>tblComponents[Opening_Inventory]</f>
        <v>4751</v>
      </c>
      <c r="H253">
        <f>tblComponents[Safety_Stock]</f>
        <v>626</v>
      </c>
      <c r="I253">
        <f t="shared" si="12"/>
        <v>0</v>
      </c>
      <c r="J253" s="15">
        <f>tblComponents[Defect_Rate]</f>
        <v>4.5999999999999999E-3</v>
      </c>
      <c r="K253">
        <f t="shared" si="13"/>
        <v>0</v>
      </c>
      <c r="L253" t="str">
        <f t="shared" si="14"/>
        <v>Production</v>
      </c>
      <c r="M253">
        <f t="shared" si="15"/>
        <v>0</v>
      </c>
    </row>
    <row r="254" spans="1:13" x14ac:dyDescent="0.35">
      <c r="A254" s="12" t="str">
        <f>tblComponents[Component_ID]</f>
        <v>C253</v>
      </c>
      <c r="B254" s="12" t="str">
        <f>tblComponents[Component_Name]</f>
        <v>Component 253</v>
      </c>
      <c r="C254" t="str">
        <f>tblComponents[Product_Family]</f>
        <v>Body &amp; Exterior</v>
      </c>
      <c r="D254" t="str">
        <f>tblComponents[Sourcing_Type]</f>
        <v>Make</v>
      </c>
      <c r="E254" t="str">
        <f>tblComponents[Criticality]</f>
        <v>High</v>
      </c>
      <c r="F254">
        <f>tblComponents[Forecast_Demand]</f>
        <v>499</v>
      </c>
      <c r="G254">
        <f>tblComponents[Opening_Inventory]</f>
        <v>2489</v>
      </c>
      <c r="H254">
        <f>tblComponents[Safety_Stock]</f>
        <v>339</v>
      </c>
      <c r="I254">
        <f t="shared" si="12"/>
        <v>0</v>
      </c>
      <c r="J254" s="15">
        <f>tblComponents[Defect_Rate]</f>
        <v>1.46E-2</v>
      </c>
      <c r="K254">
        <f t="shared" si="13"/>
        <v>0</v>
      </c>
      <c r="L254" t="str">
        <f t="shared" si="14"/>
        <v>Production</v>
      </c>
      <c r="M254">
        <f t="shared" si="15"/>
        <v>0</v>
      </c>
    </row>
    <row r="255" spans="1:13" x14ac:dyDescent="0.35">
      <c r="A255" s="12" t="str">
        <f>tblComponents[Component_ID]</f>
        <v>C254</v>
      </c>
      <c r="B255" s="12" t="str">
        <f>tblComponents[Component_Name]</f>
        <v>Component 254</v>
      </c>
      <c r="C255" t="str">
        <f>tblComponents[Product_Family]</f>
        <v>Powertrain</v>
      </c>
      <c r="D255" t="str">
        <f>tblComponents[Sourcing_Type]</f>
        <v>Make</v>
      </c>
      <c r="E255" t="str">
        <f>tblComponents[Criticality]</f>
        <v>Medium</v>
      </c>
      <c r="F255">
        <f>tblComponents[Forecast_Demand]</f>
        <v>1268</v>
      </c>
      <c r="G255">
        <f>tblComponents[Opening_Inventory]</f>
        <v>7038</v>
      </c>
      <c r="H255">
        <f>tblComponents[Safety_Stock]</f>
        <v>1346</v>
      </c>
      <c r="I255">
        <f t="shared" si="12"/>
        <v>0</v>
      </c>
      <c r="J255" s="15">
        <f>tblComponents[Defect_Rate]</f>
        <v>6.0000000000000001E-3</v>
      </c>
      <c r="K255">
        <f t="shared" si="13"/>
        <v>0</v>
      </c>
      <c r="L255" t="str">
        <f t="shared" si="14"/>
        <v>Production</v>
      </c>
      <c r="M255">
        <f t="shared" si="15"/>
        <v>0</v>
      </c>
    </row>
    <row r="256" spans="1:13" x14ac:dyDescent="0.35">
      <c r="A256" s="12" t="str">
        <f>tblComponents[Component_ID]</f>
        <v>C255</v>
      </c>
      <c r="B256" s="12" t="str">
        <f>tblComponents[Component_Name]</f>
        <v>Component 255</v>
      </c>
      <c r="C256" t="str">
        <f>tblComponents[Product_Family]</f>
        <v>Chassis</v>
      </c>
      <c r="D256" t="str">
        <f>tblComponents[Sourcing_Type]</f>
        <v>Make</v>
      </c>
      <c r="E256" t="str">
        <f>tblComponents[Criticality]</f>
        <v>Low</v>
      </c>
      <c r="F256">
        <f>tblComponents[Forecast_Demand]</f>
        <v>475</v>
      </c>
      <c r="G256">
        <f>tblComponents[Opening_Inventory]</f>
        <v>6352</v>
      </c>
      <c r="H256">
        <f>tblComponents[Safety_Stock]</f>
        <v>1727</v>
      </c>
      <c r="I256">
        <f t="shared" si="12"/>
        <v>0</v>
      </c>
      <c r="J256" s="15">
        <f>tblComponents[Defect_Rate]</f>
        <v>1.2200000000000001E-2</v>
      </c>
      <c r="K256">
        <f t="shared" si="13"/>
        <v>0</v>
      </c>
      <c r="L256" t="str">
        <f t="shared" si="14"/>
        <v>Production</v>
      </c>
      <c r="M256">
        <f t="shared" si="15"/>
        <v>0</v>
      </c>
    </row>
    <row r="257" spans="1:13" x14ac:dyDescent="0.35">
      <c r="A257" s="12" t="str">
        <f>tblComponents[Component_ID]</f>
        <v>C256</v>
      </c>
      <c r="B257" s="12" t="str">
        <f>tblComponents[Component_Name]</f>
        <v>Component 256</v>
      </c>
      <c r="C257" t="str">
        <f>tblComponents[Product_Family]</f>
        <v>Interior</v>
      </c>
      <c r="D257" t="str">
        <f>tblComponents[Sourcing_Type]</f>
        <v>Make</v>
      </c>
      <c r="E257" t="str">
        <f>tblComponents[Criticality]</f>
        <v>Low</v>
      </c>
      <c r="F257">
        <f>tblComponents[Forecast_Demand]</f>
        <v>840</v>
      </c>
      <c r="G257">
        <f>tblComponents[Opening_Inventory]</f>
        <v>6346</v>
      </c>
      <c r="H257">
        <f>tblComponents[Safety_Stock]</f>
        <v>730</v>
      </c>
      <c r="I257">
        <f t="shared" si="12"/>
        <v>0</v>
      </c>
      <c r="J257" s="15">
        <f>tblComponents[Defect_Rate]</f>
        <v>3.0000000000000001E-3</v>
      </c>
      <c r="K257">
        <f t="shared" si="13"/>
        <v>0</v>
      </c>
      <c r="L257" t="str">
        <f t="shared" si="14"/>
        <v>Production</v>
      </c>
      <c r="M257">
        <f t="shared" si="15"/>
        <v>0</v>
      </c>
    </row>
    <row r="258" spans="1:13" x14ac:dyDescent="0.35">
      <c r="A258" s="12" t="str">
        <f>tblComponents[Component_ID]</f>
        <v>C257</v>
      </c>
      <c r="B258" s="12" t="str">
        <f>tblComponents[Component_Name]</f>
        <v>Component 257</v>
      </c>
      <c r="C258" t="str">
        <f>tblComponents[Product_Family]</f>
        <v>Interior</v>
      </c>
      <c r="D258" t="str">
        <f>tblComponents[Sourcing_Type]</f>
        <v>Make</v>
      </c>
      <c r="E258" t="str">
        <f>tblComponents[Criticality]</f>
        <v>Low</v>
      </c>
      <c r="F258">
        <f>tblComponents[Forecast_Demand]</f>
        <v>1620</v>
      </c>
      <c r="G258">
        <f>tblComponents[Opening_Inventory]</f>
        <v>3101</v>
      </c>
      <c r="H258">
        <f>tblComponents[Safety_Stock]</f>
        <v>1794</v>
      </c>
      <c r="I258">
        <f t="shared" si="12"/>
        <v>313</v>
      </c>
      <c r="J258" s="15">
        <f>tblComponents[Defect_Rate]</f>
        <v>1.12E-2</v>
      </c>
      <c r="K258">
        <f t="shared" si="13"/>
        <v>316.54530744336569</v>
      </c>
      <c r="L258" t="str">
        <f t="shared" si="14"/>
        <v>Production</v>
      </c>
      <c r="M258">
        <f t="shared" si="15"/>
        <v>316.54530744336569</v>
      </c>
    </row>
    <row r="259" spans="1:13" x14ac:dyDescent="0.35">
      <c r="A259" s="12" t="str">
        <f>tblComponents[Component_ID]</f>
        <v>C258</v>
      </c>
      <c r="B259" s="12" t="str">
        <f>tblComponents[Component_Name]</f>
        <v>Component 258</v>
      </c>
      <c r="C259" t="str">
        <f>tblComponents[Product_Family]</f>
        <v>Powertrain</v>
      </c>
      <c r="D259" t="str">
        <f>tblComponents[Sourcing_Type]</f>
        <v>Make</v>
      </c>
      <c r="E259" t="str">
        <f>tblComponents[Criticality]</f>
        <v>Low</v>
      </c>
      <c r="F259">
        <f>tblComponents[Forecast_Demand]</f>
        <v>1419</v>
      </c>
      <c r="G259">
        <f>tblComponents[Opening_Inventory]</f>
        <v>5114</v>
      </c>
      <c r="H259">
        <f>tblComponents[Safety_Stock]</f>
        <v>1718</v>
      </c>
      <c r="I259">
        <f t="shared" ref="I259:I322" si="16">MAX(0,F259+H259-G259)</f>
        <v>0</v>
      </c>
      <c r="J259" s="15">
        <f>tblComponents[Defect_Rate]</f>
        <v>1.46E-2</v>
      </c>
      <c r="K259">
        <f t="shared" ref="K259:K322" si="17">IFERROR(I259/(1-J259),0)</f>
        <v>0</v>
      </c>
      <c r="L259" t="str">
        <f t="shared" ref="L259:L322" si="18">IF(D259="Make","Production","Procurement")</f>
        <v>Production</v>
      </c>
      <c r="M259">
        <f t="shared" ref="M259:M322" si="19">K259</f>
        <v>0</v>
      </c>
    </row>
    <row r="260" spans="1:13" x14ac:dyDescent="0.35">
      <c r="A260" s="12" t="str">
        <f>tblComponents[Component_ID]</f>
        <v>C259</v>
      </c>
      <c r="B260" s="12" t="str">
        <f>tblComponents[Component_Name]</f>
        <v>Component 259</v>
      </c>
      <c r="C260" t="str">
        <f>tblComponents[Product_Family]</f>
        <v>Chassis</v>
      </c>
      <c r="D260" t="str">
        <f>tblComponents[Sourcing_Type]</f>
        <v>Make</v>
      </c>
      <c r="E260" t="str">
        <f>tblComponents[Criticality]</f>
        <v>Low</v>
      </c>
      <c r="F260">
        <f>tblComponents[Forecast_Demand]</f>
        <v>868</v>
      </c>
      <c r="G260">
        <f>tblComponents[Opening_Inventory]</f>
        <v>5919</v>
      </c>
      <c r="H260">
        <f>tblComponents[Safety_Stock]</f>
        <v>1201</v>
      </c>
      <c r="I260">
        <f t="shared" si="16"/>
        <v>0</v>
      </c>
      <c r="J260" s="15">
        <f>tblComponents[Defect_Rate]</f>
        <v>1.6299999999999999E-2</v>
      </c>
      <c r="K260">
        <f t="shared" si="17"/>
        <v>0</v>
      </c>
      <c r="L260" t="str">
        <f t="shared" si="18"/>
        <v>Production</v>
      </c>
      <c r="M260">
        <f t="shared" si="19"/>
        <v>0</v>
      </c>
    </row>
    <row r="261" spans="1:13" x14ac:dyDescent="0.35">
      <c r="A261" s="12" t="str">
        <f>tblComponents[Component_ID]</f>
        <v>C260</v>
      </c>
      <c r="B261" s="12" t="str">
        <f>tblComponents[Component_Name]</f>
        <v>Component 260</v>
      </c>
      <c r="C261" t="str">
        <f>tblComponents[Product_Family]</f>
        <v>Body &amp; Exterior</v>
      </c>
      <c r="D261" t="str">
        <f>tblComponents[Sourcing_Type]</f>
        <v>Make</v>
      </c>
      <c r="E261" t="str">
        <f>tblComponents[Criticality]</f>
        <v>High</v>
      </c>
      <c r="F261">
        <f>tblComponents[Forecast_Demand]</f>
        <v>616</v>
      </c>
      <c r="G261">
        <f>tblComponents[Opening_Inventory]</f>
        <v>3640</v>
      </c>
      <c r="H261">
        <f>tblComponents[Safety_Stock]</f>
        <v>440</v>
      </c>
      <c r="I261">
        <f t="shared" si="16"/>
        <v>0</v>
      </c>
      <c r="J261" s="15">
        <f>tblComponents[Defect_Rate]</f>
        <v>1.7299999999999999E-2</v>
      </c>
      <c r="K261">
        <f t="shared" si="17"/>
        <v>0</v>
      </c>
      <c r="L261" t="str">
        <f t="shared" si="18"/>
        <v>Production</v>
      </c>
      <c r="M261">
        <f t="shared" si="19"/>
        <v>0</v>
      </c>
    </row>
    <row r="262" spans="1:13" x14ac:dyDescent="0.35">
      <c r="A262" s="12" t="str">
        <f>tblComponents[Component_ID]</f>
        <v>C261</v>
      </c>
      <c r="B262" s="12" t="str">
        <f>tblComponents[Component_Name]</f>
        <v>Component 261</v>
      </c>
      <c r="C262" t="str">
        <f>tblComponents[Product_Family]</f>
        <v>Interior</v>
      </c>
      <c r="D262" t="str">
        <f>tblComponents[Sourcing_Type]</f>
        <v>Make</v>
      </c>
      <c r="E262" t="str">
        <f>tblComponents[Criticality]</f>
        <v>Medium</v>
      </c>
      <c r="F262">
        <f>tblComponents[Forecast_Demand]</f>
        <v>893</v>
      </c>
      <c r="G262">
        <f>tblComponents[Opening_Inventory]</f>
        <v>4666</v>
      </c>
      <c r="H262">
        <f>tblComponents[Safety_Stock]</f>
        <v>1076</v>
      </c>
      <c r="I262">
        <f t="shared" si="16"/>
        <v>0</v>
      </c>
      <c r="J262" s="15">
        <f>tblComponents[Defect_Rate]</f>
        <v>2.6499999999999999E-2</v>
      </c>
      <c r="K262">
        <f t="shared" si="17"/>
        <v>0</v>
      </c>
      <c r="L262" t="str">
        <f t="shared" si="18"/>
        <v>Production</v>
      </c>
      <c r="M262">
        <f t="shared" si="19"/>
        <v>0</v>
      </c>
    </row>
    <row r="263" spans="1:13" x14ac:dyDescent="0.35">
      <c r="A263" s="12" t="str">
        <f>tblComponents[Component_ID]</f>
        <v>C262</v>
      </c>
      <c r="B263" s="12" t="str">
        <f>tblComponents[Component_Name]</f>
        <v>Component 262</v>
      </c>
      <c r="C263" t="str">
        <f>tblComponents[Product_Family]</f>
        <v>Powertrain</v>
      </c>
      <c r="D263" t="str">
        <f>tblComponents[Sourcing_Type]</f>
        <v>Make</v>
      </c>
      <c r="E263" t="str">
        <f>tblComponents[Criticality]</f>
        <v>High</v>
      </c>
      <c r="F263">
        <f>tblComponents[Forecast_Demand]</f>
        <v>971</v>
      </c>
      <c r="G263">
        <f>tblComponents[Opening_Inventory]</f>
        <v>1955</v>
      </c>
      <c r="H263">
        <f>tblComponents[Safety_Stock]</f>
        <v>967</v>
      </c>
      <c r="I263">
        <f t="shared" si="16"/>
        <v>0</v>
      </c>
      <c r="J263" s="15">
        <f>tblComponents[Defect_Rate]</f>
        <v>8.0000000000000002E-3</v>
      </c>
      <c r="K263">
        <f t="shared" si="17"/>
        <v>0</v>
      </c>
      <c r="L263" t="str">
        <f t="shared" si="18"/>
        <v>Production</v>
      </c>
      <c r="M263">
        <f t="shared" si="19"/>
        <v>0</v>
      </c>
    </row>
    <row r="264" spans="1:13" x14ac:dyDescent="0.35">
      <c r="A264" s="12" t="str">
        <f>tblComponents[Component_ID]</f>
        <v>C263</v>
      </c>
      <c r="B264" s="12" t="str">
        <f>tblComponents[Component_Name]</f>
        <v>Component 263</v>
      </c>
      <c r="C264" t="str">
        <f>tblComponents[Product_Family]</f>
        <v>Powertrain</v>
      </c>
      <c r="D264" t="str">
        <f>tblComponents[Sourcing_Type]</f>
        <v>Make</v>
      </c>
      <c r="E264" t="str">
        <f>tblComponents[Criticality]</f>
        <v>High</v>
      </c>
      <c r="F264">
        <f>tblComponents[Forecast_Demand]</f>
        <v>1742</v>
      </c>
      <c r="G264">
        <f>tblComponents[Opening_Inventory]</f>
        <v>4113</v>
      </c>
      <c r="H264">
        <f>tblComponents[Safety_Stock]</f>
        <v>619</v>
      </c>
      <c r="I264">
        <f t="shared" si="16"/>
        <v>0</v>
      </c>
      <c r="J264" s="15">
        <f>tblComponents[Defect_Rate]</f>
        <v>4.7999999999999996E-3</v>
      </c>
      <c r="K264">
        <f t="shared" si="17"/>
        <v>0</v>
      </c>
      <c r="L264" t="str">
        <f t="shared" si="18"/>
        <v>Production</v>
      </c>
      <c r="M264">
        <f t="shared" si="19"/>
        <v>0</v>
      </c>
    </row>
    <row r="265" spans="1:13" x14ac:dyDescent="0.35">
      <c r="A265" s="12" t="str">
        <f>tblComponents[Component_ID]</f>
        <v>C264</v>
      </c>
      <c r="B265" s="12" t="str">
        <f>tblComponents[Component_Name]</f>
        <v>Component 264</v>
      </c>
      <c r="C265" t="str">
        <f>tblComponents[Product_Family]</f>
        <v>Body &amp; Exterior</v>
      </c>
      <c r="D265" t="str">
        <f>tblComponents[Sourcing_Type]</f>
        <v>Make</v>
      </c>
      <c r="E265" t="str">
        <f>tblComponents[Criticality]</f>
        <v>Medium</v>
      </c>
      <c r="F265">
        <f>tblComponents[Forecast_Demand]</f>
        <v>1297</v>
      </c>
      <c r="G265">
        <f>tblComponents[Opening_Inventory]</f>
        <v>2820</v>
      </c>
      <c r="H265">
        <f>tblComponents[Safety_Stock]</f>
        <v>282</v>
      </c>
      <c r="I265">
        <f t="shared" si="16"/>
        <v>0</v>
      </c>
      <c r="J265" s="15">
        <f>tblComponents[Defect_Rate]</f>
        <v>2.1600000000000001E-2</v>
      </c>
      <c r="K265">
        <f t="shared" si="17"/>
        <v>0</v>
      </c>
      <c r="L265" t="str">
        <f t="shared" si="18"/>
        <v>Production</v>
      </c>
      <c r="M265">
        <f t="shared" si="19"/>
        <v>0</v>
      </c>
    </row>
    <row r="266" spans="1:13" x14ac:dyDescent="0.35">
      <c r="A266" s="12" t="str">
        <f>tblComponents[Component_ID]</f>
        <v>C265</v>
      </c>
      <c r="B266" s="12" t="str">
        <f>tblComponents[Component_Name]</f>
        <v>Component 265</v>
      </c>
      <c r="C266" t="str">
        <f>tblComponents[Product_Family]</f>
        <v>Interior</v>
      </c>
      <c r="D266" t="str">
        <f>tblComponents[Sourcing_Type]</f>
        <v>Make</v>
      </c>
      <c r="E266" t="str">
        <f>tblComponents[Criticality]</f>
        <v>Medium</v>
      </c>
      <c r="F266">
        <f>tblComponents[Forecast_Demand]</f>
        <v>2127</v>
      </c>
      <c r="G266">
        <f>tblComponents[Opening_Inventory]</f>
        <v>2945</v>
      </c>
      <c r="H266">
        <f>tblComponents[Safety_Stock]</f>
        <v>794</v>
      </c>
      <c r="I266">
        <f t="shared" si="16"/>
        <v>0</v>
      </c>
      <c r="J266" s="15">
        <f>tblComponents[Defect_Rate]</f>
        <v>5.5999999999999999E-3</v>
      </c>
      <c r="K266">
        <f t="shared" si="17"/>
        <v>0</v>
      </c>
      <c r="L266" t="str">
        <f t="shared" si="18"/>
        <v>Production</v>
      </c>
      <c r="M266">
        <f t="shared" si="19"/>
        <v>0</v>
      </c>
    </row>
    <row r="267" spans="1:13" x14ac:dyDescent="0.35">
      <c r="A267" s="12" t="str">
        <f>tblComponents[Component_ID]</f>
        <v>C266</v>
      </c>
      <c r="B267" s="12" t="str">
        <f>tblComponents[Component_Name]</f>
        <v>Component 266</v>
      </c>
      <c r="C267" t="str">
        <f>tblComponents[Product_Family]</f>
        <v>Powertrain</v>
      </c>
      <c r="D267" t="str">
        <f>tblComponents[Sourcing_Type]</f>
        <v>Make</v>
      </c>
      <c r="E267" t="str">
        <f>tblComponents[Criticality]</f>
        <v>Medium</v>
      </c>
      <c r="F267">
        <f>tblComponents[Forecast_Demand]</f>
        <v>151</v>
      </c>
      <c r="G267">
        <f>tblComponents[Opening_Inventory]</f>
        <v>5404</v>
      </c>
      <c r="H267">
        <f>tblComponents[Safety_Stock]</f>
        <v>1268</v>
      </c>
      <c r="I267">
        <f t="shared" si="16"/>
        <v>0</v>
      </c>
      <c r="J267" s="15">
        <f>tblComponents[Defect_Rate]</f>
        <v>3.0499999999999999E-2</v>
      </c>
      <c r="K267">
        <f t="shared" si="17"/>
        <v>0</v>
      </c>
      <c r="L267" t="str">
        <f t="shared" si="18"/>
        <v>Production</v>
      </c>
      <c r="M267">
        <f t="shared" si="19"/>
        <v>0</v>
      </c>
    </row>
    <row r="268" spans="1:13" x14ac:dyDescent="0.35">
      <c r="A268" s="12" t="str">
        <f>tblComponents[Component_ID]</f>
        <v>C267</v>
      </c>
      <c r="B268" s="12" t="str">
        <f>tblComponents[Component_Name]</f>
        <v>Component 267</v>
      </c>
      <c r="C268" t="str">
        <f>tblComponents[Product_Family]</f>
        <v>Chassis</v>
      </c>
      <c r="D268" t="str">
        <f>tblComponents[Sourcing_Type]</f>
        <v>Make</v>
      </c>
      <c r="E268" t="str">
        <f>tblComponents[Criticality]</f>
        <v>Medium</v>
      </c>
      <c r="F268">
        <f>tblComponents[Forecast_Demand]</f>
        <v>904</v>
      </c>
      <c r="G268">
        <f>tblComponents[Opening_Inventory]</f>
        <v>6321</v>
      </c>
      <c r="H268">
        <f>tblComponents[Safety_Stock]</f>
        <v>554</v>
      </c>
      <c r="I268">
        <f t="shared" si="16"/>
        <v>0</v>
      </c>
      <c r="J268" s="15">
        <f>tblComponents[Defect_Rate]</f>
        <v>2.6700000000000002E-2</v>
      </c>
      <c r="K268">
        <f t="shared" si="17"/>
        <v>0</v>
      </c>
      <c r="L268" t="str">
        <f t="shared" si="18"/>
        <v>Production</v>
      </c>
      <c r="M268">
        <f t="shared" si="19"/>
        <v>0</v>
      </c>
    </row>
    <row r="269" spans="1:13" x14ac:dyDescent="0.35">
      <c r="A269" s="12" t="str">
        <f>tblComponents[Component_ID]</f>
        <v>C268</v>
      </c>
      <c r="B269" s="12" t="str">
        <f>tblComponents[Component_Name]</f>
        <v>Component 268</v>
      </c>
      <c r="C269" t="str">
        <f>tblComponents[Product_Family]</f>
        <v>Body &amp; Exterior</v>
      </c>
      <c r="D269" t="str">
        <f>tblComponents[Sourcing_Type]</f>
        <v>Make</v>
      </c>
      <c r="E269" t="str">
        <f>tblComponents[Criticality]</f>
        <v>Medium</v>
      </c>
      <c r="F269">
        <f>tblComponents[Forecast_Demand]</f>
        <v>304</v>
      </c>
      <c r="G269">
        <f>tblComponents[Opening_Inventory]</f>
        <v>2810</v>
      </c>
      <c r="H269">
        <f>tblComponents[Safety_Stock]</f>
        <v>953</v>
      </c>
      <c r="I269">
        <f t="shared" si="16"/>
        <v>0</v>
      </c>
      <c r="J269" s="15">
        <f>tblComponents[Defect_Rate]</f>
        <v>1.35E-2</v>
      </c>
      <c r="K269">
        <f t="shared" si="17"/>
        <v>0</v>
      </c>
      <c r="L269" t="str">
        <f t="shared" si="18"/>
        <v>Production</v>
      </c>
      <c r="M269">
        <f t="shared" si="19"/>
        <v>0</v>
      </c>
    </row>
    <row r="270" spans="1:13" x14ac:dyDescent="0.35">
      <c r="A270" s="12" t="str">
        <f>tblComponents[Component_ID]</f>
        <v>C269</v>
      </c>
      <c r="B270" s="12" t="str">
        <f>tblComponents[Component_Name]</f>
        <v>Component 269</v>
      </c>
      <c r="C270" t="str">
        <f>tblComponents[Product_Family]</f>
        <v>Powertrain</v>
      </c>
      <c r="D270" t="str">
        <f>tblComponents[Sourcing_Type]</f>
        <v>Make</v>
      </c>
      <c r="E270" t="str">
        <f>tblComponents[Criticality]</f>
        <v>Medium</v>
      </c>
      <c r="F270">
        <f>tblComponents[Forecast_Demand]</f>
        <v>1534</v>
      </c>
      <c r="G270">
        <f>tblComponents[Opening_Inventory]</f>
        <v>5047</v>
      </c>
      <c r="H270">
        <f>tblComponents[Safety_Stock]</f>
        <v>738</v>
      </c>
      <c r="I270">
        <f t="shared" si="16"/>
        <v>0</v>
      </c>
      <c r="J270" s="15">
        <f>tblComponents[Defect_Rate]</f>
        <v>3.0700000000000002E-2</v>
      </c>
      <c r="K270">
        <f t="shared" si="17"/>
        <v>0</v>
      </c>
      <c r="L270" t="str">
        <f t="shared" si="18"/>
        <v>Production</v>
      </c>
      <c r="M270">
        <f t="shared" si="19"/>
        <v>0</v>
      </c>
    </row>
    <row r="271" spans="1:13" x14ac:dyDescent="0.35">
      <c r="A271" s="12" t="str">
        <f>tblComponents[Component_ID]</f>
        <v>C270</v>
      </c>
      <c r="B271" s="12" t="str">
        <f>tblComponents[Component_Name]</f>
        <v>Component 270</v>
      </c>
      <c r="C271" t="str">
        <f>tblComponents[Product_Family]</f>
        <v>Chassis</v>
      </c>
      <c r="D271" t="str">
        <f>tblComponents[Sourcing_Type]</f>
        <v>Make</v>
      </c>
      <c r="E271" t="str">
        <f>tblComponents[Criticality]</f>
        <v>Medium</v>
      </c>
      <c r="F271">
        <f>tblComponents[Forecast_Demand]</f>
        <v>729</v>
      </c>
      <c r="G271">
        <f>tblComponents[Opening_Inventory]</f>
        <v>5290</v>
      </c>
      <c r="H271">
        <f>tblComponents[Safety_Stock]</f>
        <v>1044</v>
      </c>
      <c r="I271">
        <f t="shared" si="16"/>
        <v>0</v>
      </c>
      <c r="J271" s="15">
        <f>tblComponents[Defect_Rate]</f>
        <v>4.1999999999999997E-3</v>
      </c>
      <c r="K271">
        <f t="shared" si="17"/>
        <v>0</v>
      </c>
      <c r="L271" t="str">
        <f t="shared" si="18"/>
        <v>Production</v>
      </c>
      <c r="M271">
        <f t="shared" si="19"/>
        <v>0</v>
      </c>
    </row>
    <row r="272" spans="1:13" x14ac:dyDescent="0.35">
      <c r="A272" s="12" t="str">
        <f>tblComponents[Component_ID]</f>
        <v>C271</v>
      </c>
      <c r="B272" s="12" t="str">
        <f>tblComponents[Component_Name]</f>
        <v>Component 271</v>
      </c>
      <c r="C272" t="str">
        <f>tblComponents[Product_Family]</f>
        <v>Powertrain</v>
      </c>
      <c r="D272" t="str">
        <f>tblComponents[Sourcing_Type]</f>
        <v>Make</v>
      </c>
      <c r="E272" t="str">
        <f>tblComponents[Criticality]</f>
        <v>Medium</v>
      </c>
      <c r="F272">
        <f>tblComponents[Forecast_Demand]</f>
        <v>203</v>
      </c>
      <c r="G272">
        <f>tblComponents[Opening_Inventory]</f>
        <v>5557</v>
      </c>
      <c r="H272">
        <f>tblComponents[Safety_Stock]</f>
        <v>466</v>
      </c>
      <c r="I272">
        <f t="shared" si="16"/>
        <v>0</v>
      </c>
      <c r="J272" s="15">
        <f>tblComponents[Defect_Rate]</f>
        <v>1.03E-2</v>
      </c>
      <c r="K272">
        <f t="shared" si="17"/>
        <v>0</v>
      </c>
      <c r="L272" t="str">
        <f t="shared" si="18"/>
        <v>Production</v>
      </c>
      <c r="M272">
        <f t="shared" si="19"/>
        <v>0</v>
      </c>
    </row>
    <row r="273" spans="1:13" x14ac:dyDescent="0.35">
      <c r="A273" s="12" t="str">
        <f>tblComponents[Component_ID]</f>
        <v>C272</v>
      </c>
      <c r="B273" s="12" t="str">
        <f>tblComponents[Component_Name]</f>
        <v>Component 272</v>
      </c>
      <c r="C273" t="str">
        <f>tblComponents[Product_Family]</f>
        <v>Electrical Systems</v>
      </c>
      <c r="D273" t="str">
        <f>tblComponents[Sourcing_Type]</f>
        <v>Make</v>
      </c>
      <c r="E273" t="str">
        <f>tblComponents[Criticality]</f>
        <v>Low</v>
      </c>
      <c r="F273">
        <f>tblComponents[Forecast_Demand]</f>
        <v>785</v>
      </c>
      <c r="G273">
        <f>tblComponents[Opening_Inventory]</f>
        <v>5767</v>
      </c>
      <c r="H273">
        <f>tblComponents[Safety_Stock]</f>
        <v>934</v>
      </c>
      <c r="I273">
        <f t="shared" si="16"/>
        <v>0</v>
      </c>
      <c r="J273" s="15">
        <f>tblComponents[Defect_Rate]</f>
        <v>1.9199999999999998E-2</v>
      </c>
      <c r="K273">
        <f t="shared" si="17"/>
        <v>0</v>
      </c>
      <c r="L273" t="str">
        <f t="shared" si="18"/>
        <v>Production</v>
      </c>
      <c r="M273">
        <f t="shared" si="19"/>
        <v>0</v>
      </c>
    </row>
    <row r="274" spans="1:13" x14ac:dyDescent="0.35">
      <c r="A274" s="12" t="str">
        <f>tblComponents[Component_ID]</f>
        <v>C273</v>
      </c>
      <c r="B274" s="12" t="str">
        <f>tblComponents[Component_Name]</f>
        <v>Component 273</v>
      </c>
      <c r="C274" t="str">
        <f>tblComponents[Product_Family]</f>
        <v>Electrical Systems</v>
      </c>
      <c r="D274" t="str">
        <f>tblComponents[Sourcing_Type]</f>
        <v>Make</v>
      </c>
      <c r="E274" t="str">
        <f>tblComponents[Criticality]</f>
        <v>Medium</v>
      </c>
      <c r="F274">
        <f>tblComponents[Forecast_Demand]</f>
        <v>898</v>
      </c>
      <c r="G274">
        <f>tblComponents[Opening_Inventory]</f>
        <v>10139</v>
      </c>
      <c r="H274">
        <f>tblComponents[Safety_Stock]</f>
        <v>1202</v>
      </c>
      <c r="I274">
        <f t="shared" si="16"/>
        <v>0</v>
      </c>
      <c r="J274" s="15">
        <f>tblComponents[Defect_Rate]</f>
        <v>1.01E-2</v>
      </c>
      <c r="K274">
        <f t="shared" si="17"/>
        <v>0</v>
      </c>
      <c r="L274" t="str">
        <f t="shared" si="18"/>
        <v>Production</v>
      </c>
      <c r="M274">
        <f t="shared" si="19"/>
        <v>0</v>
      </c>
    </row>
    <row r="275" spans="1:13" x14ac:dyDescent="0.35">
      <c r="A275" s="12" t="str">
        <f>tblComponents[Component_ID]</f>
        <v>C274</v>
      </c>
      <c r="B275" s="12" t="str">
        <f>tblComponents[Component_Name]</f>
        <v>Component 274</v>
      </c>
      <c r="C275" t="str">
        <f>tblComponents[Product_Family]</f>
        <v>Chassis</v>
      </c>
      <c r="D275" t="str">
        <f>tblComponents[Sourcing_Type]</f>
        <v>Make</v>
      </c>
      <c r="E275" t="str">
        <f>tblComponents[Criticality]</f>
        <v>Critical</v>
      </c>
      <c r="F275">
        <f>tblComponents[Forecast_Demand]</f>
        <v>1717</v>
      </c>
      <c r="G275">
        <f>tblComponents[Opening_Inventory]</f>
        <v>4687</v>
      </c>
      <c r="H275">
        <f>tblComponents[Safety_Stock]</f>
        <v>1011</v>
      </c>
      <c r="I275">
        <f t="shared" si="16"/>
        <v>0</v>
      </c>
      <c r="J275" s="15">
        <f>tblComponents[Defect_Rate]</f>
        <v>2.3400000000000001E-2</v>
      </c>
      <c r="K275">
        <f t="shared" si="17"/>
        <v>0</v>
      </c>
      <c r="L275" t="str">
        <f t="shared" si="18"/>
        <v>Production</v>
      </c>
      <c r="M275">
        <f t="shared" si="19"/>
        <v>0</v>
      </c>
    </row>
    <row r="276" spans="1:13" x14ac:dyDescent="0.35">
      <c r="A276" s="12" t="str">
        <f>tblComponents[Component_ID]</f>
        <v>C275</v>
      </c>
      <c r="B276" s="12" t="str">
        <f>tblComponents[Component_Name]</f>
        <v>Component 275</v>
      </c>
      <c r="C276" t="str">
        <f>tblComponents[Product_Family]</f>
        <v>Body &amp; Exterior</v>
      </c>
      <c r="D276" t="str">
        <f>tblComponents[Sourcing_Type]</f>
        <v>Make</v>
      </c>
      <c r="E276" t="str">
        <f>tblComponents[Criticality]</f>
        <v>Low</v>
      </c>
      <c r="F276">
        <f>tblComponents[Forecast_Demand]</f>
        <v>1007</v>
      </c>
      <c r="G276">
        <f>tblComponents[Opening_Inventory]</f>
        <v>1316</v>
      </c>
      <c r="H276">
        <f>tblComponents[Safety_Stock]</f>
        <v>332</v>
      </c>
      <c r="I276">
        <f t="shared" si="16"/>
        <v>23</v>
      </c>
      <c r="J276" s="15">
        <f>tblComponents[Defect_Rate]</f>
        <v>4.0000000000000001E-3</v>
      </c>
      <c r="K276">
        <f t="shared" si="17"/>
        <v>23.092369477911646</v>
      </c>
      <c r="L276" t="str">
        <f t="shared" si="18"/>
        <v>Production</v>
      </c>
      <c r="M276">
        <f t="shared" si="19"/>
        <v>23.092369477911646</v>
      </c>
    </row>
    <row r="277" spans="1:13" x14ac:dyDescent="0.35">
      <c r="A277" s="12" t="str">
        <f>tblComponents[Component_ID]</f>
        <v>C276</v>
      </c>
      <c r="B277" s="12" t="str">
        <f>tblComponents[Component_Name]</f>
        <v>Component 276</v>
      </c>
      <c r="C277" t="str">
        <f>tblComponents[Product_Family]</f>
        <v>Chassis</v>
      </c>
      <c r="D277" t="str">
        <f>tblComponents[Sourcing_Type]</f>
        <v>Make</v>
      </c>
      <c r="E277" t="str">
        <f>tblComponents[Criticality]</f>
        <v>Medium</v>
      </c>
      <c r="F277">
        <f>tblComponents[Forecast_Demand]</f>
        <v>1234</v>
      </c>
      <c r="G277">
        <f>tblComponents[Opening_Inventory]</f>
        <v>2658</v>
      </c>
      <c r="H277">
        <f>tblComponents[Safety_Stock]</f>
        <v>834</v>
      </c>
      <c r="I277">
        <f t="shared" si="16"/>
        <v>0</v>
      </c>
      <c r="J277" s="15">
        <f>tblComponents[Defect_Rate]</f>
        <v>1.46E-2</v>
      </c>
      <c r="K277">
        <f t="shared" si="17"/>
        <v>0</v>
      </c>
      <c r="L277" t="str">
        <f t="shared" si="18"/>
        <v>Production</v>
      </c>
      <c r="M277">
        <f t="shared" si="19"/>
        <v>0</v>
      </c>
    </row>
    <row r="278" spans="1:13" x14ac:dyDescent="0.35">
      <c r="A278" s="12" t="str">
        <f>tblComponents[Component_ID]</f>
        <v>C277</v>
      </c>
      <c r="B278" s="12" t="str">
        <f>tblComponents[Component_Name]</f>
        <v>Component 277</v>
      </c>
      <c r="C278" t="str">
        <f>tblComponents[Product_Family]</f>
        <v>Interior</v>
      </c>
      <c r="D278" t="str">
        <f>tblComponents[Sourcing_Type]</f>
        <v>Make</v>
      </c>
      <c r="E278" t="str">
        <f>tblComponents[Criticality]</f>
        <v>Critical</v>
      </c>
      <c r="F278">
        <f>tblComponents[Forecast_Demand]</f>
        <v>1415</v>
      </c>
      <c r="G278">
        <f>tblComponents[Opening_Inventory]</f>
        <v>5529</v>
      </c>
      <c r="H278">
        <f>tblComponents[Safety_Stock]</f>
        <v>1230</v>
      </c>
      <c r="I278">
        <f t="shared" si="16"/>
        <v>0</v>
      </c>
      <c r="J278" s="15">
        <f>tblComponents[Defect_Rate]</f>
        <v>1.5599999999999999E-2</v>
      </c>
      <c r="K278">
        <f t="shared" si="17"/>
        <v>0</v>
      </c>
      <c r="L278" t="str">
        <f t="shared" si="18"/>
        <v>Production</v>
      </c>
      <c r="M278">
        <f t="shared" si="19"/>
        <v>0</v>
      </c>
    </row>
    <row r="279" spans="1:13" x14ac:dyDescent="0.35">
      <c r="A279" s="12" t="str">
        <f>tblComponents[Component_ID]</f>
        <v>C278</v>
      </c>
      <c r="B279" s="12" t="str">
        <f>tblComponents[Component_Name]</f>
        <v>Component 278</v>
      </c>
      <c r="C279" t="str">
        <f>tblComponents[Product_Family]</f>
        <v>Body &amp; Exterior</v>
      </c>
      <c r="D279" t="str">
        <f>tblComponents[Sourcing_Type]</f>
        <v>Make</v>
      </c>
      <c r="E279" t="str">
        <f>tblComponents[Criticality]</f>
        <v>Low</v>
      </c>
      <c r="F279">
        <f>tblComponents[Forecast_Demand]</f>
        <v>1192</v>
      </c>
      <c r="G279">
        <f>tblComponents[Opening_Inventory]</f>
        <v>11960</v>
      </c>
      <c r="H279">
        <f>tblComponents[Safety_Stock]</f>
        <v>1753</v>
      </c>
      <c r="I279">
        <f t="shared" si="16"/>
        <v>0</v>
      </c>
      <c r="J279" s="15">
        <f>tblComponents[Defect_Rate]</f>
        <v>1.7000000000000001E-2</v>
      </c>
      <c r="K279">
        <f t="shared" si="17"/>
        <v>0</v>
      </c>
      <c r="L279" t="str">
        <f t="shared" si="18"/>
        <v>Production</v>
      </c>
      <c r="M279">
        <f t="shared" si="19"/>
        <v>0</v>
      </c>
    </row>
    <row r="280" spans="1:13" x14ac:dyDescent="0.35">
      <c r="A280" s="12" t="str">
        <f>tblComponents[Component_ID]</f>
        <v>C279</v>
      </c>
      <c r="B280" s="12" t="str">
        <f>tblComponents[Component_Name]</f>
        <v>Component 279</v>
      </c>
      <c r="C280" t="str">
        <f>tblComponents[Product_Family]</f>
        <v>Electrical Systems</v>
      </c>
      <c r="D280" t="str">
        <f>tblComponents[Sourcing_Type]</f>
        <v>Make</v>
      </c>
      <c r="E280" t="str">
        <f>tblComponents[Criticality]</f>
        <v>Medium</v>
      </c>
      <c r="F280">
        <f>tblComponents[Forecast_Demand]</f>
        <v>1562</v>
      </c>
      <c r="G280">
        <f>tblComponents[Opening_Inventory]</f>
        <v>11575</v>
      </c>
      <c r="H280">
        <f>tblComponents[Safety_Stock]</f>
        <v>2699</v>
      </c>
      <c r="I280">
        <f t="shared" si="16"/>
        <v>0</v>
      </c>
      <c r="J280" s="15">
        <f>tblComponents[Defect_Rate]</f>
        <v>7.9000000000000008E-3</v>
      </c>
      <c r="K280">
        <f t="shared" si="17"/>
        <v>0</v>
      </c>
      <c r="L280" t="str">
        <f t="shared" si="18"/>
        <v>Production</v>
      </c>
      <c r="M280">
        <f t="shared" si="19"/>
        <v>0</v>
      </c>
    </row>
    <row r="281" spans="1:13" x14ac:dyDescent="0.35">
      <c r="A281" s="12" t="str">
        <f>tblComponents[Component_ID]</f>
        <v>C280</v>
      </c>
      <c r="B281" s="12" t="str">
        <f>tblComponents[Component_Name]</f>
        <v>Component 280</v>
      </c>
      <c r="C281" t="str">
        <f>tblComponents[Product_Family]</f>
        <v>Powertrain</v>
      </c>
      <c r="D281" t="str">
        <f>tblComponents[Sourcing_Type]</f>
        <v>Make</v>
      </c>
      <c r="E281" t="str">
        <f>tblComponents[Criticality]</f>
        <v>Medium</v>
      </c>
      <c r="F281">
        <f>tblComponents[Forecast_Demand]</f>
        <v>867</v>
      </c>
      <c r="G281">
        <f>tblComponents[Opening_Inventory]</f>
        <v>3298</v>
      </c>
      <c r="H281">
        <f>tblComponents[Safety_Stock]</f>
        <v>337</v>
      </c>
      <c r="I281">
        <f t="shared" si="16"/>
        <v>0</v>
      </c>
      <c r="J281" s="15">
        <f>tblComponents[Defect_Rate]</f>
        <v>1.1900000000000001E-2</v>
      </c>
      <c r="K281">
        <f t="shared" si="17"/>
        <v>0</v>
      </c>
      <c r="L281" t="str">
        <f t="shared" si="18"/>
        <v>Production</v>
      </c>
      <c r="M281">
        <f t="shared" si="19"/>
        <v>0</v>
      </c>
    </row>
    <row r="282" spans="1:13" x14ac:dyDescent="0.35">
      <c r="A282" s="12" t="str">
        <f>tblComponents[Component_ID]</f>
        <v>C281</v>
      </c>
      <c r="B282" s="12" t="str">
        <f>tblComponents[Component_Name]</f>
        <v>Component 281</v>
      </c>
      <c r="C282" t="str">
        <f>tblComponents[Product_Family]</f>
        <v>Chassis</v>
      </c>
      <c r="D282" t="str">
        <f>tblComponents[Sourcing_Type]</f>
        <v>Make</v>
      </c>
      <c r="E282" t="str">
        <f>tblComponents[Criticality]</f>
        <v>Low</v>
      </c>
      <c r="F282">
        <f>tblComponents[Forecast_Demand]</f>
        <v>622</v>
      </c>
      <c r="G282">
        <f>tblComponents[Opening_Inventory]</f>
        <v>14971</v>
      </c>
      <c r="H282">
        <f>tblComponents[Safety_Stock]</f>
        <v>3318</v>
      </c>
      <c r="I282">
        <f t="shared" si="16"/>
        <v>0</v>
      </c>
      <c r="J282" s="15">
        <f>tblComponents[Defect_Rate]</f>
        <v>2.1399999999999999E-2</v>
      </c>
      <c r="K282">
        <f t="shared" si="17"/>
        <v>0</v>
      </c>
      <c r="L282" t="str">
        <f t="shared" si="18"/>
        <v>Production</v>
      </c>
      <c r="M282">
        <f t="shared" si="19"/>
        <v>0</v>
      </c>
    </row>
    <row r="283" spans="1:13" x14ac:dyDescent="0.35">
      <c r="A283" s="12" t="str">
        <f>tblComponents[Component_ID]</f>
        <v>C282</v>
      </c>
      <c r="B283" s="12" t="str">
        <f>tblComponents[Component_Name]</f>
        <v>Component 282</v>
      </c>
      <c r="C283" t="str">
        <f>tblComponents[Product_Family]</f>
        <v>Electrical Systems</v>
      </c>
      <c r="D283" t="str">
        <f>tblComponents[Sourcing_Type]</f>
        <v>Make</v>
      </c>
      <c r="E283" t="str">
        <f>tblComponents[Criticality]</f>
        <v>High</v>
      </c>
      <c r="F283">
        <f>tblComponents[Forecast_Demand]</f>
        <v>2856</v>
      </c>
      <c r="G283">
        <f>tblComponents[Opening_Inventory]</f>
        <v>5970</v>
      </c>
      <c r="H283">
        <f>tblComponents[Safety_Stock]</f>
        <v>1333</v>
      </c>
      <c r="I283">
        <f t="shared" si="16"/>
        <v>0</v>
      </c>
      <c r="J283" s="15">
        <f>tblComponents[Defect_Rate]</f>
        <v>6.4999999999999997E-3</v>
      </c>
      <c r="K283">
        <f t="shared" si="17"/>
        <v>0</v>
      </c>
      <c r="L283" t="str">
        <f t="shared" si="18"/>
        <v>Production</v>
      </c>
      <c r="M283">
        <f t="shared" si="19"/>
        <v>0</v>
      </c>
    </row>
    <row r="284" spans="1:13" x14ac:dyDescent="0.35">
      <c r="A284" s="12" t="str">
        <f>tblComponents[Component_ID]</f>
        <v>C283</v>
      </c>
      <c r="B284" s="12" t="str">
        <f>tblComponents[Component_Name]</f>
        <v>Component 283</v>
      </c>
      <c r="C284" t="str">
        <f>tblComponents[Product_Family]</f>
        <v>Powertrain</v>
      </c>
      <c r="D284" t="str">
        <f>tblComponents[Sourcing_Type]</f>
        <v>Make</v>
      </c>
      <c r="E284" t="str">
        <f>tblComponents[Criticality]</f>
        <v>Medium</v>
      </c>
      <c r="F284">
        <f>tblComponents[Forecast_Demand]</f>
        <v>498</v>
      </c>
      <c r="G284">
        <f>tblComponents[Opening_Inventory]</f>
        <v>7457</v>
      </c>
      <c r="H284">
        <f>tblComponents[Safety_Stock]</f>
        <v>1169</v>
      </c>
      <c r="I284">
        <f t="shared" si="16"/>
        <v>0</v>
      </c>
      <c r="J284" s="15">
        <f>tblComponents[Defect_Rate]</f>
        <v>2.1000000000000001E-2</v>
      </c>
      <c r="K284">
        <f t="shared" si="17"/>
        <v>0</v>
      </c>
      <c r="L284" t="str">
        <f t="shared" si="18"/>
        <v>Production</v>
      </c>
      <c r="M284">
        <f t="shared" si="19"/>
        <v>0</v>
      </c>
    </row>
    <row r="285" spans="1:13" x14ac:dyDescent="0.35">
      <c r="A285" s="12" t="str">
        <f>tblComponents[Component_ID]</f>
        <v>C284</v>
      </c>
      <c r="B285" s="12" t="str">
        <f>tblComponents[Component_Name]</f>
        <v>Component 284</v>
      </c>
      <c r="C285" t="str">
        <f>tblComponents[Product_Family]</f>
        <v>Powertrain</v>
      </c>
      <c r="D285" t="str">
        <f>tblComponents[Sourcing_Type]</f>
        <v>Make</v>
      </c>
      <c r="E285" t="str">
        <f>tblComponents[Criticality]</f>
        <v>High</v>
      </c>
      <c r="F285">
        <f>tblComponents[Forecast_Demand]</f>
        <v>497</v>
      </c>
      <c r="G285">
        <f>tblComponents[Opening_Inventory]</f>
        <v>7620</v>
      </c>
      <c r="H285">
        <f>tblComponents[Safety_Stock]</f>
        <v>1831</v>
      </c>
      <c r="I285">
        <f t="shared" si="16"/>
        <v>0</v>
      </c>
      <c r="J285" s="15">
        <f>tblComponents[Defect_Rate]</f>
        <v>1.49E-2</v>
      </c>
      <c r="K285">
        <f t="shared" si="17"/>
        <v>0</v>
      </c>
      <c r="L285" t="str">
        <f t="shared" si="18"/>
        <v>Production</v>
      </c>
      <c r="M285">
        <f t="shared" si="19"/>
        <v>0</v>
      </c>
    </row>
    <row r="286" spans="1:13" x14ac:dyDescent="0.35">
      <c r="A286" s="12" t="str">
        <f>tblComponents[Component_ID]</f>
        <v>C285</v>
      </c>
      <c r="B286" s="12" t="str">
        <f>tblComponents[Component_Name]</f>
        <v>Component 285</v>
      </c>
      <c r="C286" t="str">
        <f>tblComponents[Product_Family]</f>
        <v>Electrical Systems</v>
      </c>
      <c r="D286" t="str">
        <f>tblComponents[Sourcing_Type]</f>
        <v>Make</v>
      </c>
      <c r="E286" t="str">
        <f>tblComponents[Criticality]</f>
        <v>Low</v>
      </c>
      <c r="F286">
        <f>tblComponents[Forecast_Demand]</f>
        <v>1208</v>
      </c>
      <c r="G286">
        <f>tblComponents[Opening_Inventory]</f>
        <v>3798</v>
      </c>
      <c r="H286">
        <f>tblComponents[Safety_Stock]</f>
        <v>1635</v>
      </c>
      <c r="I286">
        <f t="shared" si="16"/>
        <v>0</v>
      </c>
      <c r="J286" s="15">
        <f>tblComponents[Defect_Rate]</f>
        <v>2.4400000000000002E-2</v>
      </c>
      <c r="K286">
        <f t="shared" si="17"/>
        <v>0</v>
      </c>
      <c r="L286" t="str">
        <f t="shared" si="18"/>
        <v>Production</v>
      </c>
      <c r="M286">
        <f t="shared" si="19"/>
        <v>0</v>
      </c>
    </row>
    <row r="287" spans="1:13" x14ac:dyDescent="0.35">
      <c r="A287" s="12" t="str">
        <f>tblComponents[Component_ID]</f>
        <v>C286</v>
      </c>
      <c r="B287" s="12" t="str">
        <f>tblComponents[Component_Name]</f>
        <v>Component 286</v>
      </c>
      <c r="C287" t="str">
        <f>tblComponents[Product_Family]</f>
        <v>Electrical Systems</v>
      </c>
      <c r="D287" t="str">
        <f>tblComponents[Sourcing_Type]</f>
        <v>Make</v>
      </c>
      <c r="E287" t="str">
        <f>tblComponents[Criticality]</f>
        <v>High</v>
      </c>
      <c r="F287">
        <f>tblComponents[Forecast_Demand]</f>
        <v>911</v>
      </c>
      <c r="G287">
        <f>tblComponents[Opening_Inventory]</f>
        <v>6130</v>
      </c>
      <c r="H287">
        <f>tblComponents[Safety_Stock]</f>
        <v>1219</v>
      </c>
      <c r="I287">
        <f t="shared" si="16"/>
        <v>0</v>
      </c>
      <c r="J287" s="15">
        <f>tblComponents[Defect_Rate]</f>
        <v>1.84E-2</v>
      </c>
      <c r="K287">
        <f t="shared" si="17"/>
        <v>0</v>
      </c>
      <c r="L287" t="str">
        <f t="shared" si="18"/>
        <v>Production</v>
      </c>
      <c r="M287">
        <f t="shared" si="19"/>
        <v>0</v>
      </c>
    </row>
    <row r="288" spans="1:13" x14ac:dyDescent="0.35">
      <c r="A288" s="12" t="str">
        <f>tblComponents[Component_ID]</f>
        <v>C287</v>
      </c>
      <c r="B288" s="12" t="str">
        <f>tblComponents[Component_Name]</f>
        <v>Component 287</v>
      </c>
      <c r="C288" t="str">
        <f>tblComponents[Product_Family]</f>
        <v>Interior</v>
      </c>
      <c r="D288" t="str">
        <f>tblComponents[Sourcing_Type]</f>
        <v>Make</v>
      </c>
      <c r="E288" t="str">
        <f>tblComponents[Criticality]</f>
        <v>Medium</v>
      </c>
      <c r="F288">
        <f>tblComponents[Forecast_Demand]</f>
        <v>1235</v>
      </c>
      <c r="G288">
        <f>tblComponents[Opening_Inventory]</f>
        <v>1679</v>
      </c>
      <c r="H288">
        <f>tblComponents[Safety_Stock]</f>
        <v>431</v>
      </c>
      <c r="I288">
        <f t="shared" si="16"/>
        <v>0</v>
      </c>
      <c r="J288" s="15">
        <f>tblComponents[Defect_Rate]</f>
        <v>6.7999999999999996E-3</v>
      </c>
      <c r="K288">
        <f t="shared" si="17"/>
        <v>0</v>
      </c>
      <c r="L288" t="str">
        <f t="shared" si="18"/>
        <v>Production</v>
      </c>
      <c r="M288">
        <f t="shared" si="19"/>
        <v>0</v>
      </c>
    </row>
    <row r="289" spans="1:13" x14ac:dyDescent="0.35">
      <c r="A289" s="12" t="str">
        <f>tblComponents[Component_ID]</f>
        <v>C288</v>
      </c>
      <c r="B289" s="12" t="str">
        <f>tblComponents[Component_Name]</f>
        <v>Component 288</v>
      </c>
      <c r="C289" t="str">
        <f>tblComponents[Product_Family]</f>
        <v>Body &amp; Exterior</v>
      </c>
      <c r="D289" t="str">
        <f>tblComponents[Sourcing_Type]</f>
        <v>Make</v>
      </c>
      <c r="E289" t="str">
        <f>tblComponents[Criticality]</f>
        <v>High</v>
      </c>
      <c r="F289">
        <f>tblComponents[Forecast_Demand]</f>
        <v>132</v>
      </c>
      <c r="G289">
        <f>tblComponents[Opening_Inventory]</f>
        <v>2305</v>
      </c>
      <c r="H289">
        <f>tblComponents[Safety_Stock]</f>
        <v>525</v>
      </c>
      <c r="I289">
        <f t="shared" si="16"/>
        <v>0</v>
      </c>
      <c r="J289" s="15">
        <f>tblComponents[Defect_Rate]</f>
        <v>1.5100000000000001E-2</v>
      </c>
      <c r="K289">
        <f t="shared" si="17"/>
        <v>0</v>
      </c>
      <c r="L289" t="str">
        <f t="shared" si="18"/>
        <v>Production</v>
      </c>
      <c r="M289">
        <f t="shared" si="19"/>
        <v>0</v>
      </c>
    </row>
    <row r="290" spans="1:13" x14ac:dyDescent="0.35">
      <c r="A290" s="12" t="str">
        <f>tblComponents[Component_ID]</f>
        <v>C289</v>
      </c>
      <c r="B290" s="12" t="str">
        <f>tblComponents[Component_Name]</f>
        <v>Component 289</v>
      </c>
      <c r="C290" t="str">
        <f>tblComponents[Product_Family]</f>
        <v>Electrical Systems</v>
      </c>
      <c r="D290" t="str">
        <f>tblComponents[Sourcing_Type]</f>
        <v>Make</v>
      </c>
      <c r="E290" t="str">
        <f>tblComponents[Criticality]</f>
        <v>Medium</v>
      </c>
      <c r="F290">
        <f>tblComponents[Forecast_Demand]</f>
        <v>743</v>
      </c>
      <c r="G290">
        <f>tblComponents[Opening_Inventory]</f>
        <v>2837</v>
      </c>
      <c r="H290">
        <f>tblComponents[Safety_Stock]</f>
        <v>252</v>
      </c>
      <c r="I290">
        <f t="shared" si="16"/>
        <v>0</v>
      </c>
      <c r="J290" s="15">
        <f>tblComponents[Defect_Rate]</f>
        <v>2.1999999999999999E-2</v>
      </c>
      <c r="K290">
        <f t="shared" si="17"/>
        <v>0</v>
      </c>
      <c r="L290" t="str">
        <f t="shared" si="18"/>
        <v>Production</v>
      </c>
      <c r="M290">
        <f t="shared" si="19"/>
        <v>0</v>
      </c>
    </row>
    <row r="291" spans="1:13" x14ac:dyDescent="0.35">
      <c r="A291" s="12" t="str">
        <f>tblComponents[Component_ID]</f>
        <v>C290</v>
      </c>
      <c r="B291" s="12" t="str">
        <f>tblComponents[Component_Name]</f>
        <v>Component 290</v>
      </c>
      <c r="C291" t="str">
        <f>tblComponents[Product_Family]</f>
        <v>Body &amp; Exterior</v>
      </c>
      <c r="D291" t="str">
        <f>tblComponents[Sourcing_Type]</f>
        <v>Make</v>
      </c>
      <c r="E291" t="str">
        <f>tblComponents[Criticality]</f>
        <v>Medium</v>
      </c>
      <c r="F291">
        <f>tblComponents[Forecast_Demand]</f>
        <v>1397</v>
      </c>
      <c r="G291">
        <f>tblComponents[Opening_Inventory]</f>
        <v>4253</v>
      </c>
      <c r="H291">
        <f>tblComponents[Safety_Stock]</f>
        <v>304</v>
      </c>
      <c r="I291">
        <f t="shared" si="16"/>
        <v>0</v>
      </c>
      <c r="J291" s="15">
        <f>tblComponents[Defect_Rate]</f>
        <v>1.1900000000000001E-2</v>
      </c>
      <c r="K291">
        <f t="shared" si="17"/>
        <v>0</v>
      </c>
      <c r="L291" t="str">
        <f t="shared" si="18"/>
        <v>Production</v>
      </c>
      <c r="M291">
        <f t="shared" si="19"/>
        <v>0</v>
      </c>
    </row>
    <row r="292" spans="1:13" x14ac:dyDescent="0.35">
      <c r="A292" s="12" t="str">
        <f>tblComponents[Component_ID]</f>
        <v>C291</v>
      </c>
      <c r="B292" s="12" t="str">
        <f>tblComponents[Component_Name]</f>
        <v>Component 291</v>
      </c>
      <c r="C292" t="str">
        <f>tblComponents[Product_Family]</f>
        <v>Electrical Systems</v>
      </c>
      <c r="D292" t="str">
        <f>tblComponents[Sourcing_Type]</f>
        <v>Make</v>
      </c>
      <c r="E292" t="str">
        <f>tblComponents[Criticality]</f>
        <v>Low</v>
      </c>
      <c r="F292">
        <f>tblComponents[Forecast_Demand]</f>
        <v>987</v>
      </c>
      <c r="G292">
        <f>tblComponents[Opening_Inventory]</f>
        <v>2716</v>
      </c>
      <c r="H292">
        <f>tblComponents[Safety_Stock]</f>
        <v>169</v>
      </c>
      <c r="I292">
        <f t="shared" si="16"/>
        <v>0</v>
      </c>
      <c r="J292" s="15">
        <f>tblComponents[Defect_Rate]</f>
        <v>2.4199999999999999E-2</v>
      </c>
      <c r="K292">
        <f t="shared" si="17"/>
        <v>0</v>
      </c>
      <c r="L292" t="str">
        <f t="shared" si="18"/>
        <v>Production</v>
      </c>
      <c r="M292">
        <f t="shared" si="19"/>
        <v>0</v>
      </c>
    </row>
    <row r="293" spans="1:13" x14ac:dyDescent="0.35">
      <c r="A293" s="12" t="str">
        <f>tblComponents[Component_ID]</f>
        <v>C292</v>
      </c>
      <c r="B293" s="12" t="str">
        <f>tblComponents[Component_Name]</f>
        <v>Component 292</v>
      </c>
      <c r="C293" t="str">
        <f>tblComponents[Product_Family]</f>
        <v>Chassis</v>
      </c>
      <c r="D293" t="str">
        <f>tblComponents[Sourcing_Type]</f>
        <v>Make</v>
      </c>
      <c r="E293" t="str">
        <f>tblComponents[Criticality]</f>
        <v>Critical</v>
      </c>
      <c r="F293">
        <f>tblComponents[Forecast_Demand]</f>
        <v>457</v>
      </c>
      <c r="G293">
        <f>tblComponents[Opening_Inventory]</f>
        <v>2412</v>
      </c>
      <c r="H293">
        <f>tblComponents[Safety_Stock]</f>
        <v>287</v>
      </c>
      <c r="I293">
        <f t="shared" si="16"/>
        <v>0</v>
      </c>
      <c r="J293" s="15">
        <f>tblComponents[Defect_Rate]</f>
        <v>1.78E-2</v>
      </c>
      <c r="K293">
        <f t="shared" si="17"/>
        <v>0</v>
      </c>
      <c r="L293" t="str">
        <f t="shared" si="18"/>
        <v>Production</v>
      </c>
      <c r="M293">
        <f t="shared" si="19"/>
        <v>0</v>
      </c>
    </row>
    <row r="294" spans="1:13" x14ac:dyDescent="0.35">
      <c r="A294" s="12" t="str">
        <f>tblComponents[Component_ID]</f>
        <v>C293</v>
      </c>
      <c r="B294" s="12" t="str">
        <f>tblComponents[Component_Name]</f>
        <v>Component 293</v>
      </c>
      <c r="C294" t="str">
        <f>tblComponents[Product_Family]</f>
        <v>Interior</v>
      </c>
      <c r="D294" t="str">
        <f>tblComponents[Sourcing_Type]</f>
        <v>Make</v>
      </c>
      <c r="E294" t="str">
        <f>tblComponents[Criticality]</f>
        <v>Medium</v>
      </c>
      <c r="F294">
        <f>tblComponents[Forecast_Demand]</f>
        <v>166</v>
      </c>
      <c r="G294">
        <f>tblComponents[Opening_Inventory]</f>
        <v>5728</v>
      </c>
      <c r="H294">
        <f>tblComponents[Safety_Stock]</f>
        <v>1125</v>
      </c>
      <c r="I294">
        <f t="shared" si="16"/>
        <v>0</v>
      </c>
      <c r="J294" s="15">
        <f>tblComponents[Defect_Rate]</f>
        <v>5.3E-3</v>
      </c>
      <c r="K294">
        <f t="shared" si="17"/>
        <v>0</v>
      </c>
      <c r="L294" t="str">
        <f t="shared" si="18"/>
        <v>Production</v>
      </c>
      <c r="M294">
        <f t="shared" si="19"/>
        <v>0</v>
      </c>
    </row>
    <row r="295" spans="1:13" x14ac:dyDescent="0.35">
      <c r="A295" s="12" t="str">
        <f>tblComponents[Component_ID]</f>
        <v>C294</v>
      </c>
      <c r="B295" s="12" t="str">
        <f>tblComponents[Component_Name]</f>
        <v>Component 294</v>
      </c>
      <c r="C295" t="str">
        <f>tblComponents[Product_Family]</f>
        <v>Body &amp; Exterior</v>
      </c>
      <c r="D295" t="str">
        <f>tblComponents[Sourcing_Type]</f>
        <v>Make</v>
      </c>
      <c r="E295" t="str">
        <f>tblComponents[Criticality]</f>
        <v>Medium</v>
      </c>
      <c r="F295">
        <f>tblComponents[Forecast_Demand]</f>
        <v>1174</v>
      </c>
      <c r="G295">
        <f>tblComponents[Opening_Inventory]</f>
        <v>9044</v>
      </c>
      <c r="H295">
        <f>tblComponents[Safety_Stock]</f>
        <v>987</v>
      </c>
      <c r="I295">
        <f t="shared" si="16"/>
        <v>0</v>
      </c>
      <c r="J295" s="15">
        <f>tblComponents[Defect_Rate]</f>
        <v>1.0999999999999999E-2</v>
      </c>
      <c r="K295">
        <f t="shared" si="17"/>
        <v>0</v>
      </c>
      <c r="L295" t="str">
        <f t="shared" si="18"/>
        <v>Production</v>
      </c>
      <c r="M295">
        <f t="shared" si="19"/>
        <v>0</v>
      </c>
    </row>
    <row r="296" spans="1:13" x14ac:dyDescent="0.35">
      <c r="A296" s="12" t="str">
        <f>tblComponents[Component_ID]</f>
        <v>C295</v>
      </c>
      <c r="B296" s="12" t="str">
        <f>tblComponents[Component_Name]</f>
        <v>Component 295</v>
      </c>
      <c r="C296" t="str">
        <f>tblComponents[Product_Family]</f>
        <v>Body &amp; Exterior</v>
      </c>
      <c r="D296" t="str">
        <f>tblComponents[Sourcing_Type]</f>
        <v>Make</v>
      </c>
      <c r="E296" t="str">
        <f>tblComponents[Criticality]</f>
        <v>Critical</v>
      </c>
      <c r="F296">
        <f>tblComponents[Forecast_Demand]</f>
        <v>137</v>
      </c>
      <c r="G296">
        <f>tblComponents[Opening_Inventory]</f>
        <v>10713</v>
      </c>
      <c r="H296">
        <f>tblComponents[Safety_Stock]</f>
        <v>2885</v>
      </c>
      <c r="I296">
        <f t="shared" si="16"/>
        <v>0</v>
      </c>
      <c r="J296" s="15">
        <f>tblComponents[Defect_Rate]</f>
        <v>2.3900000000000001E-2</v>
      </c>
      <c r="K296">
        <f t="shared" si="17"/>
        <v>0</v>
      </c>
      <c r="L296" t="str">
        <f t="shared" si="18"/>
        <v>Production</v>
      </c>
      <c r="M296">
        <f t="shared" si="19"/>
        <v>0</v>
      </c>
    </row>
    <row r="297" spans="1:13" x14ac:dyDescent="0.35">
      <c r="A297" s="12" t="str">
        <f>tblComponents[Component_ID]</f>
        <v>C296</v>
      </c>
      <c r="B297" s="12" t="str">
        <f>tblComponents[Component_Name]</f>
        <v>Component 296</v>
      </c>
      <c r="C297" t="str">
        <f>tblComponents[Product_Family]</f>
        <v>Powertrain</v>
      </c>
      <c r="D297" t="str">
        <f>tblComponents[Sourcing_Type]</f>
        <v>Make</v>
      </c>
      <c r="E297" t="str">
        <f>tblComponents[Criticality]</f>
        <v>Low</v>
      </c>
      <c r="F297">
        <f>tblComponents[Forecast_Demand]</f>
        <v>148</v>
      </c>
      <c r="G297">
        <f>tblComponents[Opening_Inventory]</f>
        <v>1596</v>
      </c>
      <c r="H297">
        <f>tblComponents[Safety_Stock]</f>
        <v>194</v>
      </c>
      <c r="I297">
        <f t="shared" si="16"/>
        <v>0</v>
      </c>
      <c r="J297" s="15">
        <f>tblComponents[Defect_Rate]</f>
        <v>1.0800000000000001E-2</v>
      </c>
      <c r="K297">
        <f t="shared" si="17"/>
        <v>0</v>
      </c>
      <c r="L297" t="str">
        <f t="shared" si="18"/>
        <v>Production</v>
      </c>
      <c r="M297">
        <f t="shared" si="19"/>
        <v>0</v>
      </c>
    </row>
    <row r="298" spans="1:13" x14ac:dyDescent="0.35">
      <c r="A298" s="12" t="str">
        <f>tblComponents[Component_ID]</f>
        <v>C297</v>
      </c>
      <c r="B298" s="12" t="str">
        <f>tblComponents[Component_Name]</f>
        <v>Component 297</v>
      </c>
      <c r="C298" t="str">
        <f>tblComponents[Product_Family]</f>
        <v>Electrical Systems</v>
      </c>
      <c r="D298" t="str">
        <f>tblComponents[Sourcing_Type]</f>
        <v>Make</v>
      </c>
      <c r="E298" t="str">
        <f>tblComponents[Criticality]</f>
        <v>Medium</v>
      </c>
      <c r="F298">
        <f>tblComponents[Forecast_Demand]</f>
        <v>2586</v>
      </c>
      <c r="G298">
        <f>tblComponents[Opening_Inventory]</f>
        <v>5832</v>
      </c>
      <c r="H298">
        <f>tblComponents[Safety_Stock]</f>
        <v>626</v>
      </c>
      <c r="I298">
        <f t="shared" si="16"/>
        <v>0</v>
      </c>
      <c r="J298" s="15">
        <f>tblComponents[Defect_Rate]</f>
        <v>2.1999999999999999E-2</v>
      </c>
      <c r="K298">
        <f t="shared" si="17"/>
        <v>0</v>
      </c>
      <c r="L298" t="str">
        <f t="shared" si="18"/>
        <v>Production</v>
      </c>
      <c r="M298">
        <f t="shared" si="19"/>
        <v>0</v>
      </c>
    </row>
    <row r="299" spans="1:13" x14ac:dyDescent="0.35">
      <c r="A299" s="12" t="str">
        <f>tblComponents[Component_ID]</f>
        <v>C298</v>
      </c>
      <c r="B299" s="12" t="str">
        <f>tblComponents[Component_Name]</f>
        <v>Component 298</v>
      </c>
      <c r="C299" t="str">
        <f>tblComponents[Product_Family]</f>
        <v>Electrical Systems</v>
      </c>
      <c r="D299" t="str">
        <f>tblComponents[Sourcing_Type]</f>
        <v>Make</v>
      </c>
      <c r="E299" t="str">
        <f>tblComponents[Criticality]</f>
        <v>High</v>
      </c>
      <c r="F299">
        <f>tblComponents[Forecast_Demand]</f>
        <v>160</v>
      </c>
      <c r="G299">
        <f>tblComponents[Opening_Inventory]</f>
        <v>18886</v>
      </c>
      <c r="H299">
        <f>tblComponents[Safety_Stock]</f>
        <v>854</v>
      </c>
      <c r="I299">
        <f t="shared" si="16"/>
        <v>0</v>
      </c>
      <c r="J299" s="15">
        <f>tblComponents[Defect_Rate]</f>
        <v>2.23E-2</v>
      </c>
      <c r="K299">
        <f t="shared" si="17"/>
        <v>0</v>
      </c>
      <c r="L299" t="str">
        <f t="shared" si="18"/>
        <v>Production</v>
      </c>
      <c r="M299">
        <f t="shared" si="19"/>
        <v>0</v>
      </c>
    </row>
    <row r="300" spans="1:13" x14ac:dyDescent="0.35">
      <c r="A300" s="12" t="str">
        <f>tblComponents[Component_ID]</f>
        <v>C299</v>
      </c>
      <c r="B300" s="12" t="str">
        <f>tblComponents[Component_Name]</f>
        <v>Component 299</v>
      </c>
      <c r="C300" t="str">
        <f>tblComponents[Product_Family]</f>
        <v>Body &amp; Exterior</v>
      </c>
      <c r="D300" t="str">
        <f>tblComponents[Sourcing_Type]</f>
        <v>Make</v>
      </c>
      <c r="E300" t="str">
        <f>tblComponents[Criticality]</f>
        <v>Critical</v>
      </c>
      <c r="F300">
        <f>tblComponents[Forecast_Demand]</f>
        <v>612</v>
      </c>
      <c r="G300">
        <f>tblComponents[Opening_Inventory]</f>
        <v>6931</v>
      </c>
      <c r="H300">
        <f>tblComponents[Safety_Stock]</f>
        <v>2201</v>
      </c>
      <c r="I300">
        <f t="shared" si="16"/>
        <v>0</v>
      </c>
      <c r="J300" s="15">
        <f>tblComponents[Defect_Rate]</f>
        <v>1.01E-2</v>
      </c>
      <c r="K300">
        <f t="shared" si="17"/>
        <v>0</v>
      </c>
      <c r="L300" t="str">
        <f t="shared" si="18"/>
        <v>Production</v>
      </c>
      <c r="M300">
        <f t="shared" si="19"/>
        <v>0</v>
      </c>
    </row>
    <row r="301" spans="1:13" x14ac:dyDescent="0.35">
      <c r="A301" s="12" t="str">
        <f>tblComponents[Component_ID]</f>
        <v>C300</v>
      </c>
      <c r="B301" s="12" t="str">
        <f>tblComponents[Component_Name]</f>
        <v>Component 300</v>
      </c>
      <c r="C301" t="str">
        <f>tblComponents[Product_Family]</f>
        <v>Chassis</v>
      </c>
      <c r="D301" t="str">
        <f>tblComponents[Sourcing_Type]</f>
        <v>Make</v>
      </c>
      <c r="E301" t="str">
        <f>tblComponents[Criticality]</f>
        <v>High</v>
      </c>
      <c r="F301">
        <f>tblComponents[Forecast_Demand]</f>
        <v>2410</v>
      </c>
      <c r="G301">
        <f>tblComponents[Opening_Inventory]</f>
        <v>11861</v>
      </c>
      <c r="H301">
        <f>tblComponents[Safety_Stock]</f>
        <v>2327</v>
      </c>
      <c r="I301">
        <f t="shared" si="16"/>
        <v>0</v>
      </c>
      <c r="J301" s="15">
        <f>tblComponents[Defect_Rate]</f>
        <v>3.8999999999999998E-3</v>
      </c>
      <c r="K301">
        <f t="shared" si="17"/>
        <v>0</v>
      </c>
      <c r="L301" t="str">
        <f t="shared" si="18"/>
        <v>Production</v>
      </c>
      <c r="M301">
        <f t="shared" si="19"/>
        <v>0</v>
      </c>
    </row>
    <row r="302" spans="1:13" x14ac:dyDescent="0.35">
      <c r="A302" s="12" t="str">
        <f>tblComponents[Component_ID]</f>
        <v>C301</v>
      </c>
      <c r="B302" s="12" t="str">
        <f>tblComponents[Component_Name]</f>
        <v>Component 301</v>
      </c>
      <c r="C302" t="str">
        <f>tblComponents[Product_Family]</f>
        <v>Body &amp; Exterior</v>
      </c>
      <c r="D302" t="str">
        <f>tblComponents[Sourcing_Type]</f>
        <v>Buy</v>
      </c>
      <c r="E302" t="str">
        <f>tblComponents[Criticality]</f>
        <v>Medium</v>
      </c>
      <c r="F302">
        <f>tblComponents[Forecast_Demand]</f>
        <v>1221</v>
      </c>
      <c r="G302">
        <f>tblComponents[Opening_Inventory]</f>
        <v>3230</v>
      </c>
      <c r="H302">
        <f>tblComponents[Safety_Stock]</f>
        <v>648</v>
      </c>
      <c r="I302">
        <f t="shared" si="16"/>
        <v>0</v>
      </c>
      <c r="J302" s="15">
        <f>tblComponents[Defect_Rate]</f>
        <v>0</v>
      </c>
      <c r="K302">
        <f t="shared" si="17"/>
        <v>0</v>
      </c>
      <c r="L302" t="str">
        <f t="shared" si="18"/>
        <v>Procurement</v>
      </c>
      <c r="M302">
        <f t="shared" si="19"/>
        <v>0</v>
      </c>
    </row>
    <row r="303" spans="1:13" x14ac:dyDescent="0.35">
      <c r="A303" s="12" t="str">
        <f>tblComponents[Component_ID]</f>
        <v>C302</v>
      </c>
      <c r="B303" s="12" t="str">
        <f>tblComponents[Component_Name]</f>
        <v>Component 302</v>
      </c>
      <c r="C303" t="str">
        <f>tblComponents[Product_Family]</f>
        <v>Interior</v>
      </c>
      <c r="D303" t="str">
        <f>tblComponents[Sourcing_Type]</f>
        <v>Buy</v>
      </c>
      <c r="E303" t="str">
        <f>tblComponents[Criticality]</f>
        <v>Medium</v>
      </c>
      <c r="F303">
        <f>tblComponents[Forecast_Demand]</f>
        <v>1395</v>
      </c>
      <c r="G303">
        <f>tblComponents[Opening_Inventory]</f>
        <v>949</v>
      </c>
      <c r="H303">
        <f>tblComponents[Safety_Stock]</f>
        <v>162</v>
      </c>
      <c r="I303">
        <f t="shared" si="16"/>
        <v>608</v>
      </c>
      <c r="J303" s="15">
        <f>tblComponents[Defect_Rate]</f>
        <v>0</v>
      </c>
      <c r="K303">
        <f t="shared" si="17"/>
        <v>608</v>
      </c>
      <c r="L303" t="str">
        <f t="shared" si="18"/>
        <v>Procurement</v>
      </c>
      <c r="M303">
        <f t="shared" si="19"/>
        <v>608</v>
      </c>
    </row>
    <row r="304" spans="1:13" x14ac:dyDescent="0.35">
      <c r="A304" s="12" t="str">
        <f>tblComponents[Component_ID]</f>
        <v>C303</v>
      </c>
      <c r="B304" s="12" t="str">
        <f>tblComponents[Component_Name]</f>
        <v>Component 303</v>
      </c>
      <c r="C304" t="str">
        <f>tblComponents[Product_Family]</f>
        <v>Body &amp; Exterior</v>
      </c>
      <c r="D304" t="str">
        <f>tblComponents[Sourcing_Type]</f>
        <v>Buy</v>
      </c>
      <c r="E304" t="str">
        <f>tblComponents[Criticality]</f>
        <v>Medium</v>
      </c>
      <c r="F304">
        <f>tblComponents[Forecast_Demand]</f>
        <v>2819</v>
      </c>
      <c r="G304">
        <f>tblComponents[Opening_Inventory]</f>
        <v>3348</v>
      </c>
      <c r="H304">
        <f>tblComponents[Safety_Stock]</f>
        <v>946</v>
      </c>
      <c r="I304">
        <f t="shared" si="16"/>
        <v>417</v>
      </c>
      <c r="J304" s="15">
        <f>tblComponents[Defect_Rate]</f>
        <v>0</v>
      </c>
      <c r="K304">
        <f t="shared" si="17"/>
        <v>417</v>
      </c>
      <c r="L304" t="str">
        <f t="shared" si="18"/>
        <v>Procurement</v>
      </c>
      <c r="M304">
        <f t="shared" si="19"/>
        <v>417</v>
      </c>
    </row>
    <row r="305" spans="1:13" x14ac:dyDescent="0.35">
      <c r="A305" s="12" t="str">
        <f>tblComponents[Component_ID]</f>
        <v>C304</v>
      </c>
      <c r="B305" s="12" t="str">
        <f>tblComponents[Component_Name]</f>
        <v>Component 304</v>
      </c>
      <c r="C305" t="str">
        <f>tblComponents[Product_Family]</f>
        <v>Powertrain</v>
      </c>
      <c r="D305" t="str">
        <f>tblComponents[Sourcing_Type]</f>
        <v>Buy</v>
      </c>
      <c r="E305" t="str">
        <f>tblComponents[Criticality]</f>
        <v>Medium</v>
      </c>
      <c r="F305">
        <f>tblComponents[Forecast_Demand]</f>
        <v>1091</v>
      </c>
      <c r="G305">
        <f>tblComponents[Opening_Inventory]</f>
        <v>2845</v>
      </c>
      <c r="H305">
        <f>tblComponents[Safety_Stock]</f>
        <v>399</v>
      </c>
      <c r="I305">
        <f t="shared" si="16"/>
        <v>0</v>
      </c>
      <c r="J305" s="15">
        <f>tblComponents[Defect_Rate]</f>
        <v>0</v>
      </c>
      <c r="K305">
        <f t="shared" si="17"/>
        <v>0</v>
      </c>
      <c r="L305" t="str">
        <f t="shared" si="18"/>
        <v>Procurement</v>
      </c>
      <c r="M305">
        <f t="shared" si="19"/>
        <v>0</v>
      </c>
    </row>
    <row r="306" spans="1:13" x14ac:dyDescent="0.35">
      <c r="A306" s="12" t="str">
        <f>tblComponents[Component_ID]</f>
        <v>C305</v>
      </c>
      <c r="B306" s="12" t="str">
        <f>tblComponents[Component_Name]</f>
        <v>Component 305</v>
      </c>
      <c r="C306" t="str">
        <f>tblComponents[Product_Family]</f>
        <v>Electrical Systems</v>
      </c>
      <c r="D306" t="str">
        <f>tblComponents[Sourcing_Type]</f>
        <v>Buy</v>
      </c>
      <c r="E306" t="str">
        <f>tblComponents[Criticality]</f>
        <v>Medium</v>
      </c>
      <c r="F306">
        <f>tblComponents[Forecast_Demand]</f>
        <v>1938</v>
      </c>
      <c r="G306">
        <f>tblComponents[Opening_Inventory]</f>
        <v>12975</v>
      </c>
      <c r="H306">
        <f>tblComponents[Safety_Stock]</f>
        <v>1612</v>
      </c>
      <c r="I306">
        <f t="shared" si="16"/>
        <v>0</v>
      </c>
      <c r="J306" s="15">
        <f>tblComponents[Defect_Rate]</f>
        <v>0</v>
      </c>
      <c r="K306">
        <f t="shared" si="17"/>
        <v>0</v>
      </c>
      <c r="L306" t="str">
        <f t="shared" si="18"/>
        <v>Procurement</v>
      </c>
      <c r="M306">
        <f t="shared" si="19"/>
        <v>0</v>
      </c>
    </row>
    <row r="307" spans="1:13" x14ac:dyDescent="0.35">
      <c r="A307" s="12" t="str">
        <f>tblComponents[Component_ID]</f>
        <v>C306</v>
      </c>
      <c r="B307" s="12" t="str">
        <f>tblComponents[Component_Name]</f>
        <v>Component 306</v>
      </c>
      <c r="C307" t="str">
        <f>tblComponents[Product_Family]</f>
        <v>Interior</v>
      </c>
      <c r="D307" t="str">
        <f>tblComponents[Sourcing_Type]</f>
        <v>Buy</v>
      </c>
      <c r="E307" t="str">
        <f>tblComponents[Criticality]</f>
        <v>Low</v>
      </c>
      <c r="F307">
        <f>tblComponents[Forecast_Demand]</f>
        <v>1319</v>
      </c>
      <c r="G307">
        <f>tblComponents[Opening_Inventory]</f>
        <v>1833</v>
      </c>
      <c r="H307">
        <f>tblComponents[Safety_Stock]</f>
        <v>478</v>
      </c>
      <c r="I307">
        <f t="shared" si="16"/>
        <v>0</v>
      </c>
      <c r="J307" s="15">
        <f>tblComponents[Defect_Rate]</f>
        <v>0</v>
      </c>
      <c r="K307">
        <f t="shared" si="17"/>
        <v>0</v>
      </c>
      <c r="L307" t="str">
        <f t="shared" si="18"/>
        <v>Procurement</v>
      </c>
      <c r="M307">
        <f t="shared" si="19"/>
        <v>0</v>
      </c>
    </row>
    <row r="308" spans="1:13" x14ac:dyDescent="0.35">
      <c r="A308" s="12" t="str">
        <f>tblComponents[Component_ID]</f>
        <v>C307</v>
      </c>
      <c r="B308" s="12" t="str">
        <f>tblComponents[Component_Name]</f>
        <v>Component 307</v>
      </c>
      <c r="C308" t="str">
        <f>tblComponents[Product_Family]</f>
        <v>Body &amp; Exterior</v>
      </c>
      <c r="D308" t="str">
        <f>tblComponents[Sourcing_Type]</f>
        <v>Buy</v>
      </c>
      <c r="E308" t="str">
        <f>tblComponents[Criticality]</f>
        <v>Low</v>
      </c>
      <c r="F308">
        <f>tblComponents[Forecast_Demand]</f>
        <v>1646</v>
      </c>
      <c r="G308">
        <f>tblComponents[Opening_Inventory]</f>
        <v>5988</v>
      </c>
      <c r="H308">
        <f>tblComponents[Safety_Stock]</f>
        <v>404</v>
      </c>
      <c r="I308">
        <f t="shared" si="16"/>
        <v>0</v>
      </c>
      <c r="J308" s="15">
        <f>tblComponents[Defect_Rate]</f>
        <v>0</v>
      </c>
      <c r="K308">
        <f t="shared" si="17"/>
        <v>0</v>
      </c>
      <c r="L308" t="str">
        <f t="shared" si="18"/>
        <v>Procurement</v>
      </c>
      <c r="M308">
        <f t="shared" si="19"/>
        <v>0</v>
      </c>
    </row>
    <row r="309" spans="1:13" x14ac:dyDescent="0.35">
      <c r="A309" s="12" t="str">
        <f>tblComponents[Component_ID]</f>
        <v>C308</v>
      </c>
      <c r="B309" s="12" t="str">
        <f>tblComponents[Component_Name]</f>
        <v>Component 308</v>
      </c>
      <c r="C309" t="str">
        <f>tblComponents[Product_Family]</f>
        <v>Powertrain</v>
      </c>
      <c r="D309" t="str">
        <f>tblComponents[Sourcing_Type]</f>
        <v>Buy</v>
      </c>
      <c r="E309" t="str">
        <f>tblComponents[Criticality]</f>
        <v>Low</v>
      </c>
      <c r="F309">
        <f>tblComponents[Forecast_Demand]</f>
        <v>668</v>
      </c>
      <c r="G309">
        <f>tblComponents[Opening_Inventory]</f>
        <v>1829</v>
      </c>
      <c r="H309">
        <f>tblComponents[Safety_Stock]</f>
        <v>597</v>
      </c>
      <c r="I309">
        <f t="shared" si="16"/>
        <v>0</v>
      </c>
      <c r="J309" s="15">
        <f>tblComponents[Defect_Rate]</f>
        <v>0</v>
      </c>
      <c r="K309">
        <f t="shared" si="17"/>
        <v>0</v>
      </c>
      <c r="L309" t="str">
        <f t="shared" si="18"/>
        <v>Procurement</v>
      </c>
      <c r="M309">
        <f t="shared" si="19"/>
        <v>0</v>
      </c>
    </row>
    <row r="310" spans="1:13" x14ac:dyDescent="0.35">
      <c r="A310" s="12" t="str">
        <f>tblComponents[Component_ID]</f>
        <v>C309</v>
      </c>
      <c r="B310" s="12" t="str">
        <f>tblComponents[Component_Name]</f>
        <v>Component 309</v>
      </c>
      <c r="C310" t="str">
        <f>tblComponents[Product_Family]</f>
        <v>Body &amp; Exterior</v>
      </c>
      <c r="D310" t="str">
        <f>tblComponents[Sourcing_Type]</f>
        <v>Buy</v>
      </c>
      <c r="E310" t="str">
        <f>tblComponents[Criticality]</f>
        <v>Low</v>
      </c>
      <c r="F310">
        <f>tblComponents[Forecast_Demand]</f>
        <v>196</v>
      </c>
      <c r="G310">
        <f>tblComponents[Opening_Inventory]</f>
        <v>6621</v>
      </c>
      <c r="H310">
        <f>tblComponents[Safety_Stock]</f>
        <v>608</v>
      </c>
      <c r="I310">
        <f t="shared" si="16"/>
        <v>0</v>
      </c>
      <c r="J310" s="15">
        <f>tblComponents[Defect_Rate]</f>
        <v>0</v>
      </c>
      <c r="K310">
        <f t="shared" si="17"/>
        <v>0</v>
      </c>
      <c r="L310" t="str">
        <f t="shared" si="18"/>
        <v>Procurement</v>
      </c>
      <c r="M310">
        <f t="shared" si="19"/>
        <v>0</v>
      </c>
    </row>
    <row r="311" spans="1:13" x14ac:dyDescent="0.35">
      <c r="A311" s="12" t="str">
        <f>tblComponents[Component_ID]</f>
        <v>C310</v>
      </c>
      <c r="B311" s="12" t="str">
        <f>tblComponents[Component_Name]</f>
        <v>Component 310</v>
      </c>
      <c r="C311" t="str">
        <f>tblComponents[Product_Family]</f>
        <v>Electrical Systems</v>
      </c>
      <c r="D311" t="str">
        <f>tblComponents[Sourcing_Type]</f>
        <v>Buy</v>
      </c>
      <c r="E311" t="str">
        <f>tblComponents[Criticality]</f>
        <v>Medium</v>
      </c>
      <c r="F311">
        <f>tblComponents[Forecast_Demand]</f>
        <v>1125</v>
      </c>
      <c r="G311">
        <f>tblComponents[Opening_Inventory]</f>
        <v>7663</v>
      </c>
      <c r="H311">
        <f>tblComponents[Safety_Stock]</f>
        <v>834</v>
      </c>
      <c r="I311">
        <f t="shared" si="16"/>
        <v>0</v>
      </c>
      <c r="J311" s="15">
        <f>tblComponents[Defect_Rate]</f>
        <v>0</v>
      </c>
      <c r="K311">
        <f t="shared" si="17"/>
        <v>0</v>
      </c>
      <c r="L311" t="str">
        <f t="shared" si="18"/>
        <v>Procurement</v>
      </c>
      <c r="M311">
        <f t="shared" si="19"/>
        <v>0</v>
      </c>
    </row>
    <row r="312" spans="1:13" x14ac:dyDescent="0.35">
      <c r="A312" s="12" t="str">
        <f>tblComponents[Component_ID]</f>
        <v>C311</v>
      </c>
      <c r="B312" s="12" t="str">
        <f>tblComponents[Component_Name]</f>
        <v>Component 311</v>
      </c>
      <c r="C312" t="str">
        <f>tblComponents[Product_Family]</f>
        <v>Electrical Systems</v>
      </c>
      <c r="D312" t="str">
        <f>tblComponents[Sourcing_Type]</f>
        <v>Buy</v>
      </c>
      <c r="E312" t="str">
        <f>tblComponents[Criticality]</f>
        <v>Low</v>
      </c>
      <c r="F312">
        <f>tblComponents[Forecast_Demand]</f>
        <v>2011</v>
      </c>
      <c r="G312">
        <f>tblComponents[Opening_Inventory]</f>
        <v>13290</v>
      </c>
      <c r="H312">
        <f>tblComponents[Safety_Stock]</f>
        <v>2657</v>
      </c>
      <c r="I312">
        <f t="shared" si="16"/>
        <v>0</v>
      </c>
      <c r="J312" s="15">
        <f>tblComponents[Defect_Rate]</f>
        <v>0</v>
      </c>
      <c r="K312">
        <f t="shared" si="17"/>
        <v>0</v>
      </c>
      <c r="L312" t="str">
        <f t="shared" si="18"/>
        <v>Procurement</v>
      </c>
      <c r="M312">
        <f t="shared" si="19"/>
        <v>0</v>
      </c>
    </row>
    <row r="313" spans="1:13" x14ac:dyDescent="0.35">
      <c r="A313" s="12" t="str">
        <f>tblComponents[Component_ID]</f>
        <v>C312</v>
      </c>
      <c r="B313" s="12" t="str">
        <f>tblComponents[Component_Name]</f>
        <v>Component 312</v>
      </c>
      <c r="C313" t="str">
        <f>tblComponents[Product_Family]</f>
        <v>Powertrain</v>
      </c>
      <c r="D313" t="str">
        <f>tblComponents[Sourcing_Type]</f>
        <v>Buy</v>
      </c>
      <c r="E313" t="str">
        <f>tblComponents[Criticality]</f>
        <v>Low</v>
      </c>
      <c r="F313">
        <f>tblComponents[Forecast_Demand]</f>
        <v>1275</v>
      </c>
      <c r="G313">
        <f>tblComponents[Opening_Inventory]</f>
        <v>3444</v>
      </c>
      <c r="H313">
        <f>tblComponents[Safety_Stock]</f>
        <v>414</v>
      </c>
      <c r="I313">
        <f t="shared" si="16"/>
        <v>0</v>
      </c>
      <c r="J313" s="15">
        <f>tblComponents[Defect_Rate]</f>
        <v>0</v>
      </c>
      <c r="K313">
        <f t="shared" si="17"/>
        <v>0</v>
      </c>
      <c r="L313" t="str">
        <f t="shared" si="18"/>
        <v>Procurement</v>
      </c>
      <c r="M313">
        <f t="shared" si="19"/>
        <v>0</v>
      </c>
    </row>
    <row r="314" spans="1:13" x14ac:dyDescent="0.35">
      <c r="A314" s="12" t="str">
        <f>tblComponents[Component_ID]</f>
        <v>C313</v>
      </c>
      <c r="B314" s="12" t="str">
        <f>tblComponents[Component_Name]</f>
        <v>Component 313</v>
      </c>
      <c r="C314" t="str">
        <f>tblComponents[Product_Family]</f>
        <v>Chassis</v>
      </c>
      <c r="D314" t="str">
        <f>tblComponents[Sourcing_Type]</f>
        <v>Buy</v>
      </c>
      <c r="E314" t="str">
        <f>tblComponents[Criticality]</f>
        <v>Medium</v>
      </c>
      <c r="F314">
        <f>tblComponents[Forecast_Demand]</f>
        <v>278</v>
      </c>
      <c r="G314">
        <f>tblComponents[Opening_Inventory]</f>
        <v>7595</v>
      </c>
      <c r="H314">
        <f>tblComponents[Safety_Stock]</f>
        <v>1199</v>
      </c>
      <c r="I314">
        <f t="shared" si="16"/>
        <v>0</v>
      </c>
      <c r="J314" s="15">
        <f>tblComponents[Defect_Rate]</f>
        <v>0</v>
      </c>
      <c r="K314">
        <f t="shared" si="17"/>
        <v>0</v>
      </c>
      <c r="L314" t="str">
        <f t="shared" si="18"/>
        <v>Procurement</v>
      </c>
      <c r="M314">
        <f t="shared" si="19"/>
        <v>0</v>
      </c>
    </row>
    <row r="315" spans="1:13" x14ac:dyDescent="0.35">
      <c r="A315" s="12" t="str">
        <f>tblComponents[Component_ID]</f>
        <v>C314</v>
      </c>
      <c r="B315" s="12" t="str">
        <f>tblComponents[Component_Name]</f>
        <v>Component 314</v>
      </c>
      <c r="C315" t="str">
        <f>tblComponents[Product_Family]</f>
        <v>Electrical Systems</v>
      </c>
      <c r="D315" t="str">
        <f>tblComponents[Sourcing_Type]</f>
        <v>Buy</v>
      </c>
      <c r="E315" t="str">
        <f>tblComponents[Criticality]</f>
        <v>Medium</v>
      </c>
      <c r="F315">
        <f>tblComponents[Forecast_Demand]</f>
        <v>165</v>
      </c>
      <c r="G315">
        <f>tblComponents[Opening_Inventory]</f>
        <v>2040</v>
      </c>
      <c r="H315">
        <f>tblComponents[Safety_Stock]</f>
        <v>555</v>
      </c>
      <c r="I315">
        <f t="shared" si="16"/>
        <v>0</v>
      </c>
      <c r="J315" s="15">
        <f>tblComponents[Defect_Rate]</f>
        <v>0</v>
      </c>
      <c r="K315">
        <f t="shared" si="17"/>
        <v>0</v>
      </c>
      <c r="L315" t="str">
        <f t="shared" si="18"/>
        <v>Procurement</v>
      </c>
      <c r="M315">
        <f t="shared" si="19"/>
        <v>0</v>
      </c>
    </row>
    <row r="316" spans="1:13" x14ac:dyDescent="0.35">
      <c r="A316" s="12" t="str">
        <f>tblComponents[Component_ID]</f>
        <v>C315</v>
      </c>
      <c r="B316" s="12" t="str">
        <f>tblComponents[Component_Name]</f>
        <v>Component 315</v>
      </c>
      <c r="C316" t="str">
        <f>tblComponents[Product_Family]</f>
        <v>Body &amp; Exterior</v>
      </c>
      <c r="D316" t="str">
        <f>tblComponents[Sourcing_Type]</f>
        <v>Buy</v>
      </c>
      <c r="E316" t="str">
        <f>tblComponents[Criticality]</f>
        <v>High</v>
      </c>
      <c r="F316">
        <f>tblComponents[Forecast_Demand]</f>
        <v>2217</v>
      </c>
      <c r="G316">
        <f>tblComponents[Opening_Inventory]</f>
        <v>4051</v>
      </c>
      <c r="H316">
        <f>tblComponents[Safety_Stock]</f>
        <v>1677</v>
      </c>
      <c r="I316">
        <f t="shared" si="16"/>
        <v>0</v>
      </c>
      <c r="J316" s="15">
        <f>tblComponents[Defect_Rate]</f>
        <v>0</v>
      </c>
      <c r="K316">
        <f t="shared" si="17"/>
        <v>0</v>
      </c>
      <c r="L316" t="str">
        <f t="shared" si="18"/>
        <v>Procurement</v>
      </c>
      <c r="M316">
        <f t="shared" si="19"/>
        <v>0</v>
      </c>
    </row>
    <row r="317" spans="1:13" x14ac:dyDescent="0.35">
      <c r="A317" s="12" t="str">
        <f>tblComponents[Component_ID]</f>
        <v>C316</v>
      </c>
      <c r="B317" s="12" t="str">
        <f>tblComponents[Component_Name]</f>
        <v>Component 316</v>
      </c>
      <c r="C317" t="str">
        <f>tblComponents[Product_Family]</f>
        <v>Body &amp; Exterior</v>
      </c>
      <c r="D317" t="str">
        <f>tblComponents[Sourcing_Type]</f>
        <v>Buy</v>
      </c>
      <c r="E317" t="str">
        <f>tblComponents[Criticality]</f>
        <v>High</v>
      </c>
      <c r="F317">
        <f>tblComponents[Forecast_Demand]</f>
        <v>314</v>
      </c>
      <c r="G317">
        <f>tblComponents[Opening_Inventory]</f>
        <v>2221</v>
      </c>
      <c r="H317">
        <f>tblComponents[Safety_Stock]</f>
        <v>332</v>
      </c>
      <c r="I317">
        <f t="shared" si="16"/>
        <v>0</v>
      </c>
      <c r="J317" s="15">
        <f>tblComponents[Defect_Rate]</f>
        <v>0</v>
      </c>
      <c r="K317">
        <f t="shared" si="17"/>
        <v>0</v>
      </c>
      <c r="L317" t="str">
        <f t="shared" si="18"/>
        <v>Procurement</v>
      </c>
      <c r="M317">
        <f t="shared" si="19"/>
        <v>0</v>
      </c>
    </row>
    <row r="318" spans="1:13" x14ac:dyDescent="0.35">
      <c r="A318" s="12" t="str">
        <f>tblComponents[Component_ID]</f>
        <v>C317</v>
      </c>
      <c r="B318" s="12" t="str">
        <f>tblComponents[Component_Name]</f>
        <v>Component 317</v>
      </c>
      <c r="C318" t="str">
        <f>tblComponents[Product_Family]</f>
        <v>Body &amp; Exterior</v>
      </c>
      <c r="D318" t="str">
        <f>tblComponents[Sourcing_Type]</f>
        <v>Buy</v>
      </c>
      <c r="E318" t="str">
        <f>tblComponents[Criticality]</f>
        <v>High</v>
      </c>
      <c r="F318">
        <f>tblComponents[Forecast_Demand]</f>
        <v>2939</v>
      </c>
      <c r="G318">
        <f>tblComponents[Opening_Inventory]</f>
        <v>8717</v>
      </c>
      <c r="H318">
        <f>tblComponents[Safety_Stock]</f>
        <v>1983</v>
      </c>
      <c r="I318">
        <f t="shared" si="16"/>
        <v>0</v>
      </c>
      <c r="J318" s="15">
        <f>tblComponents[Defect_Rate]</f>
        <v>0</v>
      </c>
      <c r="K318">
        <f t="shared" si="17"/>
        <v>0</v>
      </c>
      <c r="L318" t="str">
        <f t="shared" si="18"/>
        <v>Procurement</v>
      </c>
      <c r="M318">
        <f t="shared" si="19"/>
        <v>0</v>
      </c>
    </row>
    <row r="319" spans="1:13" x14ac:dyDescent="0.35">
      <c r="A319" s="12" t="str">
        <f>tblComponents[Component_ID]</f>
        <v>C318</v>
      </c>
      <c r="B319" s="12" t="str">
        <f>tblComponents[Component_Name]</f>
        <v>Component 318</v>
      </c>
      <c r="C319" t="str">
        <f>tblComponents[Product_Family]</f>
        <v>Body &amp; Exterior</v>
      </c>
      <c r="D319" t="str">
        <f>tblComponents[Sourcing_Type]</f>
        <v>Buy</v>
      </c>
      <c r="E319" t="str">
        <f>tblComponents[Criticality]</f>
        <v>High</v>
      </c>
      <c r="F319">
        <f>tblComponents[Forecast_Demand]</f>
        <v>2613</v>
      </c>
      <c r="G319">
        <f>tblComponents[Opening_Inventory]</f>
        <v>3455</v>
      </c>
      <c r="H319">
        <f>tblComponents[Safety_Stock]</f>
        <v>695</v>
      </c>
      <c r="I319">
        <f t="shared" si="16"/>
        <v>0</v>
      </c>
      <c r="J319" s="15">
        <f>tblComponents[Defect_Rate]</f>
        <v>0</v>
      </c>
      <c r="K319">
        <f t="shared" si="17"/>
        <v>0</v>
      </c>
      <c r="L319" t="str">
        <f t="shared" si="18"/>
        <v>Procurement</v>
      </c>
      <c r="M319">
        <f t="shared" si="19"/>
        <v>0</v>
      </c>
    </row>
    <row r="320" spans="1:13" x14ac:dyDescent="0.35">
      <c r="A320" s="12" t="str">
        <f>tblComponents[Component_ID]</f>
        <v>C319</v>
      </c>
      <c r="B320" s="12" t="str">
        <f>tblComponents[Component_Name]</f>
        <v>Component 319</v>
      </c>
      <c r="C320" t="str">
        <f>tblComponents[Product_Family]</f>
        <v>Chassis</v>
      </c>
      <c r="D320" t="str">
        <f>tblComponents[Sourcing_Type]</f>
        <v>Buy</v>
      </c>
      <c r="E320" t="str">
        <f>tblComponents[Criticality]</f>
        <v>Medium</v>
      </c>
      <c r="F320">
        <f>tblComponents[Forecast_Demand]</f>
        <v>1757</v>
      </c>
      <c r="G320">
        <f>tblComponents[Opening_Inventory]</f>
        <v>3051</v>
      </c>
      <c r="H320">
        <f>tblComponents[Safety_Stock]</f>
        <v>652</v>
      </c>
      <c r="I320">
        <f t="shared" si="16"/>
        <v>0</v>
      </c>
      <c r="J320" s="15">
        <f>tblComponents[Defect_Rate]</f>
        <v>0</v>
      </c>
      <c r="K320">
        <f t="shared" si="17"/>
        <v>0</v>
      </c>
      <c r="L320" t="str">
        <f t="shared" si="18"/>
        <v>Procurement</v>
      </c>
      <c r="M320">
        <f t="shared" si="19"/>
        <v>0</v>
      </c>
    </row>
    <row r="321" spans="1:13" x14ac:dyDescent="0.35">
      <c r="A321" s="12" t="str">
        <f>tblComponents[Component_ID]</f>
        <v>C320</v>
      </c>
      <c r="B321" s="12" t="str">
        <f>tblComponents[Component_Name]</f>
        <v>Component 320</v>
      </c>
      <c r="C321" t="str">
        <f>tblComponents[Product_Family]</f>
        <v>Powertrain</v>
      </c>
      <c r="D321" t="str">
        <f>tblComponents[Sourcing_Type]</f>
        <v>Buy</v>
      </c>
      <c r="E321" t="str">
        <f>tblComponents[Criticality]</f>
        <v>Medium</v>
      </c>
      <c r="F321">
        <f>tblComponents[Forecast_Demand]</f>
        <v>705</v>
      </c>
      <c r="G321">
        <f>tblComponents[Opening_Inventory]</f>
        <v>5252</v>
      </c>
      <c r="H321">
        <f>tblComponents[Safety_Stock]</f>
        <v>1069</v>
      </c>
      <c r="I321">
        <f t="shared" si="16"/>
        <v>0</v>
      </c>
      <c r="J321" s="15">
        <f>tblComponents[Defect_Rate]</f>
        <v>0</v>
      </c>
      <c r="K321">
        <f t="shared" si="17"/>
        <v>0</v>
      </c>
      <c r="L321" t="str">
        <f t="shared" si="18"/>
        <v>Procurement</v>
      </c>
      <c r="M321">
        <f t="shared" si="19"/>
        <v>0</v>
      </c>
    </row>
    <row r="322" spans="1:13" x14ac:dyDescent="0.35">
      <c r="A322" s="12" t="str">
        <f>tblComponents[Component_ID]</f>
        <v>C321</v>
      </c>
      <c r="B322" s="12" t="str">
        <f>tblComponents[Component_Name]</f>
        <v>Component 321</v>
      </c>
      <c r="C322" t="str">
        <f>tblComponents[Product_Family]</f>
        <v>Body &amp; Exterior</v>
      </c>
      <c r="D322" t="str">
        <f>tblComponents[Sourcing_Type]</f>
        <v>Buy</v>
      </c>
      <c r="E322" t="str">
        <f>tblComponents[Criticality]</f>
        <v>Medium</v>
      </c>
      <c r="F322">
        <f>tblComponents[Forecast_Demand]</f>
        <v>2858</v>
      </c>
      <c r="G322">
        <f>tblComponents[Opening_Inventory]</f>
        <v>2603</v>
      </c>
      <c r="H322">
        <f>tblComponents[Safety_Stock]</f>
        <v>441</v>
      </c>
      <c r="I322">
        <f t="shared" si="16"/>
        <v>696</v>
      </c>
      <c r="J322" s="15">
        <f>tblComponents[Defect_Rate]</f>
        <v>0</v>
      </c>
      <c r="K322">
        <f t="shared" si="17"/>
        <v>696</v>
      </c>
      <c r="L322" t="str">
        <f t="shared" si="18"/>
        <v>Procurement</v>
      </c>
      <c r="M322">
        <f t="shared" si="19"/>
        <v>696</v>
      </c>
    </row>
    <row r="323" spans="1:13" x14ac:dyDescent="0.35">
      <c r="A323" s="12" t="str">
        <f>tblComponents[Component_ID]</f>
        <v>C322</v>
      </c>
      <c r="B323" s="12" t="str">
        <f>tblComponents[Component_Name]</f>
        <v>Component 322</v>
      </c>
      <c r="C323" t="str">
        <f>tblComponents[Product_Family]</f>
        <v>Interior</v>
      </c>
      <c r="D323" t="str">
        <f>tblComponents[Sourcing_Type]</f>
        <v>Buy</v>
      </c>
      <c r="E323" t="str">
        <f>tblComponents[Criticality]</f>
        <v>Medium</v>
      </c>
      <c r="F323">
        <f>tblComponents[Forecast_Demand]</f>
        <v>145</v>
      </c>
      <c r="G323">
        <f>tblComponents[Opening_Inventory]</f>
        <v>622</v>
      </c>
      <c r="H323">
        <f>tblComponents[Safety_Stock]</f>
        <v>83</v>
      </c>
      <c r="I323">
        <f t="shared" ref="I323:I386" si="20">MAX(0,F323+H323-G323)</f>
        <v>0</v>
      </c>
      <c r="J323" s="15">
        <f>tblComponents[Defect_Rate]</f>
        <v>0</v>
      </c>
      <c r="K323">
        <f t="shared" ref="K323:K386" si="21">IFERROR(I323/(1-J323),0)</f>
        <v>0</v>
      </c>
      <c r="L323" t="str">
        <f t="shared" ref="L323:L386" si="22">IF(D323="Make","Production","Procurement")</f>
        <v>Procurement</v>
      </c>
      <c r="M323">
        <f t="shared" ref="M323:M386" si="23">K323</f>
        <v>0</v>
      </c>
    </row>
    <row r="324" spans="1:13" x14ac:dyDescent="0.35">
      <c r="A324" s="12" t="str">
        <f>tblComponents[Component_ID]</f>
        <v>C323</v>
      </c>
      <c r="B324" s="12" t="str">
        <f>tblComponents[Component_Name]</f>
        <v>Component 323</v>
      </c>
      <c r="C324" t="str">
        <f>tblComponents[Product_Family]</f>
        <v>Body &amp; Exterior</v>
      </c>
      <c r="D324" t="str">
        <f>tblComponents[Sourcing_Type]</f>
        <v>Buy</v>
      </c>
      <c r="E324" t="str">
        <f>tblComponents[Criticality]</f>
        <v>Low</v>
      </c>
      <c r="F324">
        <f>tblComponents[Forecast_Demand]</f>
        <v>827</v>
      </c>
      <c r="G324">
        <f>tblComponents[Opening_Inventory]</f>
        <v>1537</v>
      </c>
      <c r="H324">
        <f>tblComponents[Safety_Stock]</f>
        <v>357</v>
      </c>
      <c r="I324">
        <f t="shared" si="20"/>
        <v>0</v>
      </c>
      <c r="J324" s="15">
        <f>tblComponents[Defect_Rate]</f>
        <v>0</v>
      </c>
      <c r="K324">
        <f t="shared" si="21"/>
        <v>0</v>
      </c>
      <c r="L324" t="str">
        <f t="shared" si="22"/>
        <v>Procurement</v>
      </c>
      <c r="M324">
        <f t="shared" si="23"/>
        <v>0</v>
      </c>
    </row>
    <row r="325" spans="1:13" x14ac:dyDescent="0.35">
      <c r="A325" s="12" t="str">
        <f>tblComponents[Component_ID]</f>
        <v>C324</v>
      </c>
      <c r="B325" s="12" t="str">
        <f>tblComponents[Component_Name]</f>
        <v>Component 324</v>
      </c>
      <c r="C325" t="str">
        <f>tblComponents[Product_Family]</f>
        <v>Electrical Systems</v>
      </c>
      <c r="D325" t="str">
        <f>tblComponents[Sourcing_Type]</f>
        <v>Buy</v>
      </c>
      <c r="E325" t="str">
        <f>tblComponents[Criticality]</f>
        <v>High</v>
      </c>
      <c r="F325">
        <f>tblComponents[Forecast_Demand]</f>
        <v>1099</v>
      </c>
      <c r="G325">
        <f>tblComponents[Opening_Inventory]</f>
        <v>4873</v>
      </c>
      <c r="H325">
        <f>tblComponents[Safety_Stock]</f>
        <v>781</v>
      </c>
      <c r="I325">
        <f t="shared" si="20"/>
        <v>0</v>
      </c>
      <c r="J325" s="15">
        <f>tblComponents[Defect_Rate]</f>
        <v>0</v>
      </c>
      <c r="K325">
        <f t="shared" si="21"/>
        <v>0</v>
      </c>
      <c r="L325" t="str">
        <f t="shared" si="22"/>
        <v>Procurement</v>
      </c>
      <c r="M325">
        <f t="shared" si="23"/>
        <v>0</v>
      </c>
    </row>
    <row r="326" spans="1:13" x14ac:dyDescent="0.35">
      <c r="A326" s="12" t="str">
        <f>tblComponents[Component_ID]</f>
        <v>C325</v>
      </c>
      <c r="B326" s="12" t="str">
        <f>tblComponents[Component_Name]</f>
        <v>Component 325</v>
      </c>
      <c r="C326" t="str">
        <f>tblComponents[Product_Family]</f>
        <v>Electrical Systems</v>
      </c>
      <c r="D326" t="str">
        <f>tblComponents[Sourcing_Type]</f>
        <v>Buy</v>
      </c>
      <c r="E326" t="str">
        <f>tblComponents[Criticality]</f>
        <v>Medium</v>
      </c>
      <c r="F326">
        <f>tblComponents[Forecast_Demand]</f>
        <v>203</v>
      </c>
      <c r="G326">
        <f>tblComponents[Opening_Inventory]</f>
        <v>8131</v>
      </c>
      <c r="H326">
        <f>tblComponents[Safety_Stock]</f>
        <v>1273</v>
      </c>
      <c r="I326">
        <f t="shared" si="20"/>
        <v>0</v>
      </c>
      <c r="J326" s="15">
        <f>tblComponents[Defect_Rate]</f>
        <v>0</v>
      </c>
      <c r="K326">
        <f t="shared" si="21"/>
        <v>0</v>
      </c>
      <c r="L326" t="str">
        <f t="shared" si="22"/>
        <v>Procurement</v>
      </c>
      <c r="M326">
        <f t="shared" si="23"/>
        <v>0</v>
      </c>
    </row>
    <row r="327" spans="1:13" x14ac:dyDescent="0.35">
      <c r="A327" s="12" t="str">
        <f>tblComponents[Component_ID]</f>
        <v>C326</v>
      </c>
      <c r="B327" s="12" t="str">
        <f>tblComponents[Component_Name]</f>
        <v>Component 326</v>
      </c>
      <c r="C327" t="str">
        <f>tblComponents[Product_Family]</f>
        <v>Powertrain</v>
      </c>
      <c r="D327" t="str">
        <f>tblComponents[Sourcing_Type]</f>
        <v>Buy</v>
      </c>
      <c r="E327" t="str">
        <f>tblComponents[Criticality]</f>
        <v>High</v>
      </c>
      <c r="F327">
        <f>tblComponents[Forecast_Demand]</f>
        <v>924</v>
      </c>
      <c r="G327">
        <f>tblComponents[Opening_Inventory]</f>
        <v>8611</v>
      </c>
      <c r="H327">
        <f>tblComponents[Safety_Stock]</f>
        <v>1298</v>
      </c>
      <c r="I327">
        <f t="shared" si="20"/>
        <v>0</v>
      </c>
      <c r="J327" s="15">
        <f>tblComponents[Defect_Rate]</f>
        <v>0</v>
      </c>
      <c r="K327">
        <f t="shared" si="21"/>
        <v>0</v>
      </c>
      <c r="L327" t="str">
        <f t="shared" si="22"/>
        <v>Procurement</v>
      </c>
      <c r="M327">
        <f t="shared" si="23"/>
        <v>0</v>
      </c>
    </row>
    <row r="328" spans="1:13" x14ac:dyDescent="0.35">
      <c r="A328" s="12" t="str">
        <f>tblComponents[Component_ID]</f>
        <v>C327</v>
      </c>
      <c r="B328" s="12" t="str">
        <f>tblComponents[Component_Name]</f>
        <v>Component 327</v>
      </c>
      <c r="C328" t="str">
        <f>tblComponents[Product_Family]</f>
        <v>Interior</v>
      </c>
      <c r="D328" t="str">
        <f>tblComponents[Sourcing_Type]</f>
        <v>Buy</v>
      </c>
      <c r="E328" t="str">
        <f>tblComponents[Criticality]</f>
        <v>High</v>
      </c>
      <c r="F328">
        <f>tblComponents[Forecast_Demand]</f>
        <v>498</v>
      </c>
      <c r="G328">
        <f>tblComponents[Opening_Inventory]</f>
        <v>2773</v>
      </c>
      <c r="H328">
        <f>tblComponents[Safety_Stock]</f>
        <v>578</v>
      </c>
      <c r="I328">
        <f t="shared" si="20"/>
        <v>0</v>
      </c>
      <c r="J328" s="15">
        <f>tblComponents[Defect_Rate]</f>
        <v>0</v>
      </c>
      <c r="K328">
        <f t="shared" si="21"/>
        <v>0</v>
      </c>
      <c r="L328" t="str">
        <f t="shared" si="22"/>
        <v>Procurement</v>
      </c>
      <c r="M328">
        <f t="shared" si="23"/>
        <v>0</v>
      </c>
    </row>
    <row r="329" spans="1:13" x14ac:dyDescent="0.35">
      <c r="A329" s="12" t="str">
        <f>tblComponents[Component_ID]</f>
        <v>C328</v>
      </c>
      <c r="B329" s="12" t="str">
        <f>tblComponents[Component_Name]</f>
        <v>Component 328</v>
      </c>
      <c r="C329" t="str">
        <f>tblComponents[Product_Family]</f>
        <v>Powertrain</v>
      </c>
      <c r="D329" t="str">
        <f>tblComponents[Sourcing_Type]</f>
        <v>Buy</v>
      </c>
      <c r="E329" t="str">
        <f>tblComponents[Criticality]</f>
        <v>Low</v>
      </c>
      <c r="F329">
        <f>tblComponents[Forecast_Demand]</f>
        <v>115</v>
      </c>
      <c r="G329">
        <f>tblComponents[Opening_Inventory]</f>
        <v>2740</v>
      </c>
      <c r="H329">
        <f>tblComponents[Safety_Stock]</f>
        <v>279</v>
      </c>
      <c r="I329">
        <f t="shared" si="20"/>
        <v>0</v>
      </c>
      <c r="J329" s="15">
        <f>tblComponents[Defect_Rate]</f>
        <v>0</v>
      </c>
      <c r="K329">
        <f t="shared" si="21"/>
        <v>0</v>
      </c>
      <c r="L329" t="str">
        <f t="shared" si="22"/>
        <v>Procurement</v>
      </c>
      <c r="M329">
        <f t="shared" si="23"/>
        <v>0</v>
      </c>
    </row>
    <row r="330" spans="1:13" x14ac:dyDescent="0.35">
      <c r="A330" s="12" t="str">
        <f>tblComponents[Component_ID]</f>
        <v>C329</v>
      </c>
      <c r="B330" s="12" t="str">
        <f>tblComponents[Component_Name]</f>
        <v>Component 329</v>
      </c>
      <c r="C330" t="str">
        <f>tblComponents[Product_Family]</f>
        <v>Powertrain</v>
      </c>
      <c r="D330" t="str">
        <f>tblComponents[Sourcing_Type]</f>
        <v>Buy</v>
      </c>
      <c r="E330" t="str">
        <f>tblComponents[Criticality]</f>
        <v>Medium</v>
      </c>
      <c r="F330">
        <f>tblComponents[Forecast_Demand]</f>
        <v>437</v>
      </c>
      <c r="G330">
        <f>tblComponents[Opening_Inventory]</f>
        <v>5984</v>
      </c>
      <c r="H330">
        <f>tblComponents[Safety_Stock]</f>
        <v>287</v>
      </c>
      <c r="I330">
        <f t="shared" si="20"/>
        <v>0</v>
      </c>
      <c r="J330" s="15">
        <f>tblComponents[Defect_Rate]</f>
        <v>0</v>
      </c>
      <c r="K330">
        <f t="shared" si="21"/>
        <v>0</v>
      </c>
      <c r="L330" t="str">
        <f t="shared" si="22"/>
        <v>Procurement</v>
      </c>
      <c r="M330">
        <f t="shared" si="23"/>
        <v>0</v>
      </c>
    </row>
    <row r="331" spans="1:13" x14ac:dyDescent="0.35">
      <c r="A331" s="12" t="str">
        <f>tblComponents[Component_ID]</f>
        <v>C330</v>
      </c>
      <c r="B331" s="12" t="str">
        <f>tblComponents[Component_Name]</f>
        <v>Component 330</v>
      </c>
      <c r="C331" t="str">
        <f>tblComponents[Product_Family]</f>
        <v>Electrical Systems</v>
      </c>
      <c r="D331" t="str">
        <f>tblComponents[Sourcing_Type]</f>
        <v>Buy</v>
      </c>
      <c r="E331" t="str">
        <f>tblComponents[Criticality]</f>
        <v>Low</v>
      </c>
      <c r="F331">
        <f>tblComponents[Forecast_Demand]</f>
        <v>2132</v>
      </c>
      <c r="G331">
        <f>tblComponents[Opening_Inventory]</f>
        <v>9163</v>
      </c>
      <c r="H331">
        <f>tblComponents[Safety_Stock]</f>
        <v>964</v>
      </c>
      <c r="I331">
        <f t="shared" si="20"/>
        <v>0</v>
      </c>
      <c r="J331" s="15">
        <f>tblComponents[Defect_Rate]</f>
        <v>0</v>
      </c>
      <c r="K331">
        <f t="shared" si="21"/>
        <v>0</v>
      </c>
      <c r="L331" t="str">
        <f t="shared" si="22"/>
        <v>Procurement</v>
      </c>
      <c r="M331">
        <f t="shared" si="23"/>
        <v>0</v>
      </c>
    </row>
    <row r="332" spans="1:13" x14ac:dyDescent="0.35">
      <c r="A332" s="12" t="str">
        <f>tblComponents[Component_ID]</f>
        <v>C331</v>
      </c>
      <c r="B332" s="12" t="str">
        <f>tblComponents[Component_Name]</f>
        <v>Component 331</v>
      </c>
      <c r="C332" t="str">
        <f>tblComponents[Product_Family]</f>
        <v>Body &amp; Exterior</v>
      </c>
      <c r="D332" t="str">
        <f>tblComponents[Sourcing_Type]</f>
        <v>Buy</v>
      </c>
      <c r="E332" t="str">
        <f>tblComponents[Criticality]</f>
        <v>Low</v>
      </c>
      <c r="F332">
        <f>tblComponents[Forecast_Demand]</f>
        <v>921</v>
      </c>
      <c r="G332">
        <f>tblComponents[Opening_Inventory]</f>
        <v>1709</v>
      </c>
      <c r="H332">
        <f>tblComponents[Safety_Stock]</f>
        <v>575</v>
      </c>
      <c r="I332">
        <f t="shared" si="20"/>
        <v>0</v>
      </c>
      <c r="J332" s="15">
        <f>tblComponents[Defect_Rate]</f>
        <v>0</v>
      </c>
      <c r="K332">
        <f t="shared" si="21"/>
        <v>0</v>
      </c>
      <c r="L332" t="str">
        <f t="shared" si="22"/>
        <v>Procurement</v>
      </c>
      <c r="M332">
        <f t="shared" si="23"/>
        <v>0</v>
      </c>
    </row>
    <row r="333" spans="1:13" x14ac:dyDescent="0.35">
      <c r="A333" s="12" t="str">
        <f>tblComponents[Component_ID]</f>
        <v>C332</v>
      </c>
      <c r="B333" s="12" t="str">
        <f>tblComponents[Component_Name]</f>
        <v>Component 332</v>
      </c>
      <c r="C333" t="str">
        <f>tblComponents[Product_Family]</f>
        <v>Chassis</v>
      </c>
      <c r="D333" t="str">
        <f>tblComponents[Sourcing_Type]</f>
        <v>Buy</v>
      </c>
      <c r="E333" t="str">
        <f>tblComponents[Criticality]</f>
        <v>High</v>
      </c>
      <c r="F333">
        <f>tblComponents[Forecast_Demand]</f>
        <v>1575</v>
      </c>
      <c r="G333">
        <f>tblComponents[Opening_Inventory]</f>
        <v>6756</v>
      </c>
      <c r="H333">
        <f>tblComponents[Safety_Stock]</f>
        <v>945</v>
      </c>
      <c r="I333">
        <f t="shared" si="20"/>
        <v>0</v>
      </c>
      <c r="J333" s="15">
        <f>tblComponents[Defect_Rate]</f>
        <v>0</v>
      </c>
      <c r="K333">
        <f t="shared" si="21"/>
        <v>0</v>
      </c>
      <c r="L333" t="str">
        <f t="shared" si="22"/>
        <v>Procurement</v>
      </c>
      <c r="M333">
        <f t="shared" si="23"/>
        <v>0</v>
      </c>
    </row>
    <row r="334" spans="1:13" x14ac:dyDescent="0.35">
      <c r="A334" s="12" t="str">
        <f>tblComponents[Component_ID]</f>
        <v>C333</v>
      </c>
      <c r="B334" s="12" t="str">
        <f>tblComponents[Component_Name]</f>
        <v>Component 333</v>
      </c>
      <c r="C334" t="str">
        <f>tblComponents[Product_Family]</f>
        <v>Body &amp; Exterior</v>
      </c>
      <c r="D334" t="str">
        <f>tblComponents[Sourcing_Type]</f>
        <v>Buy</v>
      </c>
      <c r="E334" t="str">
        <f>tblComponents[Criticality]</f>
        <v>Medium</v>
      </c>
      <c r="F334">
        <f>tblComponents[Forecast_Demand]</f>
        <v>363</v>
      </c>
      <c r="G334">
        <f>tblComponents[Opening_Inventory]</f>
        <v>3439</v>
      </c>
      <c r="H334">
        <f>tblComponents[Safety_Stock]</f>
        <v>449</v>
      </c>
      <c r="I334">
        <f t="shared" si="20"/>
        <v>0</v>
      </c>
      <c r="J334" s="15">
        <f>tblComponents[Defect_Rate]</f>
        <v>0</v>
      </c>
      <c r="K334">
        <f t="shared" si="21"/>
        <v>0</v>
      </c>
      <c r="L334" t="str">
        <f t="shared" si="22"/>
        <v>Procurement</v>
      </c>
      <c r="M334">
        <f t="shared" si="23"/>
        <v>0</v>
      </c>
    </row>
    <row r="335" spans="1:13" x14ac:dyDescent="0.35">
      <c r="A335" s="12" t="str">
        <f>tblComponents[Component_ID]</f>
        <v>C334</v>
      </c>
      <c r="B335" s="12" t="str">
        <f>tblComponents[Component_Name]</f>
        <v>Component 334</v>
      </c>
      <c r="C335" t="str">
        <f>tblComponents[Product_Family]</f>
        <v>Electrical Systems</v>
      </c>
      <c r="D335" t="str">
        <f>tblComponents[Sourcing_Type]</f>
        <v>Buy</v>
      </c>
      <c r="E335" t="str">
        <f>tblComponents[Criticality]</f>
        <v>High</v>
      </c>
      <c r="F335">
        <f>tblComponents[Forecast_Demand]</f>
        <v>1534</v>
      </c>
      <c r="G335">
        <f>tblComponents[Opening_Inventory]</f>
        <v>12674</v>
      </c>
      <c r="H335">
        <f>tblComponents[Safety_Stock]</f>
        <v>2207</v>
      </c>
      <c r="I335">
        <f t="shared" si="20"/>
        <v>0</v>
      </c>
      <c r="J335" s="15">
        <f>tblComponents[Defect_Rate]</f>
        <v>0</v>
      </c>
      <c r="K335">
        <f t="shared" si="21"/>
        <v>0</v>
      </c>
      <c r="L335" t="str">
        <f t="shared" si="22"/>
        <v>Procurement</v>
      </c>
      <c r="M335">
        <f t="shared" si="23"/>
        <v>0</v>
      </c>
    </row>
    <row r="336" spans="1:13" x14ac:dyDescent="0.35">
      <c r="A336" s="12" t="str">
        <f>tblComponents[Component_ID]</f>
        <v>C335</v>
      </c>
      <c r="B336" s="12" t="str">
        <f>tblComponents[Component_Name]</f>
        <v>Component 335</v>
      </c>
      <c r="C336" t="str">
        <f>tblComponents[Product_Family]</f>
        <v>Chassis</v>
      </c>
      <c r="D336" t="str">
        <f>tblComponents[Sourcing_Type]</f>
        <v>Buy</v>
      </c>
      <c r="E336" t="str">
        <f>tblComponents[Criticality]</f>
        <v>Low</v>
      </c>
      <c r="F336">
        <f>tblComponents[Forecast_Demand]</f>
        <v>1717</v>
      </c>
      <c r="G336">
        <f>tblComponents[Opening_Inventory]</f>
        <v>1852</v>
      </c>
      <c r="H336">
        <f>tblComponents[Safety_Stock]</f>
        <v>472</v>
      </c>
      <c r="I336">
        <f t="shared" si="20"/>
        <v>337</v>
      </c>
      <c r="J336" s="15">
        <f>tblComponents[Defect_Rate]</f>
        <v>0</v>
      </c>
      <c r="K336">
        <f t="shared" si="21"/>
        <v>337</v>
      </c>
      <c r="L336" t="str">
        <f t="shared" si="22"/>
        <v>Procurement</v>
      </c>
      <c r="M336">
        <f t="shared" si="23"/>
        <v>337</v>
      </c>
    </row>
    <row r="337" spans="1:13" x14ac:dyDescent="0.35">
      <c r="A337" s="12" t="str">
        <f>tblComponents[Component_ID]</f>
        <v>C336</v>
      </c>
      <c r="B337" s="12" t="str">
        <f>tblComponents[Component_Name]</f>
        <v>Component 336</v>
      </c>
      <c r="C337" t="str">
        <f>tblComponents[Product_Family]</f>
        <v>Powertrain</v>
      </c>
      <c r="D337" t="str">
        <f>tblComponents[Sourcing_Type]</f>
        <v>Buy</v>
      </c>
      <c r="E337" t="str">
        <f>tblComponents[Criticality]</f>
        <v>Medium</v>
      </c>
      <c r="F337">
        <f>tblComponents[Forecast_Demand]</f>
        <v>592</v>
      </c>
      <c r="G337">
        <f>tblComponents[Opening_Inventory]</f>
        <v>10876</v>
      </c>
      <c r="H337">
        <f>tblComponents[Safety_Stock]</f>
        <v>1697</v>
      </c>
      <c r="I337">
        <f t="shared" si="20"/>
        <v>0</v>
      </c>
      <c r="J337" s="15">
        <f>tblComponents[Defect_Rate]</f>
        <v>0</v>
      </c>
      <c r="K337">
        <f t="shared" si="21"/>
        <v>0</v>
      </c>
      <c r="L337" t="str">
        <f t="shared" si="22"/>
        <v>Procurement</v>
      </c>
      <c r="M337">
        <f t="shared" si="23"/>
        <v>0</v>
      </c>
    </row>
    <row r="338" spans="1:13" x14ac:dyDescent="0.35">
      <c r="A338" s="12" t="str">
        <f>tblComponents[Component_ID]</f>
        <v>C337</v>
      </c>
      <c r="B338" s="12" t="str">
        <f>tblComponents[Component_Name]</f>
        <v>Component 337</v>
      </c>
      <c r="C338" t="str">
        <f>tblComponents[Product_Family]</f>
        <v>Electrical Systems</v>
      </c>
      <c r="D338" t="str">
        <f>tblComponents[Sourcing_Type]</f>
        <v>Buy</v>
      </c>
      <c r="E338" t="str">
        <f>tblComponents[Criticality]</f>
        <v>High</v>
      </c>
      <c r="F338">
        <f>tblComponents[Forecast_Demand]</f>
        <v>3461</v>
      </c>
      <c r="G338">
        <f>tblComponents[Opening_Inventory]</f>
        <v>2846</v>
      </c>
      <c r="H338">
        <f>tblComponents[Safety_Stock]</f>
        <v>476</v>
      </c>
      <c r="I338">
        <f t="shared" si="20"/>
        <v>1091</v>
      </c>
      <c r="J338" s="15">
        <f>tblComponents[Defect_Rate]</f>
        <v>0</v>
      </c>
      <c r="K338">
        <f t="shared" si="21"/>
        <v>1091</v>
      </c>
      <c r="L338" t="str">
        <f t="shared" si="22"/>
        <v>Procurement</v>
      </c>
      <c r="M338">
        <f t="shared" si="23"/>
        <v>1091</v>
      </c>
    </row>
    <row r="339" spans="1:13" x14ac:dyDescent="0.35">
      <c r="A339" s="12" t="str">
        <f>tblComponents[Component_ID]</f>
        <v>C338</v>
      </c>
      <c r="B339" s="12" t="str">
        <f>tblComponents[Component_Name]</f>
        <v>Component 338</v>
      </c>
      <c r="C339" t="str">
        <f>tblComponents[Product_Family]</f>
        <v>Body &amp; Exterior</v>
      </c>
      <c r="D339" t="str">
        <f>tblComponents[Sourcing_Type]</f>
        <v>Buy</v>
      </c>
      <c r="E339" t="str">
        <f>tblComponents[Criticality]</f>
        <v>Low</v>
      </c>
      <c r="F339">
        <f>tblComponents[Forecast_Demand]</f>
        <v>2057</v>
      </c>
      <c r="G339">
        <f>tblComponents[Opening_Inventory]</f>
        <v>3748</v>
      </c>
      <c r="H339">
        <f>tblComponents[Safety_Stock]</f>
        <v>1213</v>
      </c>
      <c r="I339">
        <f t="shared" si="20"/>
        <v>0</v>
      </c>
      <c r="J339" s="15">
        <f>tblComponents[Defect_Rate]</f>
        <v>0</v>
      </c>
      <c r="K339">
        <f t="shared" si="21"/>
        <v>0</v>
      </c>
      <c r="L339" t="str">
        <f t="shared" si="22"/>
        <v>Procurement</v>
      </c>
      <c r="M339">
        <f t="shared" si="23"/>
        <v>0</v>
      </c>
    </row>
    <row r="340" spans="1:13" x14ac:dyDescent="0.35">
      <c r="A340" s="12" t="str">
        <f>tblComponents[Component_ID]</f>
        <v>C339</v>
      </c>
      <c r="B340" s="12" t="str">
        <f>tblComponents[Component_Name]</f>
        <v>Component 339</v>
      </c>
      <c r="C340" t="str">
        <f>tblComponents[Product_Family]</f>
        <v>Electrical Systems</v>
      </c>
      <c r="D340" t="str">
        <f>tblComponents[Sourcing_Type]</f>
        <v>Buy</v>
      </c>
      <c r="E340" t="str">
        <f>tblComponents[Criticality]</f>
        <v>Medium</v>
      </c>
      <c r="F340">
        <f>tblComponents[Forecast_Demand]</f>
        <v>216</v>
      </c>
      <c r="G340">
        <f>tblComponents[Opening_Inventory]</f>
        <v>7494</v>
      </c>
      <c r="H340">
        <f>tblComponents[Safety_Stock]</f>
        <v>995</v>
      </c>
      <c r="I340">
        <f t="shared" si="20"/>
        <v>0</v>
      </c>
      <c r="J340" s="15">
        <f>tblComponents[Defect_Rate]</f>
        <v>0</v>
      </c>
      <c r="K340">
        <f t="shared" si="21"/>
        <v>0</v>
      </c>
      <c r="L340" t="str">
        <f t="shared" si="22"/>
        <v>Procurement</v>
      </c>
      <c r="M340">
        <f t="shared" si="23"/>
        <v>0</v>
      </c>
    </row>
    <row r="341" spans="1:13" x14ac:dyDescent="0.35">
      <c r="A341" s="12" t="str">
        <f>tblComponents[Component_ID]</f>
        <v>C340</v>
      </c>
      <c r="B341" s="12" t="str">
        <f>tblComponents[Component_Name]</f>
        <v>Component 340</v>
      </c>
      <c r="C341" t="str">
        <f>tblComponents[Product_Family]</f>
        <v>Interior</v>
      </c>
      <c r="D341" t="str">
        <f>tblComponents[Sourcing_Type]</f>
        <v>Buy</v>
      </c>
      <c r="E341" t="str">
        <f>tblComponents[Criticality]</f>
        <v>Medium</v>
      </c>
      <c r="F341">
        <f>tblComponents[Forecast_Demand]</f>
        <v>975</v>
      </c>
      <c r="G341">
        <f>tblComponents[Opening_Inventory]</f>
        <v>2512</v>
      </c>
      <c r="H341">
        <f>tblComponents[Safety_Stock]</f>
        <v>338</v>
      </c>
      <c r="I341">
        <f t="shared" si="20"/>
        <v>0</v>
      </c>
      <c r="J341" s="15">
        <f>tblComponents[Defect_Rate]</f>
        <v>0</v>
      </c>
      <c r="K341">
        <f t="shared" si="21"/>
        <v>0</v>
      </c>
      <c r="L341" t="str">
        <f t="shared" si="22"/>
        <v>Procurement</v>
      </c>
      <c r="M341">
        <f t="shared" si="23"/>
        <v>0</v>
      </c>
    </row>
    <row r="342" spans="1:13" x14ac:dyDescent="0.35">
      <c r="A342" s="12" t="str">
        <f>tblComponents[Component_ID]</f>
        <v>C341</v>
      </c>
      <c r="B342" s="12" t="str">
        <f>tblComponents[Component_Name]</f>
        <v>Component 341</v>
      </c>
      <c r="C342" t="str">
        <f>tblComponents[Product_Family]</f>
        <v>Chassis</v>
      </c>
      <c r="D342" t="str">
        <f>tblComponents[Sourcing_Type]</f>
        <v>Buy</v>
      </c>
      <c r="E342" t="str">
        <f>tblComponents[Criticality]</f>
        <v>Critical</v>
      </c>
      <c r="F342">
        <f>tblComponents[Forecast_Demand]</f>
        <v>942</v>
      </c>
      <c r="G342">
        <f>tblComponents[Opening_Inventory]</f>
        <v>4129</v>
      </c>
      <c r="H342">
        <f>tblComponents[Safety_Stock]</f>
        <v>1045</v>
      </c>
      <c r="I342">
        <f t="shared" si="20"/>
        <v>0</v>
      </c>
      <c r="J342" s="15">
        <f>tblComponents[Defect_Rate]</f>
        <v>0</v>
      </c>
      <c r="K342">
        <f t="shared" si="21"/>
        <v>0</v>
      </c>
      <c r="L342" t="str">
        <f t="shared" si="22"/>
        <v>Procurement</v>
      </c>
      <c r="M342">
        <f t="shared" si="23"/>
        <v>0</v>
      </c>
    </row>
    <row r="343" spans="1:13" x14ac:dyDescent="0.35">
      <c r="A343" s="12" t="str">
        <f>tblComponents[Component_ID]</f>
        <v>C342</v>
      </c>
      <c r="B343" s="12" t="str">
        <f>tblComponents[Component_Name]</f>
        <v>Component 342</v>
      </c>
      <c r="C343" t="str">
        <f>tblComponents[Product_Family]</f>
        <v>Electrical Systems</v>
      </c>
      <c r="D343" t="str">
        <f>tblComponents[Sourcing_Type]</f>
        <v>Buy</v>
      </c>
      <c r="E343" t="str">
        <f>tblComponents[Criticality]</f>
        <v>Low</v>
      </c>
      <c r="F343">
        <f>tblComponents[Forecast_Demand]</f>
        <v>1707</v>
      </c>
      <c r="G343">
        <f>tblComponents[Opening_Inventory]</f>
        <v>538</v>
      </c>
      <c r="H343">
        <f>tblComponents[Safety_Stock]</f>
        <v>53</v>
      </c>
      <c r="I343">
        <f t="shared" si="20"/>
        <v>1222</v>
      </c>
      <c r="J343" s="15">
        <f>tblComponents[Defect_Rate]</f>
        <v>0</v>
      </c>
      <c r="K343">
        <f t="shared" si="21"/>
        <v>1222</v>
      </c>
      <c r="L343" t="str">
        <f t="shared" si="22"/>
        <v>Procurement</v>
      </c>
      <c r="M343">
        <f t="shared" si="23"/>
        <v>1222</v>
      </c>
    </row>
    <row r="344" spans="1:13" x14ac:dyDescent="0.35">
      <c r="A344" s="12" t="str">
        <f>tblComponents[Component_ID]</f>
        <v>C343</v>
      </c>
      <c r="B344" s="12" t="str">
        <f>tblComponents[Component_Name]</f>
        <v>Component 343</v>
      </c>
      <c r="C344" t="str">
        <f>tblComponents[Product_Family]</f>
        <v>Body &amp; Exterior</v>
      </c>
      <c r="D344" t="str">
        <f>tblComponents[Sourcing_Type]</f>
        <v>Buy</v>
      </c>
      <c r="E344" t="str">
        <f>tblComponents[Criticality]</f>
        <v>Critical</v>
      </c>
      <c r="F344">
        <f>tblComponents[Forecast_Demand]</f>
        <v>1320</v>
      </c>
      <c r="G344">
        <f>tblComponents[Opening_Inventory]</f>
        <v>3692</v>
      </c>
      <c r="H344">
        <f>tblComponents[Safety_Stock]</f>
        <v>498</v>
      </c>
      <c r="I344">
        <f t="shared" si="20"/>
        <v>0</v>
      </c>
      <c r="J344" s="15">
        <f>tblComponents[Defect_Rate]</f>
        <v>0</v>
      </c>
      <c r="K344">
        <f t="shared" si="21"/>
        <v>0</v>
      </c>
      <c r="L344" t="str">
        <f t="shared" si="22"/>
        <v>Procurement</v>
      </c>
      <c r="M344">
        <f t="shared" si="23"/>
        <v>0</v>
      </c>
    </row>
    <row r="345" spans="1:13" x14ac:dyDescent="0.35">
      <c r="A345" s="12" t="str">
        <f>tblComponents[Component_ID]</f>
        <v>C344</v>
      </c>
      <c r="B345" s="12" t="str">
        <f>tblComponents[Component_Name]</f>
        <v>Component 344</v>
      </c>
      <c r="C345" t="str">
        <f>tblComponents[Product_Family]</f>
        <v>Body &amp; Exterior</v>
      </c>
      <c r="D345" t="str">
        <f>tblComponents[Sourcing_Type]</f>
        <v>Buy</v>
      </c>
      <c r="E345" t="str">
        <f>tblComponents[Criticality]</f>
        <v>Medium</v>
      </c>
      <c r="F345">
        <f>tblComponents[Forecast_Demand]</f>
        <v>2673</v>
      </c>
      <c r="G345">
        <f>tblComponents[Opening_Inventory]</f>
        <v>2321</v>
      </c>
      <c r="H345">
        <f>tblComponents[Safety_Stock]</f>
        <v>639</v>
      </c>
      <c r="I345">
        <f t="shared" si="20"/>
        <v>991</v>
      </c>
      <c r="J345" s="15">
        <f>tblComponents[Defect_Rate]</f>
        <v>0</v>
      </c>
      <c r="K345">
        <f t="shared" si="21"/>
        <v>991</v>
      </c>
      <c r="L345" t="str">
        <f t="shared" si="22"/>
        <v>Procurement</v>
      </c>
      <c r="M345">
        <f t="shared" si="23"/>
        <v>991</v>
      </c>
    </row>
    <row r="346" spans="1:13" x14ac:dyDescent="0.35">
      <c r="A346" s="12" t="str">
        <f>tblComponents[Component_ID]</f>
        <v>C345</v>
      </c>
      <c r="B346" s="12" t="str">
        <f>tblComponents[Component_Name]</f>
        <v>Component 345</v>
      </c>
      <c r="C346" t="str">
        <f>tblComponents[Product_Family]</f>
        <v>Powertrain</v>
      </c>
      <c r="D346" t="str">
        <f>tblComponents[Sourcing_Type]</f>
        <v>Buy</v>
      </c>
      <c r="E346" t="str">
        <f>tblComponents[Criticality]</f>
        <v>Critical</v>
      </c>
      <c r="F346">
        <f>tblComponents[Forecast_Demand]</f>
        <v>1854</v>
      </c>
      <c r="G346">
        <f>tblComponents[Opening_Inventory]</f>
        <v>2609</v>
      </c>
      <c r="H346">
        <f>tblComponents[Safety_Stock]</f>
        <v>445</v>
      </c>
      <c r="I346">
        <f t="shared" si="20"/>
        <v>0</v>
      </c>
      <c r="J346" s="15">
        <f>tblComponents[Defect_Rate]</f>
        <v>0</v>
      </c>
      <c r="K346">
        <f t="shared" si="21"/>
        <v>0</v>
      </c>
      <c r="L346" t="str">
        <f t="shared" si="22"/>
        <v>Procurement</v>
      </c>
      <c r="M346">
        <f t="shared" si="23"/>
        <v>0</v>
      </c>
    </row>
    <row r="347" spans="1:13" x14ac:dyDescent="0.35">
      <c r="A347" s="12" t="str">
        <f>tblComponents[Component_ID]</f>
        <v>C346</v>
      </c>
      <c r="B347" s="12" t="str">
        <f>tblComponents[Component_Name]</f>
        <v>Component 346</v>
      </c>
      <c r="C347" t="str">
        <f>tblComponents[Product_Family]</f>
        <v>Body &amp; Exterior</v>
      </c>
      <c r="D347" t="str">
        <f>tblComponents[Sourcing_Type]</f>
        <v>Buy</v>
      </c>
      <c r="E347" t="str">
        <f>tblComponents[Criticality]</f>
        <v>High</v>
      </c>
      <c r="F347">
        <f>tblComponents[Forecast_Demand]</f>
        <v>1050</v>
      </c>
      <c r="G347">
        <f>tblComponents[Opening_Inventory]</f>
        <v>8516</v>
      </c>
      <c r="H347">
        <f>tblComponents[Safety_Stock]</f>
        <v>942</v>
      </c>
      <c r="I347">
        <f t="shared" si="20"/>
        <v>0</v>
      </c>
      <c r="J347" s="15">
        <f>tblComponents[Defect_Rate]</f>
        <v>0</v>
      </c>
      <c r="K347">
        <f t="shared" si="21"/>
        <v>0</v>
      </c>
      <c r="L347" t="str">
        <f t="shared" si="22"/>
        <v>Procurement</v>
      </c>
      <c r="M347">
        <f t="shared" si="23"/>
        <v>0</v>
      </c>
    </row>
    <row r="348" spans="1:13" x14ac:dyDescent="0.35">
      <c r="A348" s="12" t="str">
        <f>tblComponents[Component_ID]</f>
        <v>C347</v>
      </c>
      <c r="B348" s="12" t="str">
        <f>tblComponents[Component_Name]</f>
        <v>Component 347</v>
      </c>
      <c r="C348" t="str">
        <f>tblComponents[Product_Family]</f>
        <v>Powertrain</v>
      </c>
      <c r="D348" t="str">
        <f>tblComponents[Sourcing_Type]</f>
        <v>Buy</v>
      </c>
      <c r="E348" t="str">
        <f>tblComponents[Criticality]</f>
        <v>Medium</v>
      </c>
      <c r="F348">
        <f>tblComponents[Forecast_Demand]</f>
        <v>546</v>
      </c>
      <c r="G348">
        <f>tblComponents[Opening_Inventory]</f>
        <v>1219</v>
      </c>
      <c r="H348">
        <f>tblComponents[Safety_Stock]</f>
        <v>242</v>
      </c>
      <c r="I348">
        <f t="shared" si="20"/>
        <v>0</v>
      </c>
      <c r="J348" s="15">
        <f>tblComponents[Defect_Rate]</f>
        <v>0</v>
      </c>
      <c r="K348">
        <f t="shared" si="21"/>
        <v>0</v>
      </c>
      <c r="L348" t="str">
        <f t="shared" si="22"/>
        <v>Procurement</v>
      </c>
      <c r="M348">
        <f t="shared" si="23"/>
        <v>0</v>
      </c>
    </row>
    <row r="349" spans="1:13" x14ac:dyDescent="0.35">
      <c r="A349" s="12" t="str">
        <f>tblComponents[Component_ID]</f>
        <v>C348</v>
      </c>
      <c r="B349" s="12" t="str">
        <f>tblComponents[Component_Name]</f>
        <v>Component 348</v>
      </c>
      <c r="C349" t="str">
        <f>tblComponents[Product_Family]</f>
        <v>Body &amp; Exterior</v>
      </c>
      <c r="D349" t="str">
        <f>tblComponents[Sourcing_Type]</f>
        <v>Buy</v>
      </c>
      <c r="E349" t="str">
        <f>tblComponents[Criticality]</f>
        <v>Medium</v>
      </c>
      <c r="F349">
        <f>tblComponents[Forecast_Demand]</f>
        <v>1906</v>
      </c>
      <c r="G349">
        <f>tblComponents[Opening_Inventory]</f>
        <v>2374</v>
      </c>
      <c r="H349">
        <f>tblComponents[Safety_Stock]</f>
        <v>539</v>
      </c>
      <c r="I349">
        <f t="shared" si="20"/>
        <v>71</v>
      </c>
      <c r="J349" s="15">
        <f>tblComponents[Defect_Rate]</f>
        <v>0</v>
      </c>
      <c r="K349">
        <f t="shared" si="21"/>
        <v>71</v>
      </c>
      <c r="L349" t="str">
        <f t="shared" si="22"/>
        <v>Procurement</v>
      </c>
      <c r="M349">
        <f t="shared" si="23"/>
        <v>71</v>
      </c>
    </row>
    <row r="350" spans="1:13" x14ac:dyDescent="0.35">
      <c r="A350" s="12" t="str">
        <f>tblComponents[Component_ID]</f>
        <v>C349</v>
      </c>
      <c r="B350" s="12" t="str">
        <f>tblComponents[Component_Name]</f>
        <v>Component 349</v>
      </c>
      <c r="C350" t="str">
        <f>tblComponents[Product_Family]</f>
        <v>Electrical Systems</v>
      </c>
      <c r="D350" t="str">
        <f>tblComponents[Sourcing_Type]</f>
        <v>Buy</v>
      </c>
      <c r="E350" t="str">
        <f>tblComponents[Criticality]</f>
        <v>Low</v>
      </c>
      <c r="F350">
        <f>tblComponents[Forecast_Demand]</f>
        <v>1292</v>
      </c>
      <c r="G350">
        <f>tblComponents[Opening_Inventory]</f>
        <v>2113</v>
      </c>
      <c r="H350">
        <f>tblComponents[Safety_Stock]</f>
        <v>777</v>
      </c>
      <c r="I350">
        <f t="shared" si="20"/>
        <v>0</v>
      </c>
      <c r="J350" s="15">
        <f>tblComponents[Defect_Rate]</f>
        <v>0</v>
      </c>
      <c r="K350">
        <f t="shared" si="21"/>
        <v>0</v>
      </c>
      <c r="L350" t="str">
        <f t="shared" si="22"/>
        <v>Procurement</v>
      </c>
      <c r="M350">
        <f t="shared" si="23"/>
        <v>0</v>
      </c>
    </row>
    <row r="351" spans="1:13" x14ac:dyDescent="0.35">
      <c r="A351" s="12" t="str">
        <f>tblComponents[Component_ID]</f>
        <v>C350</v>
      </c>
      <c r="B351" s="12" t="str">
        <f>tblComponents[Component_Name]</f>
        <v>Component 350</v>
      </c>
      <c r="C351" t="str">
        <f>tblComponents[Product_Family]</f>
        <v>Electrical Systems</v>
      </c>
      <c r="D351" t="str">
        <f>tblComponents[Sourcing_Type]</f>
        <v>Buy</v>
      </c>
      <c r="E351" t="str">
        <f>tblComponents[Criticality]</f>
        <v>Low</v>
      </c>
      <c r="F351">
        <f>tblComponents[Forecast_Demand]</f>
        <v>202</v>
      </c>
      <c r="G351">
        <f>tblComponents[Opening_Inventory]</f>
        <v>5325</v>
      </c>
      <c r="H351">
        <f>tblComponents[Safety_Stock]</f>
        <v>1121</v>
      </c>
      <c r="I351">
        <f t="shared" si="20"/>
        <v>0</v>
      </c>
      <c r="J351" s="15">
        <f>tblComponents[Defect_Rate]</f>
        <v>0</v>
      </c>
      <c r="K351">
        <f t="shared" si="21"/>
        <v>0</v>
      </c>
      <c r="L351" t="str">
        <f t="shared" si="22"/>
        <v>Procurement</v>
      </c>
      <c r="M351">
        <f t="shared" si="23"/>
        <v>0</v>
      </c>
    </row>
    <row r="352" spans="1:13" x14ac:dyDescent="0.35">
      <c r="A352" s="12" t="str">
        <f>tblComponents[Component_ID]</f>
        <v>C351</v>
      </c>
      <c r="B352" s="12" t="str">
        <f>tblComponents[Component_Name]</f>
        <v>Component 351</v>
      </c>
      <c r="C352" t="str">
        <f>tblComponents[Product_Family]</f>
        <v>Body &amp; Exterior</v>
      </c>
      <c r="D352" t="str">
        <f>tblComponents[Sourcing_Type]</f>
        <v>Buy</v>
      </c>
      <c r="E352" t="str">
        <f>tblComponents[Criticality]</f>
        <v>Low</v>
      </c>
      <c r="F352">
        <f>tblComponents[Forecast_Demand]</f>
        <v>1056</v>
      </c>
      <c r="G352">
        <f>tblComponents[Opening_Inventory]</f>
        <v>5647</v>
      </c>
      <c r="H352">
        <f>tblComponents[Safety_Stock]</f>
        <v>836</v>
      </c>
      <c r="I352">
        <f t="shared" si="20"/>
        <v>0</v>
      </c>
      <c r="J352" s="15">
        <f>tblComponents[Defect_Rate]</f>
        <v>0</v>
      </c>
      <c r="K352">
        <f t="shared" si="21"/>
        <v>0</v>
      </c>
      <c r="L352" t="str">
        <f t="shared" si="22"/>
        <v>Procurement</v>
      </c>
      <c r="M352">
        <f t="shared" si="23"/>
        <v>0</v>
      </c>
    </row>
    <row r="353" spans="1:13" x14ac:dyDescent="0.35">
      <c r="A353" s="12" t="str">
        <f>tblComponents[Component_ID]</f>
        <v>C352</v>
      </c>
      <c r="B353" s="12" t="str">
        <f>tblComponents[Component_Name]</f>
        <v>Component 352</v>
      </c>
      <c r="C353" t="str">
        <f>tblComponents[Product_Family]</f>
        <v>Chassis</v>
      </c>
      <c r="D353" t="str">
        <f>tblComponents[Sourcing_Type]</f>
        <v>Buy</v>
      </c>
      <c r="E353" t="str">
        <f>tblComponents[Criticality]</f>
        <v>Low</v>
      </c>
      <c r="F353">
        <f>tblComponents[Forecast_Demand]</f>
        <v>196</v>
      </c>
      <c r="G353">
        <f>tblComponents[Opening_Inventory]</f>
        <v>2286</v>
      </c>
      <c r="H353">
        <f>tblComponents[Safety_Stock]</f>
        <v>701</v>
      </c>
      <c r="I353">
        <f t="shared" si="20"/>
        <v>0</v>
      </c>
      <c r="J353" s="15">
        <f>tblComponents[Defect_Rate]</f>
        <v>0</v>
      </c>
      <c r="K353">
        <f t="shared" si="21"/>
        <v>0</v>
      </c>
      <c r="L353" t="str">
        <f t="shared" si="22"/>
        <v>Procurement</v>
      </c>
      <c r="M353">
        <f t="shared" si="23"/>
        <v>0</v>
      </c>
    </row>
    <row r="354" spans="1:13" x14ac:dyDescent="0.35">
      <c r="A354" s="12" t="str">
        <f>tblComponents[Component_ID]</f>
        <v>C353</v>
      </c>
      <c r="B354" s="12" t="str">
        <f>tblComponents[Component_Name]</f>
        <v>Component 353</v>
      </c>
      <c r="C354" t="str">
        <f>tblComponents[Product_Family]</f>
        <v>Electrical Systems</v>
      </c>
      <c r="D354" t="str">
        <f>tblComponents[Sourcing_Type]</f>
        <v>Buy</v>
      </c>
      <c r="E354" t="str">
        <f>tblComponents[Criticality]</f>
        <v>Medium</v>
      </c>
      <c r="F354">
        <f>tblComponents[Forecast_Demand]</f>
        <v>995</v>
      </c>
      <c r="G354">
        <f>tblComponents[Opening_Inventory]</f>
        <v>2788</v>
      </c>
      <c r="H354">
        <f>tblComponents[Safety_Stock]</f>
        <v>1176</v>
      </c>
      <c r="I354">
        <f t="shared" si="20"/>
        <v>0</v>
      </c>
      <c r="J354" s="15">
        <f>tblComponents[Defect_Rate]</f>
        <v>0</v>
      </c>
      <c r="K354">
        <f t="shared" si="21"/>
        <v>0</v>
      </c>
      <c r="L354" t="str">
        <f t="shared" si="22"/>
        <v>Procurement</v>
      </c>
      <c r="M354">
        <f t="shared" si="23"/>
        <v>0</v>
      </c>
    </row>
    <row r="355" spans="1:13" x14ac:dyDescent="0.35">
      <c r="A355" s="12" t="str">
        <f>tblComponents[Component_ID]</f>
        <v>C354</v>
      </c>
      <c r="B355" s="12" t="str">
        <f>tblComponents[Component_Name]</f>
        <v>Component 354</v>
      </c>
      <c r="C355" t="str">
        <f>tblComponents[Product_Family]</f>
        <v>Body &amp; Exterior</v>
      </c>
      <c r="D355" t="str">
        <f>tblComponents[Sourcing_Type]</f>
        <v>Buy</v>
      </c>
      <c r="E355" t="str">
        <f>tblComponents[Criticality]</f>
        <v>Low</v>
      </c>
      <c r="F355">
        <f>tblComponents[Forecast_Demand]</f>
        <v>1525</v>
      </c>
      <c r="G355">
        <f>tblComponents[Opening_Inventory]</f>
        <v>6672</v>
      </c>
      <c r="H355">
        <f>tblComponents[Safety_Stock]</f>
        <v>768</v>
      </c>
      <c r="I355">
        <f t="shared" si="20"/>
        <v>0</v>
      </c>
      <c r="J355" s="15">
        <f>tblComponents[Defect_Rate]</f>
        <v>0</v>
      </c>
      <c r="K355">
        <f t="shared" si="21"/>
        <v>0</v>
      </c>
      <c r="L355" t="str">
        <f t="shared" si="22"/>
        <v>Procurement</v>
      </c>
      <c r="M355">
        <f t="shared" si="23"/>
        <v>0</v>
      </c>
    </row>
    <row r="356" spans="1:13" x14ac:dyDescent="0.35">
      <c r="A356" s="12" t="str">
        <f>tblComponents[Component_ID]</f>
        <v>C355</v>
      </c>
      <c r="B356" s="12" t="str">
        <f>tblComponents[Component_Name]</f>
        <v>Component 355</v>
      </c>
      <c r="C356" t="str">
        <f>tblComponents[Product_Family]</f>
        <v>Body &amp; Exterior</v>
      </c>
      <c r="D356" t="str">
        <f>tblComponents[Sourcing_Type]</f>
        <v>Buy</v>
      </c>
      <c r="E356" t="str">
        <f>tblComponents[Criticality]</f>
        <v>Medium</v>
      </c>
      <c r="F356">
        <f>tblComponents[Forecast_Demand]</f>
        <v>973</v>
      </c>
      <c r="G356">
        <f>tblComponents[Opening_Inventory]</f>
        <v>5503</v>
      </c>
      <c r="H356">
        <f>tblComponents[Safety_Stock]</f>
        <v>409</v>
      </c>
      <c r="I356">
        <f t="shared" si="20"/>
        <v>0</v>
      </c>
      <c r="J356" s="15">
        <f>tblComponents[Defect_Rate]</f>
        <v>0</v>
      </c>
      <c r="K356">
        <f t="shared" si="21"/>
        <v>0</v>
      </c>
      <c r="L356" t="str">
        <f t="shared" si="22"/>
        <v>Procurement</v>
      </c>
      <c r="M356">
        <f t="shared" si="23"/>
        <v>0</v>
      </c>
    </row>
    <row r="357" spans="1:13" x14ac:dyDescent="0.35">
      <c r="A357" s="12" t="str">
        <f>tblComponents[Component_ID]</f>
        <v>C356</v>
      </c>
      <c r="B357" s="12" t="str">
        <f>tblComponents[Component_Name]</f>
        <v>Component 356</v>
      </c>
      <c r="C357" t="str">
        <f>tblComponents[Product_Family]</f>
        <v>Body &amp; Exterior</v>
      </c>
      <c r="D357" t="str">
        <f>tblComponents[Sourcing_Type]</f>
        <v>Buy</v>
      </c>
      <c r="E357" t="str">
        <f>tblComponents[Criticality]</f>
        <v>High</v>
      </c>
      <c r="F357">
        <f>tblComponents[Forecast_Demand]</f>
        <v>276</v>
      </c>
      <c r="G357">
        <f>tblComponents[Opening_Inventory]</f>
        <v>3784</v>
      </c>
      <c r="H357">
        <f>tblComponents[Safety_Stock]</f>
        <v>406</v>
      </c>
      <c r="I357">
        <f t="shared" si="20"/>
        <v>0</v>
      </c>
      <c r="J357" s="15">
        <f>tblComponents[Defect_Rate]</f>
        <v>0</v>
      </c>
      <c r="K357">
        <f t="shared" si="21"/>
        <v>0</v>
      </c>
      <c r="L357" t="str">
        <f t="shared" si="22"/>
        <v>Procurement</v>
      </c>
      <c r="M357">
        <f t="shared" si="23"/>
        <v>0</v>
      </c>
    </row>
    <row r="358" spans="1:13" x14ac:dyDescent="0.35">
      <c r="A358" s="12" t="str">
        <f>tblComponents[Component_ID]</f>
        <v>C357</v>
      </c>
      <c r="B358" s="12" t="str">
        <f>tblComponents[Component_Name]</f>
        <v>Component 357</v>
      </c>
      <c r="C358" t="str">
        <f>tblComponents[Product_Family]</f>
        <v>Chassis</v>
      </c>
      <c r="D358" t="str">
        <f>tblComponents[Sourcing_Type]</f>
        <v>Buy</v>
      </c>
      <c r="E358" t="str">
        <f>tblComponents[Criticality]</f>
        <v>Critical</v>
      </c>
      <c r="F358">
        <f>tblComponents[Forecast_Demand]</f>
        <v>955</v>
      </c>
      <c r="G358">
        <f>tblComponents[Opening_Inventory]</f>
        <v>8088</v>
      </c>
      <c r="H358">
        <f>tblComponents[Safety_Stock]</f>
        <v>1481</v>
      </c>
      <c r="I358">
        <f t="shared" si="20"/>
        <v>0</v>
      </c>
      <c r="J358" s="15">
        <f>tblComponents[Defect_Rate]</f>
        <v>0</v>
      </c>
      <c r="K358">
        <f t="shared" si="21"/>
        <v>0</v>
      </c>
      <c r="L358" t="str">
        <f t="shared" si="22"/>
        <v>Procurement</v>
      </c>
      <c r="M358">
        <f t="shared" si="23"/>
        <v>0</v>
      </c>
    </row>
    <row r="359" spans="1:13" x14ac:dyDescent="0.35">
      <c r="A359" s="12" t="str">
        <f>tblComponents[Component_ID]</f>
        <v>C358</v>
      </c>
      <c r="B359" s="12" t="str">
        <f>tblComponents[Component_Name]</f>
        <v>Component 358</v>
      </c>
      <c r="C359" t="str">
        <f>tblComponents[Product_Family]</f>
        <v>Interior</v>
      </c>
      <c r="D359" t="str">
        <f>tblComponents[Sourcing_Type]</f>
        <v>Buy</v>
      </c>
      <c r="E359" t="str">
        <f>tblComponents[Criticality]</f>
        <v>Critical</v>
      </c>
      <c r="F359">
        <f>tblComponents[Forecast_Demand]</f>
        <v>655</v>
      </c>
      <c r="G359">
        <f>tblComponents[Opening_Inventory]</f>
        <v>2457</v>
      </c>
      <c r="H359">
        <f>tblComponents[Safety_Stock]</f>
        <v>1072</v>
      </c>
      <c r="I359">
        <f t="shared" si="20"/>
        <v>0</v>
      </c>
      <c r="J359" s="15">
        <f>tblComponents[Defect_Rate]</f>
        <v>0</v>
      </c>
      <c r="K359">
        <f t="shared" si="21"/>
        <v>0</v>
      </c>
      <c r="L359" t="str">
        <f t="shared" si="22"/>
        <v>Procurement</v>
      </c>
      <c r="M359">
        <f t="shared" si="23"/>
        <v>0</v>
      </c>
    </row>
    <row r="360" spans="1:13" x14ac:dyDescent="0.35">
      <c r="A360" s="12" t="str">
        <f>tblComponents[Component_ID]</f>
        <v>C359</v>
      </c>
      <c r="B360" s="12" t="str">
        <f>tblComponents[Component_Name]</f>
        <v>Component 359</v>
      </c>
      <c r="C360" t="str">
        <f>tblComponents[Product_Family]</f>
        <v>Chassis</v>
      </c>
      <c r="D360" t="str">
        <f>tblComponents[Sourcing_Type]</f>
        <v>Buy</v>
      </c>
      <c r="E360" t="str">
        <f>tblComponents[Criticality]</f>
        <v>Low</v>
      </c>
      <c r="F360">
        <f>tblComponents[Forecast_Demand]</f>
        <v>1589</v>
      </c>
      <c r="G360">
        <f>tblComponents[Opening_Inventory]</f>
        <v>1762</v>
      </c>
      <c r="H360">
        <f>tblComponents[Safety_Stock]</f>
        <v>397</v>
      </c>
      <c r="I360">
        <f t="shared" si="20"/>
        <v>224</v>
      </c>
      <c r="J360" s="15">
        <f>tblComponents[Defect_Rate]</f>
        <v>0</v>
      </c>
      <c r="K360">
        <f t="shared" si="21"/>
        <v>224</v>
      </c>
      <c r="L360" t="str">
        <f t="shared" si="22"/>
        <v>Procurement</v>
      </c>
      <c r="M360">
        <f t="shared" si="23"/>
        <v>224</v>
      </c>
    </row>
    <row r="361" spans="1:13" x14ac:dyDescent="0.35">
      <c r="A361" s="12" t="str">
        <f>tblComponents[Component_ID]</f>
        <v>C360</v>
      </c>
      <c r="B361" s="12" t="str">
        <f>tblComponents[Component_Name]</f>
        <v>Component 360</v>
      </c>
      <c r="C361" t="str">
        <f>tblComponents[Product_Family]</f>
        <v>Chassis</v>
      </c>
      <c r="D361" t="str">
        <f>tblComponents[Sourcing_Type]</f>
        <v>Buy</v>
      </c>
      <c r="E361" t="str">
        <f>tblComponents[Criticality]</f>
        <v>Critical</v>
      </c>
      <c r="F361">
        <f>tblComponents[Forecast_Demand]</f>
        <v>1137</v>
      </c>
      <c r="G361">
        <f>tblComponents[Opening_Inventory]</f>
        <v>4764</v>
      </c>
      <c r="H361">
        <f>tblComponents[Safety_Stock]</f>
        <v>1770</v>
      </c>
      <c r="I361">
        <f t="shared" si="20"/>
        <v>0</v>
      </c>
      <c r="J361" s="15">
        <f>tblComponents[Defect_Rate]</f>
        <v>0</v>
      </c>
      <c r="K361">
        <f t="shared" si="21"/>
        <v>0</v>
      </c>
      <c r="L361" t="str">
        <f t="shared" si="22"/>
        <v>Procurement</v>
      </c>
      <c r="M361">
        <f t="shared" si="23"/>
        <v>0</v>
      </c>
    </row>
    <row r="362" spans="1:13" x14ac:dyDescent="0.35">
      <c r="A362" s="12" t="str">
        <f>tblComponents[Component_ID]</f>
        <v>C361</v>
      </c>
      <c r="B362" s="12" t="str">
        <f>tblComponents[Component_Name]</f>
        <v>Component 361</v>
      </c>
      <c r="C362" t="str">
        <f>tblComponents[Product_Family]</f>
        <v>Body &amp; Exterior</v>
      </c>
      <c r="D362" t="str">
        <f>tblComponents[Sourcing_Type]</f>
        <v>Buy</v>
      </c>
      <c r="E362" t="str">
        <f>tblComponents[Criticality]</f>
        <v>Medium</v>
      </c>
      <c r="F362">
        <f>tblComponents[Forecast_Demand]</f>
        <v>921</v>
      </c>
      <c r="G362">
        <f>tblComponents[Opening_Inventory]</f>
        <v>4167</v>
      </c>
      <c r="H362">
        <f>tblComponents[Safety_Stock]</f>
        <v>973</v>
      </c>
      <c r="I362">
        <f t="shared" si="20"/>
        <v>0</v>
      </c>
      <c r="J362" s="15">
        <f>tblComponents[Defect_Rate]</f>
        <v>0</v>
      </c>
      <c r="K362">
        <f t="shared" si="21"/>
        <v>0</v>
      </c>
      <c r="L362" t="str">
        <f t="shared" si="22"/>
        <v>Procurement</v>
      </c>
      <c r="M362">
        <f t="shared" si="23"/>
        <v>0</v>
      </c>
    </row>
    <row r="363" spans="1:13" x14ac:dyDescent="0.35">
      <c r="A363" s="12" t="str">
        <f>tblComponents[Component_ID]</f>
        <v>C362</v>
      </c>
      <c r="B363" s="12" t="str">
        <f>tblComponents[Component_Name]</f>
        <v>Component 362</v>
      </c>
      <c r="C363" t="str">
        <f>tblComponents[Product_Family]</f>
        <v>Chassis</v>
      </c>
      <c r="D363" t="str">
        <f>tblComponents[Sourcing_Type]</f>
        <v>Buy</v>
      </c>
      <c r="E363" t="str">
        <f>tblComponents[Criticality]</f>
        <v>Medium</v>
      </c>
      <c r="F363">
        <f>tblComponents[Forecast_Demand]</f>
        <v>1649</v>
      </c>
      <c r="G363">
        <f>tblComponents[Opening_Inventory]</f>
        <v>4667</v>
      </c>
      <c r="H363">
        <f>tblComponents[Safety_Stock]</f>
        <v>1802</v>
      </c>
      <c r="I363">
        <f t="shared" si="20"/>
        <v>0</v>
      </c>
      <c r="J363" s="15">
        <f>tblComponents[Defect_Rate]</f>
        <v>0</v>
      </c>
      <c r="K363">
        <f t="shared" si="21"/>
        <v>0</v>
      </c>
      <c r="L363" t="str">
        <f t="shared" si="22"/>
        <v>Procurement</v>
      </c>
      <c r="M363">
        <f t="shared" si="23"/>
        <v>0</v>
      </c>
    </row>
    <row r="364" spans="1:13" x14ac:dyDescent="0.35">
      <c r="A364" s="12" t="str">
        <f>tblComponents[Component_ID]</f>
        <v>C363</v>
      </c>
      <c r="B364" s="12" t="str">
        <f>tblComponents[Component_Name]</f>
        <v>Component 363</v>
      </c>
      <c r="C364" t="str">
        <f>tblComponents[Product_Family]</f>
        <v>Electrical Systems</v>
      </c>
      <c r="D364" t="str">
        <f>tblComponents[Sourcing_Type]</f>
        <v>Buy</v>
      </c>
      <c r="E364" t="str">
        <f>tblComponents[Criticality]</f>
        <v>High</v>
      </c>
      <c r="F364">
        <f>tblComponents[Forecast_Demand]</f>
        <v>1099</v>
      </c>
      <c r="G364">
        <f>tblComponents[Opening_Inventory]</f>
        <v>3860</v>
      </c>
      <c r="H364">
        <f>tblComponents[Safety_Stock]</f>
        <v>621</v>
      </c>
      <c r="I364">
        <f t="shared" si="20"/>
        <v>0</v>
      </c>
      <c r="J364" s="15">
        <f>tblComponents[Defect_Rate]</f>
        <v>0</v>
      </c>
      <c r="K364">
        <f t="shared" si="21"/>
        <v>0</v>
      </c>
      <c r="L364" t="str">
        <f t="shared" si="22"/>
        <v>Procurement</v>
      </c>
      <c r="M364">
        <f t="shared" si="23"/>
        <v>0</v>
      </c>
    </row>
    <row r="365" spans="1:13" x14ac:dyDescent="0.35">
      <c r="A365" s="12" t="str">
        <f>tblComponents[Component_ID]</f>
        <v>C364</v>
      </c>
      <c r="B365" s="12" t="str">
        <f>tblComponents[Component_Name]</f>
        <v>Component 364</v>
      </c>
      <c r="C365" t="str">
        <f>tblComponents[Product_Family]</f>
        <v>Electrical Systems</v>
      </c>
      <c r="D365" t="str">
        <f>tblComponents[Sourcing_Type]</f>
        <v>Buy</v>
      </c>
      <c r="E365" t="str">
        <f>tblComponents[Criticality]</f>
        <v>Medium</v>
      </c>
      <c r="F365">
        <f>tblComponents[Forecast_Demand]</f>
        <v>391</v>
      </c>
      <c r="G365">
        <f>tblComponents[Opening_Inventory]</f>
        <v>7024</v>
      </c>
      <c r="H365">
        <f>tblComponents[Safety_Stock]</f>
        <v>2298</v>
      </c>
      <c r="I365">
        <f t="shared" si="20"/>
        <v>0</v>
      </c>
      <c r="J365" s="15">
        <f>tblComponents[Defect_Rate]</f>
        <v>0</v>
      </c>
      <c r="K365">
        <f t="shared" si="21"/>
        <v>0</v>
      </c>
      <c r="L365" t="str">
        <f t="shared" si="22"/>
        <v>Procurement</v>
      </c>
      <c r="M365">
        <f t="shared" si="23"/>
        <v>0</v>
      </c>
    </row>
    <row r="366" spans="1:13" x14ac:dyDescent="0.35">
      <c r="A366" s="12" t="str">
        <f>tblComponents[Component_ID]</f>
        <v>C365</v>
      </c>
      <c r="B366" s="12" t="str">
        <f>tblComponents[Component_Name]</f>
        <v>Component 365</v>
      </c>
      <c r="C366" t="str">
        <f>tblComponents[Product_Family]</f>
        <v>Powertrain</v>
      </c>
      <c r="D366" t="str">
        <f>tblComponents[Sourcing_Type]</f>
        <v>Buy</v>
      </c>
      <c r="E366" t="str">
        <f>tblComponents[Criticality]</f>
        <v>Medium</v>
      </c>
      <c r="F366">
        <f>tblComponents[Forecast_Demand]</f>
        <v>2905</v>
      </c>
      <c r="G366">
        <f>tblComponents[Opening_Inventory]</f>
        <v>6237</v>
      </c>
      <c r="H366">
        <f>tblComponents[Safety_Stock]</f>
        <v>465</v>
      </c>
      <c r="I366">
        <f t="shared" si="20"/>
        <v>0</v>
      </c>
      <c r="J366" s="15">
        <f>tblComponents[Defect_Rate]</f>
        <v>0</v>
      </c>
      <c r="K366">
        <f t="shared" si="21"/>
        <v>0</v>
      </c>
      <c r="L366" t="str">
        <f t="shared" si="22"/>
        <v>Procurement</v>
      </c>
      <c r="M366">
        <f t="shared" si="23"/>
        <v>0</v>
      </c>
    </row>
    <row r="367" spans="1:13" x14ac:dyDescent="0.35">
      <c r="A367" s="12" t="str">
        <f>tblComponents[Component_ID]</f>
        <v>C366</v>
      </c>
      <c r="B367" s="12" t="str">
        <f>tblComponents[Component_Name]</f>
        <v>Component 366</v>
      </c>
      <c r="C367" t="str">
        <f>tblComponents[Product_Family]</f>
        <v>Interior</v>
      </c>
      <c r="D367" t="str">
        <f>tblComponents[Sourcing_Type]</f>
        <v>Buy</v>
      </c>
      <c r="E367" t="str">
        <f>tblComponents[Criticality]</f>
        <v>Medium</v>
      </c>
      <c r="F367">
        <f>tblComponents[Forecast_Demand]</f>
        <v>1345</v>
      </c>
      <c r="G367">
        <f>tblComponents[Opening_Inventory]</f>
        <v>6229</v>
      </c>
      <c r="H367">
        <f>tblComponents[Safety_Stock]</f>
        <v>483</v>
      </c>
      <c r="I367">
        <f t="shared" si="20"/>
        <v>0</v>
      </c>
      <c r="J367" s="15">
        <f>tblComponents[Defect_Rate]</f>
        <v>0</v>
      </c>
      <c r="K367">
        <f t="shared" si="21"/>
        <v>0</v>
      </c>
      <c r="L367" t="str">
        <f t="shared" si="22"/>
        <v>Procurement</v>
      </c>
      <c r="M367">
        <f t="shared" si="23"/>
        <v>0</v>
      </c>
    </row>
    <row r="368" spans="1:13" x14ac:dyDescent="0.35">
      <c r="A368" s="12" t="str">
        <f>tblComponents[Component_ID]</f>
        <v>C367</v>
      </c>
      <c r="B368" s="12" t="str">
        <f>tblComponents[Component_Name]</f>
        <v>Component 367</v>
      </c>
      <c r="C368" t="str">
        <f>tblComponents[Product_Family]</f>
        <v>Powertrain</v>
      </c>
      <c r="D368" t="str">
        <f>tblComponents[Sourcing_Type]</f>
        <v>Buy</v>
      </c>
      <c r="E368" t="str">
        <f>tblComponents[Criticality]</f>
        <v>Medium</v>
      </c>
      <c r="F368">
        <f>tblComponents[Forecast_Demand]</f>
        <v>923</v>
      </c>
      <c r="G368">
        <f>tblComponents[Opening_Inventory]</f>
        <v>14584</v>
      </c>
      <c r="H368">
        <f>tblComponents[Safety_Stock]</f>
        <v>1976</v>
      </c>
      <c r="I368">
        <f t="shared" si="20"/>
        <v>0</v>
      </c>
      <c r="J368" s="15">
        <f>tblComponents[Defect_Rate]</f>
        <v>0</v>
      </c>
      <c r="K368">
        <f t="shared" si="21"/>
        <v>0</v>
      </c>
      <c r="L368" t="str">
        <f t="shared" si="22"/>
        <v>Procurement</v>
      </c>
      <c r="M368">
        <f t="shared" si="23"/>
        <v>0</v>
      </c>
    </row>
    <row r="369" spans="1:13" x14ac:dyDescent="0.35">
      <c r="A369" s="12" t="str">
        <f>tblComponents[Component_ID]</f>
        <v>C368</v>
      </c>
      <c r="B369" s="12" t="str">
        <f>tblComponents[Component_Name]</f>
        <v>Component 368</v>
      </c>
      <c r="C369" t="str">
        <f>tblComponents[Product_Family]</f>
        <v>Powertrain</v>
      </c>
      <c r="D369" t="str">
        <f>tblComponents[Sourcing_Type]</f>
        <v>Buy</v>
      </c>
      <c r="E369" t="str">
        <f>tblComponents[Criticality]</f>
        <v>Medium</v>
      </c>
      <c r="F369">
        <f>tblComponents[Forecast_Demand]</f>
        <v>1444</v>
      </c>
      <c r="G369">
        <f>tblComponents[Opening_Inventory]</f>
        <v>2409</v>
      </c>
      <c r="H369">
        <f>tblComponents[Safety_Stock]</f>
        <v>367</v>
      </c>
      <c r="I369">
        <f t="shared" si="20"/>
        <v>0</v>
      </c>
      <c r="J369" s="15">
        <f>tblComponents[Defect_Rate]</f>
        <v>0</v>
      </c>
      <c r="K369">
        <f t="shared" si="21"/>
        <v>0</v>
      </c>
      <c r="L369" t="str">
        <f t="shared" si="22"/>
        <v>Procurement</v>
      </c>
      <c r="M369">
        <f t="shared" si="23"/>
        <v>0</v>
      </c>
    </row>
    <row r="370" spans="1:13" x14ac:dyDescent="0.35">
      <c r="A370" s="12" t="str">
        <f>tblComponents[Component_ID]</f>
        <v>C369</v>
      </c>
      <c r="B370" s="12" t="str">
        <f>tblComponents[Component_Name]</f>
        <v>Component 369</v>
      </c>
      <c r="C370" t="str">
        <f>tblComponents[Product_Family]</f>
        <v>Electrical Systems</v>
      </c>
      <c r="D370" t="str">
        <f>tblComponents[Sourcing_Type]</f>
        <v>Buy</v>
      </c>
      <c r="E370" t="str">
        <f>tblComponents[Criticality]</f>
        <v>Medium</v>
      </c>
      <c r="F370">
        <f>tblComponents[Forecast_Demand]</f>
        <v>1596</v>
      </c>
      <c r="G370">
        <f>tblComponents[Opening_Inventory]</f>
        <v>3871</v>
      </c>
      <c r="H370">
        <f>tblComponents[Safety_Stock]</f>
        <v>1096</v>
      </c>
      <c r="I370">
        <f t="shared" si="20"/>
        <v>0</v>
      </c>
      <c r="J370" s="15">
        <f>tblComponents[Defect_Rate]</f>
        <v>0</v>
      </c>
      <c r="K370">
        <f t="shared" si="21"/>
        <v>0</v>
      </c>
      <c r="L370" t="str">
        <f t="shared" si="22"/>
        <v>Procurement</v>
      </c>
      <c r="M370">
        <f t="shared" si="23"/>
        <v>0</v>
      </c>
    </row>
    <row r="371" spans="1:13" x14ac:dyDescent="0.35">
      <c r="A371" s="12" t="str">
        <f>tblComponents[Component_ID]</f>
        <v>C370</v>
      </c>
      <c r="B371" s="12" t="str">
        <f>tblComponents[Component_Name]</f>
        <v>Component 370</v>
      </c>
      <c r="C371" t="str">
        <f>tblComponents[Product_Family]</f>
        <v>Powertrain</v>
      </c>
      <c r="D371" t="str">
        <f>tblComponents[Sourcing_Type]</f>
        <v>Buy</v>
      </c>
      <c r="E371" t="str">
        <f>tblComponents[Criticality]</f>
        <v>Critical</v>
      </c>
      <c r="F371">
        <f>tblComponents[Forecast_Demand]</f>
        <v>260</v>
      </c>
      <c r="G371">
        <f>tblComponents[Opening_Inventory]</f>
        <v>4261</v>
      </c>
      <c r="H371">
        <f>tblComponents[Safety_Stock]</f>
        <v>419</v>
      </c>
      <c r="I371">
        <f t="shared" si="20"/>
        <v>0</v>
      </c>
      <c r="J371" s="15">
        <f>tblComponents[Defect_Rate]</f>
        <v>0</v>
      </c>
      <c r="K371">
        <f t="shared" si="21"/>
        <v>0</v>
      </c>
      <c r="L371" t="str">
        <f t="shared" si="22"/>
        <v>Procurement</v>
      </c>
      <c r="M371">
        <f t="shared" si="23"/>
        <v>0</v>
      </c>
    </row>
    <row r="372" spans="1:13" x14ac:dyDescent="0.35">
      <c r="A372" s="12" t="str">
        <f>tblComponents[Component_ID]</f>
        <v>C371</v>
      </c>
      <c r="B372" s="12" t="str">
        <f>tblComponents[Component_Name]</f>
        <v>Component 371</v>
      </c>
      <c r="C372" t="str">
        <f>tblComponents[Product_Family]</f>
        <v>Body &amp; Exterior</v>
      </c>
      <c r="D372" t="str">
        <f>tblComponents[Sourcing_Type]</f>
        <v>Buy</v>
      </c>
      <c r="E372" t="str">
        <f>tblComponents[Criticality]</f>
        <v>Low</v>
      </c>
      <c r="F372">
        <f>tblComponents[Forecast_Demand]</f>
        <v>601</v>
      </c>
      <c r="G372">
        <f>tblComponents[Opening_Inventory]</f>
        <v>2558</v>
      </c>
      <c r="H372">
        <f>tblComponents[Safety_Stock]</f>
        <v>755</v>
      </c>
      <c r="I372">
        <f t="shared" si="20"/>
        <v>0</v>
      </c>
      <c r="J372" s="15">
        <f>tblComponents[Defect_Rate]</f>
        <v>0</v>
      </c>
      <c r="K372">
        <f t="shared" si="21"/>
        <v>0</v>
      </c>
      <c r="L372" t="str">
        <f t="shared" si="22"/>
        <v>Procurement</v>
      </c>
      <c r="M372">
        <f t="shared" si="23"/>
        <v>0</v>
      </c>
    </row>
    <row r="373" spans="1:13" x14ac:dyDescent="0.35">
      <c r="A373" s="12" t="str">
        <f>tblComponents[Component_ID]</f>
        <v>C372</v>
      </c>
      <c r="B373" s="12" t="str">
        <f>tblComponents[Component_Name]</f>
        <v>Component 372</v>
      </c>
      <c r="C373" t="str">
        <f>tblComponents[Product_Family]</f>
        <v>Body &amp; Exterior</v>
      </c>
      <c r="D373" t="str">
        <f>tblComponents[Sourcing_Type]</f>
        <v>Buy</v>
      </c>
      <c r="E373" t="str">
        <f>tblComponents[Criticality]</f>
        <v>Low</v>
      </c>
      <c r="F373">
        <f>tblComponents[Forecast_Demand]</f>
        <v>140</v>
      </c>
      <c r="G373">
        <f>tblComponents[Opening_Inventory]</f>
        <v>6827</v>
      </c>
      <c r="H373">
        <f>tblComponents[Safety_Stock]</f>
        <v>993</v>
      </c>
      <c r="I373">
        <f t="shared" si="20"/>
        <v>0</v>
      </c>
      <c r="J373" s="15">
        <f>tblComponents[Defect_Rate]</f>
        <v>0</v>
      </c>
      <c r="K373">
        <f t="shared" si="21"/>
        <v>0</v>
      </c>
      <c r="L373" t="str">
        <f t="shared" si="22"/>
        <v>Procurement</v>
      </c>
      <c r="M373">
        <f t="shared" si="23"/>
        <v>0</v>
      </c>
    </row>
    <row r="374" spans="1:13" x14ac:dyDescent="0.35">
      <c r="A374" s="12" t="str">
        <f>tblComponents[Component_ID]</f>
        <v>C373</v>
      </c>
      <c r="B374" s="12" t="str">
        <f>tblComponents[Component_Name]</f>
        <v>Component 373</v>
      </c>
      <c r="C374" t="str">
        <f>tblComponents[Product_Family]</f>
        <v>Powertrain</v>
      </c>
      <c r="D374" t="str">
        <f>tblComponents[Sourcing_Type]</f>
        <v>Buy</v>
      </c>
      <c r="E374" t="str">
        <f>tblComponents[Criticality]</f>
        <v>Medium</v>
      </c>
      <c r="F374">
        <f>tblComponents[Forecast_Demand]</f>
        <v>1464</v>
      </c>
      <c r="G374">
        <f>tblComponents[Opening_Inventory]</f>
        <v>2114</v>
      </c>
      <c r="H374">
        <f>tblComponents[Safety_Stock]</f>
        <v>583</v>
      </c>
      <c r="I374">
        <f t="shared" si="20"/>
        <v>0</v>
      </c>
      <c r="J374" s="15">
        <f>tblComponents[Defect_Rate]</f>
        <v>0</v>
      </c>
      <c r="K374">
        <f t="shared" si="21"/>
        <v>0</v>
      </c>
      <c r="L374" t="str">
        <f t="shared" si="22"/>
        <v>Procurement</v>
      </c>
      <c r="M374">
        <f t="shared" si="23"/>
        <v>0</v>
      </c>
    </row>
    <row r="375" spans="1:13" x14ac:dyDescent="0.35">
      <c r="A375" s="12" t="str">
        <f>tblComponents[Component_ID]</f>
        <v>C374</v>
      </c>
      <c r="B375" s="12" t="str">
        <f>tblComponents[Component_Name]</f>
        <v>Component 374</v>
      </c>
      <c r="C375" t="str">
        <f>tblComponents[Product_Family]</f>
        <v>Powertrain</v>
      </c>
      <c r="D375" t="str">
        <f>tblComponents[Sourcing_Type]</f>
        <v>Buy</v>
      </c>
      <c r="E375" t="str">
        <f>tblComponents[Criticality]</f>
        <v>Low</v>
      </c>
      <c r="F375">
        <f>tblComponents[Forecast_Demand]</f>
        <v>454</v>
      </c>
      <c r="G375">
        <f>tblComponents[Opening_Inventory]</f>
        <v>4502</v>
      </c>
      <c r="H375">
        <f>tblComponents[Safety_Stock]</f>
        <v>593</v>
      </c>
      <c r="I375">
        <f t="shared" si="20"/>
        <v>0</v>
      </c>
      <c r="J375" s="15">
        <f>tblComponents[Defect_Rate]</f>
        <v>0</v>
      </c>
      <c r="K375">
        <f t="shared" si="21"/>
        <v>0</v>
      </c>
      <c r="L375" t="str">
        <f t="shared" si="22"/>
        <v>Procurement</v>
      </c>
      <c r="M375">
        <f t="shared" si="23"/>
        <v>0</v>
      </c>
    </row>
    <row r="376" spans="1:13" x14ac:dyDescent="0.35">
      <c r="A376" s="12" t="str">
        <f>tblComponents[Component_ID]</f>
        <v>C375</v>
      </c>
      <c r="B376" s="12" t="str">
        <f>tblComponents[Component_Name]</f>
        <v>Component 375</v>
      </c>
      <c r="C376" t="str">
        <f>tblComponents[Product_Family]</f>
        <v>Electrical Systems</v>
      </c>
      <c r="D376" t="str">
        <f>tblComponents[Sourcing_Type]</f>
        <v>Buy</v>
      </c>
      <c r="E376" t="str">
        <f>tblComponents[Criticality]</f>
        <v>Medium</v>
      </c>
      <c r="F376">
        <f>tblComponents[Forecast_Demand]</f>
        <v>1574</v>
      </c>
      <c r="G376">
        <f>tblComponents[Opening_Inventory]</f>
        <v>2711</v>
      </c>
      <c r="H376">
        <f>tblComponents[Safety_Stock]</f>
        <v>623</v>
      </c>
      <c r="I376">
        <f t="shared" si="20"/>
        <v>0</v>
      </c>
      <c r="J376" s="15">
        <f>tblComponents[Defect_Rate]</f>
        <v>0</v>
      </c>
      <c r="K376">
        <f t="shared" si="21"/>
        <v>0</v>
      </c>
      <c r="L376" t="str">
        <f t="shared" si="22"/>
        <v>Procurement</v>
      </c>
      <c r="M376">
        <f t="shared" si="23"/>
        <v>0</v>
      </c>
    </row>
    <row r="377" spans="1:13" x14ac:dyDescent="0.35">
      <c r="A377" s="12" t="str">
        <f>tblComponents[Component_ID]</f>
        <v>C376</v>
      </c>
      <c r="B377" s="12" t="str">
        <f>tblComponents[Component_Name]</f>
        <v>Component 376</v>
      </c>
      <c r="C377" t="str">
        <f>tblComponents[Product_Family]</f>
        <v>Body &amp; Exterior</v>
      </c>
      <c r="D377" t="str">
        <f>tblComponents[Sourcing_Type]</f>
        <v>Buy</v>
      </c>
      <c r="E377" t="str">
        <f>tblComponents[Criticality]</f>
        <v>Low</v>
      </c>
      <c r="F377">
        <f>tblComponents[Forecast_Demand]</f>
        <v>501</v>
      </c>
      <c r="G377">
        <f>tblComponents[Opening_Inventory]</f>
        <v>2434</v>
      </c>
      <c r="H377">
        <f>tblComponents[Safety_Stock]</f>
        <v>471</v>
      </c>
      <c r="I377">
        <f t="shared" si="20"/>
        <v>0</v>
      </c>
      <c r="J377" s="15">
        <f>tblComponents[Defect_Rate]</f>
        <v>0</v>
      </c>
      <c r="K377">
        <f t="shared" si="21"/>
        <v>0</v>
      </c>
      <c r="L377" t="str">
        <f t="shared" si="22"/>
        <v>Procurement</v>
      </c>
      <c r="M377">
        <f t="shared" si="23"/>
        <v>0</v>
      </c>
    </row>
    <row r="378" spans="1:13" x14ac:dyDescent="0.35">
      <c r="A378" s="12" t="str">
        <f>tblComponents[Component_ID]</f>
        <v>C377</v>
      </c>
      <c r="B378" s="12" t="str">
        <f>tblComponents[Component_Name]</f>
        <v>Component 377</v>
      </c>
      <c r="C378" t="str">
        <f>tblComponents[Product_Family]</f>
        <v>Electrical Systems</v>
      </c>
      <c r="D378" t="str">
        <f>tblComponents[Sourcing_Type]</f>
        <v>Buy</v>
      </c>
      <c r="E378" t="str">
        <f>tblComponents[Criticality]</f>
        <v>Medium</v>
      </c>
      <c r="F378">
        <f>tblComponents[Forecast_Demand]</f>
        <v>741</v>
      </c>
      <c r="G378">
        <f>tblComponents[Opening_Inventory]</f>
        <v>4573</v>
      </c>
      <c r="H378">
        <f>tblComponents[Safety_Stock]</f>
        <v>511</v>
      </c>
      <c r="I378">
        <f t="shared" si="20"/>
        <v>0</v>
      </c>
      <c r="J378" s="15">
        <f>tblComponents[Defect_Rate]</f>
        <v>0</v>
      </c>
      <c r="K378">
        <f t="shared" si="21"/>
        <v>0</v>
      </c>
      <c r="L378" t="str">
        <f t="shared" si="22"/>
        <v>Procurement</v>
      </c>
      <c r="M378">
        <f t="shared" si="23"/>
        <v>0</v>
      </c>
    </row>
    <row r="379" spans="1:13" x14ac:dyDescent="0.35">
      <c r="A379" s="12" t="str">
        <f>tblComponents[Component_ID]</f>
        <v>C378</v>
      </c>
      <c r="B379" s="12" t="str">
        <f>tblComponents[Component_Name]</f>
        <v>Component 378</v>
      </c>
      <c r="C379" t="str">
        <f>tblComponents[Product_Family]</f>
        <v>Chassis</v>
      </c>
      <c r="D379" t="str">
        <f>tblComponents[Sourcing_Type]</f>
        <v>Buy</v>
      </c>
      <c r="E379" t="str">
        <f>tblComponents[Criticality]</f>
        <v>Medium</v>
      </c>
      <c r="F379">
        <f>tblComponents[Forecast_Demand]</f>
        <v>767</v>
      </c>
      <c r="G379">
        <f>tblComponents[Opening_Inventory]</f>
        <v>888</v>
      </c>
      <c r="H379">
        <f>tblComponents[Safety_Stock]</f>
        <v>213</v>
      </c>
      <c r="I379">
        <f t="shared" si="20"/>
        <v>92</v>
      </c>
      <c r="J379" s="15">
        <f>tblComponents[Defect_Rate]</f>
        <v>0</v>
      </c>
      <c r="K379">
        <f t="shared" si="21"/>
        <v>92</v>
      </c>
      <c r="L379" t="str">
        <f t="shared" si="22"/>
        <v>Procurement</v>
      </c>
      <c r="M379">
        <f t="shared" si="23"/>
        <v>92</v>
      </c>
    </row>
    <row r="380" spans="1:13" x14ac:dyDescent="0.35">
      <c r="A380" s="12" t="str">
        <f>tblComponents[Component_ID]</f>
        <v>C379</v>
      </c>
      <c r="B380" s="12" t="str">
        <f>tblComponents[Component_Name]</f>
        <v>Component 379</v>
      </c>
      <c r="C380" t="str">
        <f>tblComponents[Product_Family]</f>
        <v>Electrical Systems</v>
      </c>
      <c r="D380" t="str">
        <f>tblComponents[Sourcing_Type]</f>
        <v>Buy</v>
      </c>
      <c r="E380" t="str">
        <f>tblComponents[Criticality]</f>
        <v>Medium</v>
      </c>
      <c r="F380">
        <f>tblComponents[Forecast_Demand]</f>
        <v>1318</v>
      </c>
      <c r="G380">
        <f>tblComponents[Opening_Inventory]</f>
        <v>13476</v>
      </c>
      <c r="H380">
        <f>tblComponents[Safety_Stock]</f>
        <v>1736</v>
      </c>
      <c r="I380">
        <f t="shared" si="20"/>
        <v>0</v>
      </c>
      <c r="J380" s="15">
        <f>tblComponents[Defect_Rate]</f>
        <v>0</v>
      </c>
      <c r="K380">
        <f t="shared" si="21"/>
        <v>0</v>
      </c>
      <c r="L380" t="str">
        <f t="shared" si="22"/>
        <v>Procurement</v>
      </c>
      <c r="M380">
        <f t="shared" si="23"/>
        <v>0</v>
      </c>
    </row>
    <row r="381" spans="1:13" x14ac:dyDescent="0.35">
      <c r="A381" s="12" t="str">
        <f>tblComponents[Component_ID]</f>
        <v>C380</v>
      </c>
      <c r="B381" s="12" t="str">
        <f>tblComponents[Component_Name]</f>
        <v>Component 380</v>
      </c>
      <c r="C381" t="str">
        <f>tblComponents[Product_Family]</f>
        <v>Powertrain</v>
      </c>
      <c r="D381" t="str">
        <f>tblComponents[Sourcing_Type]</f>
        <v>Buy</v>
      </c>
      <c r="E381" t="str">
        <f>tblComponents[Criticality]</f>
        <v>Low</v>
      </c>
      <c r="F381">
        <f>tblComponents[Forecast_Demand]</f>
        <v>241</v>
      </c>
      <c r="G381">
        <f>tblComponents[Opening_Inventory]</f>
        <v>5086</v>
      </c>
      <c r="H381">
        <f>tblComponents[Safety_Stock]</f>
        <v>489</v>
      </c>
      <c r="I381">
        <f t="shared" si="20"/>
        <v>0</v>
      </c>
      <c r="J381" s="15">
        <f>tblComponents[Defect_Rate]</f>
        <v>0</v>
      </c>
      <c r="K381">
        <f t="shared" si="21"/>
        <v>0</v>
      </c>
      <c r="L381" t="str">
        <f t="shared" si="22"/>
        <v>Procurement</v>
      </c>
      <c r="M381">
        <f t="shared" si="23"/>
        <v>0</v>
      </c>
    </row>
    <row r="382" spans="1:13" x14ac:dyDescent="0.35">
      <c r="A382" s="12" t="str">
        <f>tblComponents[Component_ID]</f>
        <v>C381</v>
      </c>
      <c r="B382" s="12" t="str">
        <f>tblComponents[Component_Name]</f>
        <v>Component 381</v>
      </c>
      <c r="C382" t="str">
        <f>tblComponents[Product_Family]</f>
        <v>Body &amp; Exterior</v>
      </c>
      <c r="D382" t="str">
        <f>tblComponents[Sourcing_Type]</f>
        <v>Buy</v>
      </c>
      <c r="E382" t="str">
        <f>tblComponents[Criticality]</f>
        <v>Medium</v>
      </c>
      <c r="F382">
        <f>tblComponents[Forecast_Demand]</f>
        <v>1210</v>
      </c>
      <c r="G382">
        <f>tblComponents[Opening_Inventory]</f>
        <v>2623</v>
      </c>
      <c r="H382">
        <f>tblComponents[Safety_Stock]</f>
        <v>326</v>
      </c>
      <c r="I382">
        <f t="shared" si="20"/>
        <v>0</v>
      </c>
      <c r="J382" s="15">
        <f>tblComponents[Defect_Rate]</f>
        <v>0</v>
      </c>
      <c r="K382">
        <f t="shared" si="21"/>
        <v>0</v>
      </c>
      <c r="L382" t="str">
        <f t="shared" si="22"/>
        <v>Procurement</v>
      </c>
      <c r="M382">
        <f t="shared" si="23"/>
        <v>0</v>
      </c>
    </row>
    <row r="383" spans="1:13" x14ac:dyDescent="0.35">
      <c r="A383" s="12" t="str">
        <f>tblComponents[Component_ID]</f>
        <v>C382</v>
      </c>
      <c r="B383" s="12" t="str">
        <f>tblComponents[Component_Name]</f>
        <v>Component 382</v>
      </c>
      <c r="C383" t="str">
        <f>tblComponents[Product_Family]</f>
        <v>Body &amp; Exterior</v>
      </c>
      <c r="D383" t="str">
        <f>tblComponents[Sourcing_Type]</f>
        <v>Buy</v>
      </c>
      <c r="E383" t="str">
        <f>tblComponents[Criticality]</f>
        <v>Low</v>
      </c>
      <c r="F383">
        <f>tblComponents[Forecast_Demand]</f>
        <v>150</v>
      </c>
      <c r="G383">
        <f>tblComponents[Opening_Inventory]</f>
        <v>16130</v>
      </c>
      <c r="H383">
        <f>tblComponents[Safety_Stock]</f>
        <v>696</v>
      </c>
      <c r="I383">
        <f t="shared" si="20"/>
        <v>0</v>
      </c>
      <c r="J383" s="15">
        <f>tblComponents[Defect_Rate]</f>
        <v>0</v>
      </c>
      <c r="K383">
        <f t="shared" si="21"/>
        <v>0</v>
      </c>
      <c r="L383" t="str">
        <f t="shared" si="22"/>
        <v>Procurement</v>
      </c>
      <c r="M383">
        <f t="shared" si="23"/>
        <v>0</v>
      </c>
    </row>
    <row r="384" spans="1:13" x14ac:dyDescent="0.35">
      <c r="A384" s="12" t="str">
        <f>tblComponents[Component_ID]</f>
        <v>C383</v>
      </c>
      <c r="B384" s="12" t="str">
        <f>tblComponents[Component_Name]</f>
        <v>Component 383</v>
      </c>
      <c r="C384" t="str">
        <f>tblComponents[Product_Family]</f>
        <v>Chassis</v>
      </c>
      <c r="D384" t="str">
        <f>tblComponents[Sourcing_Type]</f>
        <v>Buy</v>
      </c>
      <c r="E384" t="str">
        <f>tblComponents[Criticality]</f>
        <v>Low</v>
      </c>
      <c r="F384">
        <f>tblComponents[Forecast_Demand]</f>
        <v>1192</v>
      </c>
      <c r="G384">
        <f>tblComponents[Opening_Inventory]</f>
        <v>6511</v>
      </c>
      <c r="H384">
        <f>tblComponents[Safety_Stock]</f>
        <v>937</v>
      </c>
      <c r="I384">
        <f t="shared" si="20"/>
        <v>0</v>
      </c>
      <c r="J384" s="15">
        <f>tblComponents[Defect_Rate]</f>
        <v>0</v>
      </c>
      <c r="K384">
        <f t="shared" si="21"/>
        <v>0</v>
      </c>
      <c r="L384" t="str">
        <f t="shared" si="22"/>
        <v>Procurement</v>
      </c>
      <c r="M384">
        <f t="shared" si="23"/>
        <v>0</v>
      </c>
    </row>
    <row r="385" spans="1:13" x14ac:dyDescent="0.35">
      <c r="A385" s="12" t="str">
        <f>tblComponents[Component_ID]</f>
        <v>C384</v>
      </c>
      <c r="B385" s="12" t="str">
        <f>tblComponents[Component_Name]</f>
        <v>Component 384</v>
      </c>
      <c r="C385" t="str">
        <f>tblComponents[Product_Family]</f>
        <v>Interior</v>
      </c>
      <c r="D385" t="str">
        <f>tblComponents[Sourcing_Type]</f>
        <v>Buy</v>
      </c>
      <c r="E385" t="str">
        <f>tblComponents[Criticality]</f>
        <v>Low</v>
      </c>
      <c r="F385">
        <f>tblComponents[Forecast_Demand]</f>
        <v>393</v>
      </c>
      <c r="G385">
        <f>tblComponents[Opening_Inventory]</f>
        <v>393</v>
      </c>
      <c r="H385">
        <f>tblComponents[Safety_Stock]</f>
        <v>147</v>
      </c>
      <c r="I385">
        <f t="shared" si="20"/>
        <v>147</v>
      </c>
      <c r="J385" s="15">
        <f>tblComponents[Defect_Rate]</f>
        <v>0</v>
      </c>
      <c r="K385">
        <f t="shared" si="21"/>
        <v>147</v>
      </c>
      <c r="L385" t="str">
        <f t="shared" si="22"/>
        <v>Procurement</v>
      </c>
      <c r="M385">
        <f t="shared" si="23"/>
        <v>147</v>
      </c>
    </row>
    <row r="386" spans="1:13" x14ac:dyDescent="0.35">
      <c r="A386" s="12" t="str">
        <f>tblComponents[Component_ID]</f>
        <v>C385</v>
      </c>
      <c r="B386" s="12" t="str">
        <f>tblComponents[Component_Name]</f>
        <v>Component 385</v>
      </c>
      <c r="C386" t="str">
        <f>tblComponents[Product_Family]</f>
        <v>Electrical Systems</v>
      </c>
      <c r="D386" t="str">
        <f>tblComponents[Sourcing_Type]</f>
        <v>Buy</v>
      </c>
      <c r="E386" t="str">
        <f>tblComponents[Criticality]</f>
        <v>Medium</v>
      </c>
      <c r="F386">
        <f>tblComponents[Forecast_Demand]</f>
        <v>539</v>
      </c>
      <c r="G386">
        <f>tblComponents[Opening_Inventory]</f>
        <v>3359</v>
      </c>
      <c r="H386">
        <f>tblComponents[Safety_Stock]</f>
        <v>307</v>
      </c>
      <c r="I386">
        <f t="shared" si="20"/>
        <v>0</v>
      </c>
      <c r="J386" s="15">
        <f>tblComponents[Defect_Rate]</f>
        <v>0</v>
      </c>
      <c r="K386">
        <f t="shared" si="21"/>
        <v>0</v>
      </c>
      <c r="L386" t="str">
        <f t="shared" si="22"/>
        <v>Procurement</v>
      </c>
      <c r="M386">
        <f t="shared" si="23"/>
        <v>0</v>
      </c>
    </row>
    <row r="387" spans="1:13" x14ac:dyDescent="0.35">
      <c r="A387" s="12" t="str">
        <f>tblComponents[Component_ID]</f>
        <v>C386</v>
      </c>
      <c r="B387" s="12" t="str">
        <f>tblComponents[Component_Name]</f>
        <v>Component 386</v>
      </c>
      <c r="C387" t="str">
        <f>tblComponents[Product_Family]</f>
        <v>Body &amp; Exterior</v>
      </c>
      <c r="D387" t="str">
        <f>tblComponents[Sourcing_Type]</f>
        <v>Buy</v>
      </c>
      <c r="E387" t="str">
        <f>tblComponents[Criticality]</f>
        <v>High</v>
      </c>
      <c r="F387">
        <f>tblComponents[Forecast_Demand]</f>
        <v>1812</v>
      </c>
      <c r="G387">
        <f>tblComponents[Opening_Inventory]</f>
        <v>6945</v>
      </c>
      <c r="H387">
        <f>tblComponents[Safety_Stock]</f>
        <v>544</v>
      </c>
      <c r="I387">
        <f t="shared" ref="I387:I450" si="24">MAX(0,F387+H387-G387)</f>
        <v>0</v>
      </c>
      <c r="J387" s="15">
        <f>tblComponents[Defect_Rate]</f>
        <v>0</v>
      </c>
      <c r="K387">
        <f t="shared" ref="K387:K450" si="25">IFERROR(I387/(1-J387),0)</f>
        <v>0</v>
      </c>
      <c r="L387" t="str">
        <f t="shared" ref="L387:L450" si="26">IF(D387="Make","Production","Procurement")</f>
        <v>Procurement</v>
      </c>
      <c r="M387">
        <f t="shared" ref="M387:M450" si="27">K387</f>
        <v>0</v>
      </c>
    </row>
    <row r="388" spans="1:13" x14ac:dyDescent="0.35">
      <c r="A388" s="12" t="str">
        <f>tblComponents[Component_ID]</f>
        <v>C387</v>
      </c>
      <c r="B388" s="12" t="str">
        <f>tblComponents[Component_Name]</f>
        <v>Component 387</v>
      </c>
      <c r="C388" t="str">
        <f>tblComponents[Product_Family]</f>
        <v>Interior</v>
      </c>
      <c r="D388" t="str">
        <f>tblComponents[Sourcing_Type]</f>
        <v>Buy</v>
      </c>
      <c r="E388" t="str">
        <f>tblComponents[Criticality]</f>
        <v>Medium</v>
      </c>
      <c r="F388">
        <f>tblComponents[Forecast_Demand]</f>
        <v>2487</v>
      </c>
      <c r="G388">
        <f>tblComponents[Opening_Inventory]</f>
        <v>6386</v>
      </c>
      <c r="H388">
        <f>tblComponents[Safety_Stock]</f>
        <v>1160</v>
      </c>
      <c r="I388">
        <f t="shared" si="24"/>
        <v>0</v>
      </c>
      <c r="J388" s="15">
        <f>tblComponents[Defect_Rate]</f>
        <v>0</v>
      </c>
      <c r="K388">
        <f t="shared" si="25"/>
        <v>0</v>
      </c>
      <c r="L388" t="str">
        <f t="shared" si="26"/>
        <v>Procurement</v>
      </c>
      <c r="M388">
        <f t="shared" si="27"/>
        <v>0</v>
      </c>
    </row>
    <row r="389" spans="1:13" x14ac:dyDescent="0.35">
      <c r="A389" s="12" t="str">
        <f>tblComponents[Component_ID]</f>
        <v>C388</v>
      </c>
      <c r="B389" s="12" t="str">
        <f>tblComponents[Component_Name]</f>
        <v>Component 388</v>
      </c>
      <c r="C389" t="str">
        <f>tblComponents[Product_Family]</f>
        <v>Powertrain</v>
      </c>
      <c r="D389" t="str">
        <f>tblComponents[Sourcing_Type]</f>
        <v>Buy</v>
      </c>
      <c r="E389" t="str">
        <f>tblComponents[Criticality]</f>
        <v>High</v>
      </c>
      <c r="F389">
        <f>tblComponents[Forecast_Demand]</f>
        <v>205</v>
      </c>
      <c r="G389">
        <f>tblComponents[Opening_Inventory]</f>
        <v>2730</v>
      </c>
      <c r="H389">
        <f>tblComponents[Safety_Stock]</f>
        <v>572</v>
      </c>
      <c r="I389">
        <f t="shared" si="24"/>
        <v>0</v>
      </c>
      <c r="J389" s="15">
        <f>tblComponents[Defect_Rate]</f>
        <v>0</v>
      </c>
      <c r="K389">
        <f t="shared" si="25"/>
        <v>0</v>
      </c>
      <c r="L389" t="str">
        <f t="shared" si="26"/>
        <v>Procurement</v>
      </c>
      <c r="M389">
        <f t="shared" si="27"/>
        <v>0</v>
      </c>
    </row>
    <row r="390" spans="1:13" x14ac:dyDescent="0.35">
      <c r="A390" s="12" t="str">
        <f>tblComponents[Component_ID]</f>
        <v>C389</v>
      </c>
      <c r="B390" s="12" t="str">
        <f>tblComponents[Component_Name]</f>
        <v>Component 389</v>
      </c>
      <c r="C390" t="str">
        <f>tblComponents[Product_Family]</f>
        <v>Body &amp; Exterior</v>
      </c>
      <c r="D390" t="str">
        <f>tblComponents[Sourcing_Type]</f>
        <v>Buy</v>
      </c>
      <c r="E390" t="str">
        <f>tblComponents[Criticality]</f>
        <v>Medium</v>
      </c>
      <c r="F390">
        <f>tblComponents[Forecast_Demand]</f>
        <v>477</v>
      </c>
      <c r="G390">
        <f>tblComponents[Opening_Inventory]</f>
        <v>4019</v>
      </c>
      <c r="H390">
        <f>tblComponents[Safety_Stock]</f>
        <v>554</v>
      </c>
      <c r="I390">
        <f t="shared" si="24"/>
        <v>0</v>
      </c>
      <c r="J390" s="15">
        <f>tblComponents[Defect_Rate]</f>
        <v>0</v>
      </c>
      <c r="K390">
        <f t="shared" si="25"/>
        <v>0</v>
      </c>
      <c r="L390" t="str">
        <f t="shared" si="26"/>
        <v>Procurement</v>
      </c>
      <c r="M390">
        <f t="shared" si="27"/>
        <v>0</v>
      </c>
    </row>
    <row r="391" spans="1:13" x14ac:dyDescent="0.35">
      <c r="A391" s="12" t="str">
        <f>tblComponents[Component_ID]</f>
        <v>C390</v>
      </c>
      <c r="B391" s="12" t="str">
        <f>tblComponents[Component_Name]</f>
        <v>Component 390</v>
      </c>
      <c r="C391" t="str">
        <f>tblComponents[Product_Family]</f>
        <v>Electrical Systems</v>
      </c>
      <c r="D391" t="str">
        <f>tblComponents[Sourcing_Type]</f>
        <v>Buy</v>
      </c>
      <c r="E391" t="str">
        <f>tblComponents[Criticality]</f>
        <v>Medium</v>
      </c>
      <c r="F391">
        <f>tblComponents[Forecast_Demand]</f>
        <v>2039</v>
      </c>
      <c r="G391">
        <f>tblComponents[Opening_Inventory]</f>
        <v>19383</v>
      </c>
      <c r="H391">
        <f>tblComponents[Safety_Stock]</f>
        <v>1519</v>
      </c>
      <c r="I391">
        <f t="shared" si="24"/>
        <v>0</v>
      </c>
      <c r="J391" s="15">
        <f>tblComponents[Defect_Rate]</f>
        <v>0</v>
      </c>
      <c r="K391">
        <f t="shared" si="25"/>
        <v>0</v>
      </c>
      <c r="L391" t="str">
        <f t="shared" si="26"/>
        <v>Procurement</v>
      </c>
      <c r="M391">
        <f t="shared" si="27"/>
        <v>0</v>
      </c>
    </row>
    <row r="392" spans="1:13" x14ac:dyDescent="0.35">
      <c r="A392" s="12" t="str">
        <f>tblComponents[Component_ID]</f>
        <v>C391</v>
      </c>
      <c r="B392" s="12" t="str">
        <f>tblComponents[Component_Name]</f>
        <v>Component 391</v>
      </c>
      <c r="C392" t="str">
        <f>tblComponents[Product_Family]</f>
        <v>Electrical Systems</v>
      </c>
      <c r="D392" t="str">
        <f>tblComponents[Sourcing_Type]</f>
        <v>Buy</v>
      </c>
      <c r="E392" t="str">
        <f>tblComponents[Criticality]</f>
        <v>Medium</v>
      </c>
      <c r="F392">
        <f>tblComponents[Forecast_Demand]</f>
        <v>213</v>
      </c>
      <c r="G392">
        <f>tblComponents[Opening_Inventory]</f>
        <v>3909</v>
      </c>
      <c r="H392">
        <f>tblComponents[Safety_Stock]</f>
        <v>439</v>
      </c>
      <c r="I392">
        <f t="shared" si="24"/>
        <v>0</v>
      </c>
      <c r="J392" s="15">
        <f>tblComponents[Defect_Rate]</f>
        <v>0</v>
      </c>
      <c r="K392">
        <f t="shared" si="25"/>
        <v>0</v>
      </c>
      <c r="L392" t="str">
        <f t="shared" si="26"/>
        <v>Procurement</v>
      </c>
      <c r="M392">
        <f t="shared" si="27"/>
        <v>0</v>
      </c>
    </row>
    <row r="393" spans="1:13" x14ac:dyDescent="0.35">
      <c r="A393" s="12" t="str">
        <f>tblComponents[Component_ID]</f>
        <v>C392</v>
      </c>
      <c r="B393" s="12" t="str">
        <f>tblComponents[Component_Name]</f>
        <v>Component 392</v>
      </c>
      <c r="C393" t="str">
        <f>tblComponents[Product_Family]</f>
        <v>Body &amp; Exterior</v>
      </c>
      <c r="D393" t="str">
        <f>tblComponents[Sourcing_Type]</f>
        <v>Buy</v>
      </c>
      <c r="E393" t="str">
        <f>tblComponents[Criticality]</f>
        <v>Medium</v>
      </c>
      <c r="F393">
        <f>tblComponents[Forecast_Demand]</f>
        <v>1033</v>
      </c>
      <c r="G393">
        <f>tblComponents[Opening_Inventory]</f>
        <v>6161</v>
      </c>
      <c r="H393">
        <f>tblComponents[Safety_Stock]</f>
        <v>920</v>
      </c>
      <c r="I393">
        <f t="shared" si="24"/>
        <v>0</v>
      </c>
      <c r="J393" s="15">
        <f>tblComponents[Defect_Rate]</f>
        <v>0</v>
      </c>
      <c r="K393">
        <f t="shared" si="25"/>
        <v>0</v>
      </c>
      <c r="L393" t="str">
        <f t="shared" si="26"/>
        <v>Procurement</v>
      </c>
      <c r="M393">
        <f t="shared" si="27"/>
        <v>0</v>
      </c>
    </row>
    <row r="394" spans="1:13" x14ac:dyDescent="0.35">
      <c r="A394" s="12" t="str">
        <f>tblComponents[Component_ID]</f>
        <v>C393</v>
      </c>
      <c r="B394" s="12" t="str">
        <f>tblComponents[Component_Name]</f>
        <v>Component 393</v>
      </c>
      <c r="C394" t="str">
        <f>tblComponents[Product_Family]</f>
        <v>Body &amp; Exterior</v>
      </c>
      <c r="D394" t="str">
        <f>tblComponents[Sourcing_Type]</f>
        <v>Buy</v>
      </c>
      <c r="E394" t="str">
        <f>tblComponents[Criticality]</f>
        <v>Medium</v>
      </c>
      <c r="F394">
        <f>tblComponents[Forecast_Demand]</f>
        <v>478</v>
      </c>
      <c r="G394">
        <f>tblComponents[Opening_Inventory]</f>
        <v>868</v>
      </c>
      <c r="H394">
        <f>tblComponents[Safety_Stock]</f>
        <v>173</v>
      </c>
      <c r="I394">
        <f t="shared" si="24"/>
        <v>0</v>
      </c>
      <c r="J394" s="15">
        <f>tblComponents[Defect_Rate]</f>
        <v>0</v>
      </c>
      <c r="K394">
        <f t="shared" si="25"/>
        <v>0</v>
      </c>
      <c r="L394" t="str">
        <f t="shared" si="26"/>
        <v>Procurement</v>
      </c>
      <c r="M394">
        <f t="shared" si="27"/>
        <v>0</v>
      </c>
    </row>
    <row r="395" spans="1:13" x14ac:dyDescent="0.35">
      <c r="A395" s="12" t="str">
        <f>tblComponents[Component_ID]</f>
        <v>C394</v>
      </c>
      <c r="B395" s="12" t="str">
        <f>tblComponents[Component_Name]</f>
        <v>Component 394</v>
      </c>
      <c r="C395" t="str">
        <f>tblComponents[Product_Family]</f>
        <v>Electrical Systems</v>
      </c>
      <c r="D395" t="str">
        <f>tblComponents[Sourcing_Type]</f>
        <v>Buy</v>
      </c>
      <c r="E395" t="str">
        <f>tblComponents[Criticality]</f>
        <v>Low</v>
      </c>
      <c r="F395">
        <f>tblComponents[Forecast_Demand]</f>
        <v>1255</v>
      </c>
      <c r="G395">
        <f>tblComponents[Opening_Inventory]</f>
        <v>1185</v>
      </c>
      <c r="H395">
        <f>tblComponents[Safety_Stock]</f>
        <v>182</v>
      </c>
      <c r="I395">
        <f t="shared" si="24"/>
        <v>252</v>
      </c>
      <c r="J395" s="15">
        <f>tblComponents[Defect_Rate]</f>
        <v>0</v>
      </c>
      <c r="K395">
        <f t="shared" si="25"/>
        <v>252</v>
      </c>
      <c r="L395" t="str">
        <f t="shared" si="26"/>
        <v>Procurement</v>
      </c>
      <c r="M395">
        <f t="shared" si="27"/>
        <v>252</v>
      </c>
    </row>
    <row r="396" spans="1:13" x14ac:dyDescent="0.35">
      <c r="A396" s="12" t="str">
        <f>tblComponents[Component_ID]</f>
        <v>C395</v>
      </c>
      <c r="B396" s="12" t="str">
        <f>tblComponents[Component_Name]</f>
        <v>Component 395</v>
      </c>
      <c r="C396" t="str">
        <f>tblComponents[Product_Family]</f>
        <v>Powertrain</v>
      </c>
      <c r="D396" t="str">
        <f>tblComponents[Sourcing_Type]</f>
        <v>Buy</v>
      </c>
      <c r="E396" t="str">
        <f>tblComponents[Criticality]</f>
        <v>Critical</v>
      </c>
      <c r="F396">
        <f>tblComponents[Forecast_Demand]</f>
        <v>1357</v>
      </c>
      <c r="G396">
        <f>tblComponents[Opening_Inventory]</f>
        <v>12848</v>
      </c>
      <c r="H396">
        <f>tblComponents[Safety_Stock]</f>
        <v>1885</v>
      </c>
      <c r="I396">
        <f t="shared" si="24"/>
        <v>0</v>
      </c>
      <c r="J396" s="15">
        <f>tblComponents[Defect_Rate]</f>
        <v>0</v>
      </c>
      <c r="K396">
        <f t="shared" si="25"/>
        <v>0</v>
      </c>
      <c r="L396" t="str">
        <f t="shared" si="26"/>
        <v>Procurement</v>
      </c>
      <c r="M396">
        <f t="shared" si="27"/>
        <v>0</v>
      </c>
    </row>
    <row r="397" spans="1:13" x14ac:dyDescent="0.35">
      <c r="A397" s="12" t="str">
        <f>tblComponents[Component_ID]</f>
        <v>C396</v>
      </c>
      <c r="B397" s="12" t="str">
        <f>tblComponents[Component_Name]</f>
        <v>Component 396</v>
      </c>
      <c r="C397" t="str">
        <f>tblComponents[Product_Family]</f>
        <v>Powertrain</v>
      </c>
      <c r="D397" t="str">
        <f>tblComponents[Sourcing_Type]</f>
        <v>Buy</v>
      </c>
      <c r="E397" t="str">
        <f>tblComponents[Criticality]</f>
        <v>Medium</v>
      </c>
      <c r="F397">
        <f>tblComponents[Forecast_Demand]</f>
        <v>437</v>
      </c>
      <c r="G397">
        <f>tblComponents[Opening_Inventory]</f>
        <v>9869</v>
      </c>
      <c r="H397">
        <f>tblComponents[Safety_Stock]</f>
        <v>805</v>
      </c>
      <c r="I397">
        <f t="shared" si="24"/>
        <v>0</v>
      </c>
      <c r="J397" s="15">
        <f>tblComponents[Defect_Rate]</f>
        <v>0</v>
      </c>
      <c r="K397">
        <f t="shared" si="25"/>
        <v>0</v>
      </c>
      <c r="L397" t="str">
        <f t="shared" si="26"/>
        <v>Procurement</v>
      </c>
      <c r="M397">
        <f t="shared" si="27"/>
        <v>0</v>
      </c>
    </row>
    <row r="398" spans="1:13" x14ac:dyDescent="0.35">
      <c r="A398" s="12" t="str">
        <f>tblComponents[Component_ID]</f>
        <v>C397</v>
      </c>
      <c r="B398" s="12" t="str">
        <f>tblComponents[Component_Name]</f>
        <v>Component 397</v>
      </c>
      <c r="C398" t="str">
        <f>tblComponents[Product_Family]</f>
        <v>Powertrain</v>
      </c>
      <c r="D398" t="str">
        <f>tblComponents[Sourcing_Type]</f>
        <v>Buy</v>
      </c>
      <c r="E398" t="str">
        <f>tblComponents[Criticality]</f>
        <v>Medium</v>
      </c>
      <c r="F398">
        <f>tblComponents[Forecast_Demand]</f>
        <v>1511</v>
      </c>
      <c r="G398">
        <f>tblComponents[Opening_Inventory]</f>
        <v>8554</v>
      </c>
      <c r="H398">
        <f>tblComponents[Safety_Stock]</f>
        <v>843</v>
      </c>
      <c r="I398">
        <f t="shared" si="24"/>
        <v>0</v>
      </c>
      <c r="J398" s="15">
        <f>tblComponents[Defect_Rate]</f>
        <v>0</v>
      </c>
      <c r="K398">
        <f t="shared" si="25"/>
        <v>0</v>
      </c>
      <c r="L398" t="str">
        <f t="shared" si="26"/>
        <v>Procurement</v>
      </c>
      <c r="M398">
        <f t="shared" si="27"/>
        <v>0</v>
      </c>
    </row>
    <row r="399" spans="1:13" x14ac:dyDescent="0.35">
      <c r="A399" s="12" t="str">
        <f>tblComponents[Component_ID]</f>
        <v>C398</v>
      </c>
      <c r="B399" s="12" t="str">
        <f>tblComponents[Component_Name]</f>
        <v>Component 398</v>
      </c>
      <c r="C399" t="str">
        <f>tblComponents[Product_Family]</f>
        <v>Body &amp; Exterior</v>
      </c>
      <c r="D399" t="str">
        <f>tblComponents[Sourcing_Type]</f>
        <v>Buy</v>
      </c>
      <c r="E399" t="str">
        <f>tblComponents[Criticality]</f>
        <v>Critical</v>
      </c>
      <c r="F399">
        <f>tblComponents[Forecast_Demand]</f>
        <v>651</v>
      </c>
      <c r="G399">
        <f>tblComponents[Opening_Inventory]</f>
        <v>1813</v>
      </c>
      <c r="H399">
        <f>tblComponents[Safety_Stock]</f>
        <v>627</v>
      </c>
      <c r="I399">
        <f t="shared" si="24"/>
        <v>0</v>
      </c>
      <c r="J399" s="15">
        <f>tblComponents[Defect_Rate]</f>
        <v>0</v>
      </c>
      <c r="K399">
        <f t="shared" si="25"/>
        <v>0</v>
      </c>
      <c r="L399" t="str">
        <f t="shared" si="26"/>
        <v>Procurement</v>
      </c>
      <c r="M399">
        <f t="shared" si="27"/>
        <v>0</v>
      </c>
    </row>
    <row r="400" spans="1:13" x14ac:dyDescent="0.35">
      <c r="A400" s="12" t="str">
        <f>tblComponents[Component_ID]</f>
        <v>C399</v>
      </c>
      <c r="B400" s="12" t="str">
        <f>tblComponents[Component_Name]</f>
        <v>Component 399</v>
      </c>
      <c r="C400" t="str">
        <f>tblComponents[Product_Family]</f>
        <v>Electrical Systems</v>
      </c>
      <c r="D400" t="str">
        <f>tblComponents[Sourcing_Type]</f>
        <v>Buy</v>
      </c>
      <c r="E400" t="str">
        <f>tblComponents[Criticality]</f>
        <v>Critical</v>
      </c>
      <c r="F400">
        <f>tblComponents[Forecast_Demand]</f>
        <v>767</v>
      </c>
      <c r="G400">
        <f>tblComponents[Opening_Inventory]</f>
        <v>10241</v>
      </c>
      <c r="H400">
        <f>tblComponents[Safety_Stock]</f>
        <v>2775</v>
      </c>
      <c r="I400">
        <f t="shared" si="24"/>
        <v>0</v>
      </c>
      <c r="J400" s="15">
        <f>tblComponents[Defect_Rate]</f>
        <v>0</v>
      </c>
      <c r="K400">
        <f t="shared" si="25"/>
        <v>0</v>
      </c>
      <c r="L400" t="str">
        <f t="shared" si="26"/>
        <v>Procurement</v>
      </c>
      <c r="M400">
        <f t="shared" si="27"/>
        <v>0</v>
      </c>
    </row>
    <row r="401" spans="1:13" x14ac:dyDescent="0.35">
      <c r="A401" s="12" t="str">
        <f>tblComponents[Component_ID]</f>
        <v>C400</v>
      </c>
      <c r="B401" s="12" t="str">
        <f>tblComponents[Component_Name]</f>
        <v>Component 400</v>
      </c>
      <c r="C401" t="str">
        <f>tblComponents[Product_Family]</f>
        <v>Body &amp; Exterior</v>
      </c>
      <c r="D401" t="str">
        <f>tblComponents[Sourcing_Type]</f>
        <v>Buy</v>
      </c>
      <c r="E401" t="str">
        <f>tblComponents[Criticality]</f>
        <v>High</v>
      </c>
      <c r="F401">
        <f>tblComponents[Forecast_Demand]</f>
        <v>1357</v>
      </c>
      <c r="G401">
        <f>tblComponents[Opening_Inventory]</f>
        <v>7108</v>
      </c>
      <c r="H401">
        <f>tblComponents[Safety_Stock]</f>
        <v>537</v>
      </c>
      <c r="I401">
        <f t="shared" si="24"/>
        <v>0</v>
      </c>
      <c r="J401" s="15">
        <f>tblComponents[Defect_Rate]</f>
        <v>0</v>
      </c>
      <c r="K401">
        <f t="shared" si="25"/>
        <v>0</v>
      </c>
      <c r="L401" t="str">
        <f t="shared" si="26"/>
        <v>Procurement</v>
      </c>
      <c r="M401">
        <f t="shared" si="27"/>
        <v>0</v>
      </c>
    </row>
    <row r="402" spans="1:13" x14ac:dyDescent="0.35">
      <c r="A402" s="12" t="str">
        <f>tblComponents[Component_ID]</f>
        <v>C401</v>
      </c>
      <c r="B402" s="12" t="str">
        <f>tblComponents[Component_Name]</f>
        <v>Component 401</v>
      </c>
      <c r="C402" t="str">
        <f>tblComponents[Product_Family]</f>
        <v>Body &amp; Exterior</v>
      </c>
      <c r="D402" t="str">
        <f>tblComponents[Sourcing_Type]</f>
        <v>Buy</v>
      </c>
      <c r="E402" t="str">
        <f>tblComponents[Criticality]</f>
        <v>High</v>
      </c>
      <c r="F402">
        <f>tblComponents[Forecast_Demand]</f>
        <v>1638</v>
      </c>
      <c r="G402">
        <f>tblComponents[Opening_Inventory]</f>
        <v>8703</v>
      </c>
      <c r="H402">
        <f>tblComponents[Safety_Stock]</f>
        <v>1167</v>
      </c>
      <c r="I402">
        <f t="shared" si="24"/>
        <v>0</v>
      </c>
      <c r="J402" s="15">
        <f>tblComponents[Defect_Rate]</f>
        <v>0</v>
      </c>
      <c r="K402">
        <f t="shared" si="25"/>
        <v>0</v>
      </c>
      <c r="L402" t="str">
        <f t="shared" si="26"/>
        <v>Procurement</v>
      </c>
      <c r="M402">
        <f t="shared" si="27"/>
        <v>0</v>
      </c>
    </row>
    <row r="403" spans="1:13" x14ac:dyDescent="0.35">
      <c r="A403" s="12" t="str">
        <f>tblComponents[Component_ID]</f>
        <v>C402</v>
      </c>
      <c r="B403" s="12" t="str">
        <f>tblComponents[Component_Name]</f>
        <v>Component 402</v>
      </c>
      <c r="C403" t="str">
        <f>tblComponents[Product_Family]</f>
        <v>Interior</v>
      </c>
      <c r="D403" t="str">
        <f>tblComponents[Sourcing_Type]</f>
        <v>Buy</v>
      </c>
      <c r="E403" t="str">
        <f>tblComponents[Criticality]</f>
        <v>High</v>
      </c>
      <c r="F403">
        <f>tblComponents[Forecast_Demand]</f>
        <v>866</v>
      </c>
      <c r="G403">
        <f>tblComponents[Opening_Inventory]</f>
        <v>5247</v>
      </c>
      <c r="H403">
        <f>tblComponents[Safety_Stock]</f>
        <v>306</v>
      </c>
      <c r="I403">
        <f t="shared" si="24"/>
        <v>0</v>
      </c>
      <c r="J403" s="15">
        <f>tblComponents[Defect_Rate]</f>
        <v>0</v>
      </c>
      <c r="K403">
        <f t="shared" si="25"/>
        <v>0</v>
      </c>
      <c r="L403" t="str">
        <f t="shared" si="26"/>
        <v>Procurement</v>
      </c>
      <c r="M403">
        <f t="shared" si="27"/>
        <v>0</v>
      </c>
    </row>
    <row r="404" spans="1:13" x14ac:dyDescent="0.35">
      <c r="A404" s="12" t="str">
        <f>tblComponents[Component_ID]</f>
        <v>C403</v>
      </c>
      <c r="B404" s="12" t="str">
        <f>tblComponents[Component_Name]</f>
        <v>Component 403</v>
      </c>
      <c r="C404" t="str">
        <f>tblComponents[Product_Family]</f>
        <v>Electrical Systems</v>
      </c>
      <c r="D404" t="str">
        <f>tblComponents[Sourcing_Type]</f>
        <v>Buy</v>
      </c>
      <c r="E404" t="str">
        <f>tblComponents[Criticality]</f>
        <v>Low</v>
      </c>
      <c r="F404">
        <f>tblComponents[Forecast_Demand]</f>
        <v>255</v>
      </c>
      <c r="G404">
        <f>tblComponents[Opening_Inventory]</f>
        <v>2790</v>
      </c>
      <c r="H404">
        <f>tblComponents[Safety_Stock]</f>
        <v>294</v>
      </c>
      <c r="I404">
        <f t="shared" si="24"/>
        <v>0</v>
      </c>
      <c r="J404" s="15">
        <f>tblComponents[Defect_Rate]</f>
        <v>0</v>
      </c>
      <c r="K404">
        <f t="shared" si="25"/>
        <v>0</v>
      </c>
      <c r="L404" t="str">
        <f t="shared" si="26"/>
        <v>Procurement</v>
      </c>
      <c r="M404">
        <f t="shared" si="27"/>
        <v>0</v>
      </c>
    </row>
    <row r="405" spans="1:13" x14ac:dyDescent="0.35">
      <c r="A405" s="12" t="str">
        <f>tblComponents[Component_ID]</f>
        <v>C404</v>
      </c>
      <c r="B405" s="12" t="str">
        <f>tblComponents[Component_Name]</f>
        <v>Component 404</v>
      </c>
      <c r="C405" t="str">
        <f>tblComponents[Product_Family]</f>
        <v>Powertrain</v>
      </c>
      <c r="D405" t="str">
        <f>tblComponents[Sourcing_Type]</f>
        <v>Buy</v>
      </c>
      <c r="E405" t="str">
        <f>tblComponents[Criticality]</f>
        <v>Low</v>
      </c>
      <c r="F405">
        <f>tblComponents[Forecast_Demand]</f>
        <v>1306</v>
      </c>
      <c r="G405">
        <f>tblComponents[Opening_Inventory]</f>
        <v>6719</v>
      </c>
      <c r="H405">
        <f>tblComponents[Safety_Stock]</f>
        <v>687</v>
      </c>
      <c r="I405">
        <f t="shared" si="24"/>
        <v>0</v>
      </c>
      <c r="J405" s="15">
        <f>tblComponents[Defect_Rate]</f>
        <v>0</v>
      </c>
      <c r="K405">
        <f t="shared" si="25"/>
        <v>0</v>
      </c>
      <c r="L405" t="str">
        <f t="shared" si="26"/>
        <v>Procurement</v>
      </c>
      <c r="M405">
        <f t="shared" si="27"/>
        <v>0</v>
      </c>
    </row>
    <row r="406" spans="1:13" x14ac:dyDescent="0.35">
      <c r="A406" s="12" t="str">
        <f>tblComponents[Component_ID]</f>
        <v>C405</v>
      </c>
      <c r="B406" s="12" t="str">
        <f>tblComponents[Component_Name]</f>
        <v>Component 405</v>
      </c>
      <c r="C406" t="str">
        <f>tblComponents[Product_Family]</f>
        <v>Electrical Systems</v>
      </c>
      <c r="D406" t="str">
        <f>tblComponents[Sourcing_Type]</f>
        <v>Buy</v>
      </c>
      <c r="E406" t="str">
        <f>tblComponents[Criticality]</f>
        <v>High</v>
      </c>
      <c r="F406">
        <f>tblComponents[Forecast_Demand]</f>
        <v>1488</v>
      </c>
      <c r="G406">
        <f>tblComponents[Opening_Inventory]</f>
        <v>1200</v>
      </c>
      <c r="H406">
        <f>tblComponents[Safety_Stock]</f>
        <v>496</v>
      </c>
      <c r="I406">
        <f t="shared" si="24"/>
        <v>784</v>
      </c>
      <c r="J406" s="15">
        <f>tblComponents[Defect_Rate]</f>
        <v>0</v>
      </c>
      <c r="K406">
        <f t="shared" si="25"/>
        <v>784</v>
      </c>
      <c r="L406" t="str">
        <f t="shared" si="26"/>
        <v>Procurement</v>
      </c>
      <c r="M406">
        <f t="shared" si="27"/>
        <v>784</v>
      </c>
    </row>
    <row r="407" spans="1:13" x14ac:dyDescent="0.35">
      <c r="A407" s="12" t="str">
        <f>tblComponents[Component_ID]</f>
        <v>C406</v>
      </c>
      <c r="B407" s="12" t="str">
        <f>tblComponents[Component_Name]</f>
        <v>Component 406</v>
      </c>
      <c r="C407" t="str">
        <f>tblComponents[Product_Family]</f>
        <v>Powertrain</v>
      </c>
      <c r="D407" t="str">
        <f>tblComponents[Sourcing_Type]</f>
        <v>Buy</v>
      </c>
      <c r="E407" t="str">
        <f>tblComponents[Criticality]</f>
        <v>Medium</v>
      </c>
      <c r="F407">
        <f>tblComponents[Forecast_Demand]</f>
        <v>519</v>
      </c>
      <c r="G407">
        <f>tblComponents[Opening_Inventory]</f>
        <v>12090</v>
      </c>
      <c r="H407">
        <f>tblComponents[Safety_Stock]</f>
        <v>805</v>
      </c>
      <c r="I407">
        <f t="shared" si="24"/>
        <v>0</v>
      </c>
      <c r="J407" s="15">
        <f>tblComponents[Defect_Rate]</f>
        <v>0</v>
      </c>
      <c r="K407">
        <f t="shared" si="25"/>
        <v>0</v>
      </c>
      <c r="L407" t="str">
        <f t="shared" si="26"/>
        <v>Procurement</v>
      </c>
      <c r="M407">
        <f t="shared" si="27"/>
        <v>0</v>
      </c>
    </row>
    <row r="408" spans="1:13" x14ac:dyDescent="0.35">
      <c r="A408" s="12" t="str">
        <f>tblComponents[Component_ID]</f>
        <v>C407</v>
      </c>
      <c r="B408" s="12" t="str">
        <f>tblComponents[Component_Name]</f>
        <v>Component 407</v>
      </c>
      <c r="C408" t="str">
        <f>tblComponents[Product_Family]</f>
        <v>Body &amp; Exterior</v>
      </c>
      <c r="D408" t="str">
        <f>tblComponents[Sourcing_Type]</f>
        <v>Buy</v>
      </c>
      <c r="E408" t="str">
        <f>tblComponents[Criticality]</f>
        <v>High</v>
      </c>
      <c r="F408">
        <f>tblComponents[Forecast_Demand]</f>
        <v>1194</v>
      </c>
      <c r="G408">
        <f>tblComponents[Opening_Inventory]</f>
        <v>4108</v>
      </c>
      <c r="H408">
        <f>tblComponents[Safety_Stock]</f>
        <v>348</v>
      </c>
      <c r="I408">
        <f t="shared" si="24"/>
        <v>0</v>
      </c>
      <c r="J408" s="15">
        <f>tblComponents[Defect_Rate]</f>
        <v>0</v>
      </c>
      <c r="K408">
        <f t="shared" si="25"/>
        <v>0</v>
      </c>
      <c r="L408" t="str">
        <f t="shared" si="26"/>
        <v>Procurement</v>
      </c>
      <c r="M408">
        <f t="shared" si="27"/>
        <v>0</v>
      </c>
    </row>
    <row r="409" spans="1:13" x14ac:dyDescent="0.35">
      <c r="A409" s="12" t="str">
        <f>tblComponents[Component_ID]</f>
        <v>C408</v>
      </c>
      <c r="B409" s="12" t="str">
        <f>tblComponents[Component_Name]</f>
        <v>Component 408</v>
      </c>
      <c r="C409" t="str">
        <f>tblComponents[Product_Family]</f>
        <v>Interior</v>
      </c>
      <c r="D409" t="str">
        <f>tblComponents[Sourcing_Type]</f>
        <v>Buy</v>
      </c>
      <c r="E409" t="str">
        <f>tblComponents[Criticality]</f>
        <v>Critical</v>
      </c>
      <c r="F409">
        <f>tblComponents[Forecast_Demand]</f>
        <v>1481</v>
      </c>
      <c r="G409">
        <f>tblComponents[Opening_Inventory]</f>
        <v>3754</v>
      </c>
      <c r="H409">
        <f>tblComponents[Safety_Stock]</f>
        <v>692</v>
      </c>
      <c r="I409">
        <f t="shared" si="24"/>
        <v>0</v>
      </c>
      <c r="J409" s="15">
        <f>tblComponents[Defect_Rate]</f>
        <v>0</v>
      </c>
      <c r="K409">
        <f t="shared" si="25"/>
        <v>0</v>
      </c>
      <c r="L409" t="str">
        <f t="shared" si="26"/>
        <v>Procurement</v>
      </c>
      <c r="M409">
        <f t="shared" si="27"/>
        <v>0</v>
      </c>
    </row>
    <row r="410" spans="1:13" x14ac:dyDescent="0.35">
      <c r="A410" s="12" t="str">
        <f>tblComponents[Component_ID]</f>
        <v>C409</v>
      </c>
      <c r="B410" s="12" t="str">
        <f>tblComponents[Component_Name]</f>
        <v>Component 409</v>
      </c>
      <c r="C410" t="str">
        <f>tblComponents[Product_Family]</f>
        <v>Electrical Systems</v>
      </c>
      <c r="D410" t="str">
        <f>tblComponents[Sourcing_Type]</f>
        <v>Buy</v>
      </c>
      <c r="E410" t="str">
        <f>tblComponents[Criticality]</f>
        <v>Medium</v>
      </c>
      <c r="F410">
        <f>tblComponents[Forecast_Demand]</f>
        <v>2315</v>
      </c>
      <c r="G410">
        <f>tblComponents[Opening_Inventory]</f>
        <v>5318</v>
      </c>
      <c r="H410">
        <f>tblComponents[Safety_Stock]</f>
        <v>1009</v>
      </c>
      <c r="I410">
        <f t="shared" si="24"/>
        <v>0</v>
      </c>
      <c r="J410" s="15">
        <f>tblComponents[Defect_Rate]</f>
        <v>0</v>
      </c>
      <c r="K410">
        <f t="shared" si="25"/>
        <v>0</v>
      </c>
      <c r="L410" t="str">
        <f t="shared" si="26"/>
        <v>Procurement</v>
      </c>
      <c r="M410">
        <f t="shared" si="27"/>
        <v>0</v>
      </c>
    </row>
    <row r="411" spans="1:13" x14ac:dyDescent="0.35">
      <c r="A411" s="12" t="str">
        <f>tblComponents[Component_ID]</f>
        <v>C410</v>
      </c>
      <c r="B411" s="12" t="str">
        <f>tblComponents[Component_Name]</f>
        <v>Component 410</v>
      </c>
      <c r="C411" t="str">
        <f>tblComponents[Product_Family]</f>
        <v>Powertrain</v>
      </c>
      <c r="D411" t="str">
        <f>tblComponents[Sourcing_Type]</f>
        <v>Buy</v>
      </c>
      <c r="E411" t="str">
        <f>tblComponents[Criticality]</f>
        <v>High</v>
      </c>
      <c r="F411">
        <f>tblComponents[Forecast_Demand]</f>
        <v>186</v>
      </c>
      <c r="G411">
        <f>tblComponents[Opening_Inventory]</f>
        <v>4339</v>
      </c>
      <c r="H411">
        <f>tblComponents[Safety_Stock]</f>
        <v>548</v>
      </c>
      <c r="I411">
        <f t="shared" si="24"/>
        <v>0</v>
      </c>
      <c r="J411" s="15">
        <f>tblComponents[Defect_Rate]</f>
        <v>0</v>
      </c>
      <c r="K411">
        <f t="shared" si="25"/>
        <v>0</v>
      </c>
      <c r="L411" t="str">
        <f t="shared" si="26"/>
        <v>Procurement</v>
      </c>
      <c r="M411">
        <f t="shared" si="27"/>
        <v>0</v>
      </c>
    </row>
    <row r="412" spans="1:13" x14ac:dyDescent="0.35">
      <c r="A412" s="12" t="str">
        <f>tblComponents[Component_ID]</f>
        <v>C411</v>
      </c>
      <c r="B412" s="12" t="str">
        <f>tblComponents[Component_Name]</f>
        <v>Component 411</v>
      </c>
      <c r="C412" t="str">
        <f>tblComponents[Product_Family]</f>
        <v>Chassis</v>
      </c>
      <c r="D412" t="str">
        <f>tblComponents[Sourcing_Type]</f>
        <v>Buy</v>
      </c>
      <c r="E412" t="str">
        <f>tblComponents[Criticality]</f>
        <v>High</v>
      </c>
      <c r="F412">
        <f>tblComponents[Forecast_Demand]</f>
        <v>3164</v>
      </c>
      <c r="G412">
        <f>tblComponents[Opening_Inventory]</f>
        <v>7328</v>
      </c>
      <c r="H412">
        <f>tblComponents[Safety_Stock]</f>
        <v>743</v>
      </c>
      <c r="I412">
        <f t="shared" si="24"/>
        <v>0</v>
      </c>
      <c r="J412" s="15">
        <f>tblComponents[Defect_Rate]</f>
        <v>0</v>
      </c>
      <c r="K412">
        <f t="shared" si="25"/>
        <v>0</v>
      </c>
      <c r="L412" t="str">
        <f t="shared" si="26"/>
        <v>Procurement</v>
      </c>
      <c r="M412">
        <f t="shared" si="27"/>
        <v>0</v>
      </c>
    </row>
    <row r="413" spans="1:13" x14ac:dyDescent="0.35">
      <c r="A413" s="12" t="str">
        <f>tblComponents[Component_ID]</f>
        <v>C412</v>
      </c>
      <c r="B413" s="12" t="str">
        <f>tblComponents[Component_Name]</f>
        <v>Component 412</v>
      </c>
      <c r="C413" t="str">
        <f>tblComponents[Product_Family]</f>
        <v>Powertrain</v>
      </c>
      <c r="D413" t="str">
        <f>tblComponents[Sourcing_Type]</f>
        <v>Buy</v>
      </c>
      <c r="E413" t="str">
        <f>tblComponents[Criticality]</f>
        <v>Critical</v>
      </c>
      <c r="F413">
        <f>tblComponents[Forecast_Demand]</f>
        <v>2122</v>
      </c>
      <c r="G413">
        <f>tblComponents[Opening_Inventory]</f>
        <v>8717</v>
      </c>
      <c r="H413">
        <f>tblComponents[Safety_Stock]</f>
        <v>751</v>
      </c>
      <c r="I413">
        <f t="shared" si="24"/>
        <v>0</v>
      </c>
      <c r="J413" s="15">
        <f>tblComponents[Defect_Rate]</f>
        <v>0</v>
      </c>
      <c r="K413">
        <f t="shared" si="25"/>
        <v>0</v>
      </c>
      <c r="L413" t="str">
        <f t="shared" si="26"/>
        <v>Procurement</v>
      </c>
      <c r="M413">
        <f t="shared" si="27"/>
        <v>0</v>
      </c>
    </row>
    <row r="414" spans="1:13" x14ac:dyDescent="0.35">
      <c r="A414" s="12" t="str">
        <f>tblComponents[Component_ID]</f>
        <v>C413</v>
      </c>
      <c r="B414" s="12" t="str">
        <f>tblComponents[Component_Name]</f>
        <v>Component 413</v>
      </c>
      <c r="C414" t="str">
        <f>tblComponents[Product_Family]</f>
        <v>Powertrain</v>
      </c>
      <c r="D414" t="str">
        <f>tblComponents[Sourcing_Type]</f>
        <v>Buy</v>
      </c>
      <c r="E414" t="str">
        <f>tblComponents[Criticality]</f>
        <v>Medium</v>
      </c>
      <c r="F414">
        <f>tblComponents[Forecast_Demand]</f>
        <v>1420</v>
      </c>
      <c r="G414">
        <f>tblComponents[Opening_Inventory]</f>
        <v>1932</v>
      </c>
      <c r="H414">
        <f>tblComponents[Safety_Stock]</f>
        <v>377</v>
      </c>
      <c r="I414">
        <f t="shared" si="24"/>
        <v>0</v>
      </c>
      <c r="J414" s="15">
        <f>tblComponents[Defect_Rate]</f>
        <v>0</v>
      </c>
      <c r="K414">
        <f t="shared" si="25"/>
        <v>0</v>
      </c>
      <c r="L414" t="str">
        <f t="shared" si="26"/>
        <v>Procurement</v>
      </c>
      <c r="M414">
        <f t="shared" si="27"/>
        <v>0</v>
      </c>
    </row>
    <row r="415" spans="1:13" x14ac:dyDescent="0.35">
      <c r="A415" s="12" t="str">
        <f>tblComponents[Component_ID]</f>
        <v>C414</v>
      </c>
      <c r="B415" s="12" t="str">
        <f>tblComponents[Component_Name]</f>
        <v>Component 414</v>
      </c>
      <c r="C415" t="str">
        <f>tblComponents[Product_Family]</f>
        <v>Powertrain</v>
      </c>
      <c r="D415" t="str">
        <f>tblComponents[Sourcing_Type]</f>
        <v>Buy</v>
      </c>
      <c r="E415" t="str">
        <f>tblComponents[Criticality]</f>
        <v>Medium</v>
      </c>
      <c r="F415">
        <f>tblComponents[Forecast_Demand]</f>
        <v>2707</v>
      </c>
      <c r="G415">
        <f>tblComponents[Opening_Inventory]</f>
        <v>5270</v>
      </c>
      <c r="H415">
        <f>tblComponents[Safety_Stock]</f>
        <v>1385</v>
      </c>
      <c r="I415">
        <f t="shared" si="24"/>
        <v>0</v>
      </c>
      <c r="J415" s="15">
        <f>tblComponents[Defect_Rate]</f>
        <v>0</v>
      </c>
      <c r="K415">
        <f t="shared" si="25"/>
        <v>0</v>
      </c>
      <c r="L415" t="str">
        <f t="shared" si="26"/>
        <v>Procurement</v>
      </c>
      <c r="M415">
        <f t="shared" si="27"/>
        <v>0</v>
      </c>
    </row>
    <row r="416" spans="1:13" x14ac:dyDescent="0.35">
      <c r="A416" s="12" t="str">
        <f>tblComponents[Component_ID]</f>
        <v>C415</v>
      </c>
      <c r="B416" s="12" t="str">
        <f>tblComponents[Component_Name]</f>
        <v>Component 415</v>
      </c>
      <c r="C416" t="str">
        <f>tblComponents[Product_Family]</f>
        <v>Interior</v>
      </c>
      <c r="D416" t="str">
        <f>tblComponents[Sourcing_Type]</f>
        <v>Buy</v>
      </c>
      <c r="E416" t="str">
        <f>tblComponents[Criticality]</f>
        <v>Medium</v>
      </c>
      <c r="F416">
        <f>tblComponents[Forecast_Demand]</f>
        <v>1127</v>
      </c>
      <c r="G416">
        <f>tblComponents[Opening_Inventory]</f>
        <v>3199</v>
      </c>
      <c r="H416">
        <f>tblComponents[Safety_Stock]</f>
        <v>906</v>
      </c>
      <c r="I416">
        <f t="shared" si="24"/>
        <v>0</v>
      </c>
      <c r="J416" s="15">
        <f>tblComponents[Defect_Rate]</f>
        <v>0</v>
      </c>
      <c r="K416">
        <f t="shared" si="25"/>
        <v>0</v>
      </c>
      <c r="L416" t="str">
        <f t="shared" si="26"/>
        <v>Procurement</v>
      </c>
      <c r="M416">
        <f t="shared" si="27"/>
        <v>0</v>
      </c>
    </row>
    <row r="417" spans="1:13" x14ac:dyDescent="0.35">
      <c r="A417" s="12" t="str">
        <f>tblComponents[Component_ID]</f>
        <v>C416</v>
      </c>
      <c r="B417" s="12" t="str">
        <f>tblComponents[Component_Name]</f>
        <v>Component 416</v>
      </c>
      <c r="C417" t="str">
        <f>tblComponents[Product_Family]</f>
        <v>Interior</v>
      </c>
      <c r="D417" t="str">
        <f>tblComponents[Sourcing_Type]</f>
        <v>Buy</v>
      </c>
      <c r="E417" t="str">
        <f>tblComponents[Criticality]</f>
        <v>Medium</v>
      </c>
      <c r="F417">
        <f>tblComponents[Forecast_Demand]</f>
        <v>322</v>
      </c>
      <c r="G417">
        <f>tblComponents[Opening_Inventory]</f>
        <v>1838</v>
      </c>
      <c r="H417">
        <f>tblComponents[Safety_Stock]</f>
        <v>268</v>
      </c>
      <c r="I417">
        <f t="shared" si="24"/>
        <v>0</v>
      </c>
      <c r="J417" s="15">
        <f>tblComponents[Defect_Rate]</f>
        <v>0</v>
      </c>
      <c r="K417">
        <f t="shared" si="25"/>
        <v>0</v>
      </c>
      <c r="L417" t="str">
        <f t="shared" si="26"/>
        <v>Procurement</v>
      </c>
      <c r="M417">
        <f t="shared" si="27"/>
        <v>0</v>
      </c>
    </row>
    <row r="418" spans="1:13" x14ac:dyDescent="0.35">
      <c r="A418" s="12" t="str">
        <f>tblComponents[Component_ID]</f>
        <v>C417</v>
      </c>
      <c r="B418" s="12" t="str">
        <f>tblComponents[Component_Name]</f>
        <v>Component 417</v>
      </c>
      <c r="C418" t="str">
        <f>tblComponents[Product_Family]</f>
        <v>Chassis</v>
      </c>
      <c r="D418" t="str">
        <f>tblComponents[Sourcing_Type]</f>
        <v>Buy</v>
      </c>
      <c r="E418" t="str">
        <f>tblComponents[Criticality]</f>
        <v>Medium</v>
      </c>
      <c r="F418">
        <f>tblComponents[Forecast_Demand]</f>
        <v>1205</v>
      </c>
      <c r="G418">
        <f>tblComponents[Opening_Inventory]</f>
        <v>4272</v>
      </c>
      <c r="H418">
        <f>tblComponents[Safety_Stock]</f>
        <v>957</v>
      </c>
      <c r="I418">
        <f t="shared" si="24"/>
        <v>0</v>
      </c>
      <c r="J418" s="15">
        <f>tblComponents[Defect_Rate]</f>
        <v>0</v>
      </c>
      <c r="K418">
        <f t="shared" si="25"/>
        <v>0</v>
      </c>
      <c r="L418" t="str">
        <f t="shared" si="26"/>
        <v>Procurement</v>
      </c>
      <c r="M418">
        <f t="shared" si="27"/>
        <v>0</v>
      </c>
    </row>
    <row r="419" spans="1:13" x14ac:dyDescent="0.35">
      <c r="A419" s="12" t="str">
        <f>tblComponents[Component_ID]</f>
        <v>C418</v>
      </c>
      <c r="B419" s="12" t="str">
        <f>tblComponents[Component_Name]</f>
        <v>Component 418</v>
      </c>
      <c r="C419" t="str">
        <f>tblComponents[Product_Family]</f>
        <v>Electrical Systems</v>
      </c>
      <c r="D419" t="str">
        <f>tblComponents[Sourcing_Type]</f>
        <v>Buy</v>
      </c>
      <c r="E419" t="str">
        <f>tblComponents[Criticality]</f>
        <v>Medium</v>
      </c>
      <c r="F419">
        <f>tblComponents[Forecast_Demand]</f>
        <v>963</v>
      </c>
      <c r="G419">
        <f>tblComponents[Opening_Inventory]</f>
        <v>2603</v>
      </c>
      <c r="H419">
        <f>tblComponents[Safety_Stock]</f>
        <v>180</v>
      </c>
      <c r="I419">
        <f t="shared" si="24"/>
        <v>0</v>
      </c>
      <c r="J419" s="15">
        <f>tblComponents[Defect_Rate]</f>
        <v>0</v>
      </c>
      <c r="K419">
        <f t="shared" si="25"/>
        <v>0</v>
      </c>
      <c r="L419" t="str">
        <f t="shared" si="26"/>
        <v>Procurement</v>
      </c>
      <c r="M419">
        <f t="shared" si="27"/>
        <v>0</v>
      </c>
    </row>
    <row r="420" spans="1:13" x14ac:dyDescent="0.35">
      <c r="A420" s="12" t="str">
        <f>tblComponents[Component_ID]</f>
        <v>C419</v>
      </c>
      <c r="B420" s="12" t="str">
        <f>tblComponents[Component_Name]</f>
        <v>Component 419</v>
      </c>
      <c r="C420" t="str">
        <f>tblComponents[Product_Family]</f>
        <v>Body &amp; Exterior</v>
      </c>
      <c r="D420" t="str">
        <f>tblComponents[Sourcing_Type]</f>
        <v>Buy</v>
      </c>
      <c r="E420" t="str">
        <f>tblComponents[Criticality]</f>
        <v>Medium</v>
      </c>
      <c r="F420">
        <f>tblComponents[Forecast_Demand]</f>
        <v>576</v>
      </c>
      <c r="G420">
        <f>tblComponents[Opening_Inventory]</f>
        <v>16921</v>
      </c>
      <c r="H420">
        <f>tblComponents[Safety_Stock]</f>
        <v>1661</v>
      </c>
      <c r="I420">
        <f t="shared" si="24"/>
        <v>0</v>
      </c>
      <c r="J420" s="15">
        <f>tblComponents[Defect_Rate]</f>
        <v>0</v>
      </c>
      <c r="K420">
        <f t="shared" si="25"/>
        <v>0</v>
      </c>
      <c r="L420" t="str">
        <f t="shared" si="26"/>
        <v>Procurement</v>
      </c>
      <c r="M420">
        <f t="shared" si="27"/>
        <v>0</v>
      </c>
    </row>
    <row r="421" spans="1:13" x14ac:dyDescent="0.35">
      <c r="A421" s="12" t="str">
        <f>tblComponents[Component_ID]</f>
        <v>C420</v>
      </c>
      <c r="B421" s="12" t="str">
        <f>tblComponents[Component_Name]</f>
        <v>Component 420</v>
      </c>
      <c r="C421" t="str">
        <f>tblComponents[Product_Family]</f>
        <v>Body &amp; Exterior</v>
      </c>
      <c r="D421" t="str">
        <f>tblComponents[Sourcing_Type]</f>
        <v>Buy</v>
      </c>
      <c r="E421" t="str">
        <f>tblComponents[Criticality]</f>
        <v>Low</v>
      </c>
      <c r="F421">
        <f>tblComponents[Forecast_Demand]</f>
        <v>460</v>
      </c>
      <c r="G421">
        <f>tblComponents[Opening_Inventory]</f>
        <v>9946</v>
      </c>
      <c r="H421">
        <f>tblComponents[Safety_Stock]</f>
        <v>473</v>
      </c>
      <c r="I421">
        <f t="shared" si="24"/>
        <v>0</v>
      </c>
      <c r="J421" s="15">
        <f>tblComponents[Defect_Rate]</f>
        <v>0</v>
      </c>
      <c r="K421">
        <f t="shared" si="25"/>
        <v>0</v>
      </c>
      <c r="L421" t="str">
        <f t="shared" si="26"/>
        <v>Procurement</v>
      </c>
      <c r="M421">
        <f t="shared" si="27"/>
        <v>0</v>
      </c>
    </row>
    <row r="422" spans="1:13" x14ac:dyDescent="0.35">
      <c r="A422" s="12" t="str">
        <f>tblComponents[Component_ID]</f>
        <v>C421</v>
      </c>
      <c r="B422" s="12" t="str">
        <f>tblComponents[Component_Name]</f>
        <v>Component 421</v>
      </c>
      <c r="C422" t="str">
        <f>tblComponents[Product_Family]</f>
        <v>Interior</v>
      </c>
      <c r="D422" t="str">
        <f>tblComponents[Sourcing_Type]</f>
        <v>Buy</v>
      </c>
      <c r="E422" t="str">
        <f>tblComponents[Criticality]</f>
        <v>Medium</v>
      </c>
      <c r="F422">
        <f>tblComponents[Forecast_Demand]</f>
        <v>1963</v>
      </c>
      <c r="G422">
        <f>tblComponents[Opening_Inventory]</f>
        <v>2752</v>
      </c>
      <c r="H422">
        <f>tblComponents[Safety_Stock]</f>
        <v>491</v>
      </c>
      <c r="I422">
        <f t="shared" si="24"/>
        <v>0</v>
      </c>
      <c r="J422" s="15">
        <f>tblComponents[Defect_Rate]</f>
        <v>0</v>
      </c>
      <c r="K422">
        <f t="shared" si="25"/>
        <v>0</v>
      </c>
      <c r="L422" t="str">
        <f t="shared" si="26"/>
        <v>Procurement</v>
      </c>
      <c r="M422">
        <f t="shared" si="27"/>
        <v>0</v>
      </c>
    </row>
    <row r="423" spans="1:13" x14ac:dyDescent="0.35">
      <c r="A423" s="12" t="str">
        <f>tblComponents[Component_ID]</f>
        <v>C422</v>
      </c>
      <c r="B423" s="12" t="str">
        <f>tblComponents[Component_Name]</f>
        <v>Component 422</v>
      </c>
      <c r="C423" t="str">
        <f>tblComponents[Product_Family]</f>
        <v>Interior</v>
      </c>
      <c r="D423" t="str">
        <f>tblComponents[Sourcing_Type]</f>
        <v>Buy</v>
      </c>
      <c r="E423" t="str">
        <f>tblComponents[Criticality]</f>
        <v>Medium</v>
      </c>
      <c r="F423">
        <f>tblComponents[Forecast_Demand]</f>
        <v>1719</v>
      </c>
      <c r="G423">
        <f>tblComponents[Opening_Inventory]</f>
        <v>7369</v>
      </c>
      <c r="H423">
        <f>tblComponents[Safety_Stock]</f>
        <v>2453</v>
      </c>
      <c r="I423">
        <f t="shared" si="24"/>
        <v>0</v>
      </c>
      <c r="J423" s="15">
        <f>tblComponents[Defect_Rate]</f>
        <v>0</v>
      </c>
      <c r="K423">
        <f t="shared" si="25"/>
        <v>0</v>
      </c>
      <c r="L423" t="str">
        <f t="shared" si="26"/>
        <v>Procurement</v>
      </c>
      <c r="M423">
        <f t="shared" si="27"/>
        <v>0</v>
      </c>
    </row>
    <row r="424" spans="1:13" x14ac:dyDescent="0.35">
      <c r="A424" s="12" t="str">
        <f>tblComponents[Component_ID]</f>
        <v>C423</v>
      </c>
      <c r="B424" s="12" t="str">
        <f>tblComponents[Component_Name]</f>
        <v>Component 423</v>
      </c>
      <c r="C424" t="str">
        <f>tblComponents[Product_Family]</f>
        <v>Powertrain</v>
      </c>
      <c r="D424" t="str">
        <f>tblComponents[Sourcing_Type]</f>
        <v>Buy</v>
      </c>
      <c r="E424" t="str">
        <f>tblComponents[Criticality]</f>
        <v>Low</v>
      </c>
      <c r="F424">
        <f>tblComponents[Forecast_Demand]</f>
        <v>312</v>
      </c>
      <c r="G424">
        <f>tblComponents[Opening_Inventory]</f>
        <v>1945</v>
      </c>
      <c r="H424">
        <f>tblComponents[Safety_Stock]</f>
        <v>1275</v>
      </c>
      <c r="I424">
        <f t="shared" si="24"/>
        <v>0</v>
      </c>
      <c r="J424" s="15">
        <f>tblComponents[Defect_Rate]</f>
        <v>0</v>
      </c>
      <c r="K424">
        <f t="shared" si="25"/>
        <v>0</v>
      </c>
      <c r="L424" t="str">
        <f t="shared" si="26"/>
        <v>Procurement</v>
      </c>
      <c r="M424">
        <f t="shared" si="27"/>
        <v>0</v>
      </c>
    </row>
    <row r="425" spans="1:13" x14ac:dyDescent="0.35">
      <c r="A425" s="12" t="str">
        <f>tblComponents[Component_ID]</f>
        <v>C424</v>
      </c>
      <c r="B425" s="12" t="str">
        <f>tblComponents[Component_Name]</f>
        <v>Component 424</v>
      </c>
      <c r="C425" t="str">
        <f>tblComponents[Product_Family]</f>
        <v>Electrical Systems</v>
      </c>
      <c r="D425" t="str">
        <f>tblComponents[Sourcing_Type]</f>
        <v>Buy</v>
      </c>
      <c r="E425" t="str">
        <f>tblComponents[Criticality]</f>
        <v>Medium</v>
      </c>
      <c r="F425">
        <f>tblComponents[Forecast_Demand]</f>
        <v>1333</v>
      </c>
      <c r="G425">
        <f>tblComponents[Opening_Inventory]</f>
        <v>3048</v>
      </c>
      <c r="H425">
        <f>tblComponents[Safety_Stock]</f>
        <v>527</v>
      </c>
      <c r="I425">
        <f t="shared" si="24"/>
        <v>0</v>
      </c>
      <c r="J425" s="15">
        <f>tblComponents[Defect_Rate]</f>
        <v>0</v>
      </c>
      <c r="K425">
        <f t="shared" si="25"/>
        <v>0</v>
      </c>
      <c r="L425" t="str">
        <f t="shared" si="26"/>
        <v>Procurement</v>
      </c>
      <c r="M425">
        <f t="shared" si="27"/>
        <v>0</v>
      </c>
    </row>
    <row r="426" spans="1:13" x14ac:dyDescent="0.35">
      <c r="A426" s="12" t="str">
        <f>tblComponents[Component_ID]</f>
        <v>C425</v>
      </c>
      <c r="B426" s="12" t="str">
        <f>tblComponents[Component_Name]</f>
        <v>Component 425</v>
      </c>
      <c r="C426" t="str">
        <f>tblComponents[Product_Family]</f>
        <v>Body &amp; Exterior</v>
      </c>
      <c r="D426" t="str">
        <f>tblComponents[Sourcing_Type]</f>
        <v>Buy</v>
      </c>
      <c r="E426" t="str">
        <f>tblComponents[Criticality]</f>
        <v>Critical</v>
      </c>
      <c r="F426">
        <f>tblComponents[Forecast_Demand]</f>
        <v>1523</v>
      </c>
      <c r="G426">
        <f>tblComponents[Opening_Inventory]</f>
        <v>1553</v>
      </c>
      <c r="H426">
        <f>tblComponents[Safety_Stock]</f>
        <v>262</v>
      </c>
      <c r="I426">
        <f t="shared" si="24"/>
        <v>232</v>
      </c>
      <c r="J426" s="15">
        <f>tblComponents[Defect_Rate]</f>
        <v>0</v>
      </c>
      <c r="K426">
        <f t="shared" si="25"/>
        <v>232</v>
      </c>
      <c r="L426" t="str">
        <f t="shared" si="26"/>
        <v>Procurement</v>
      </c>
      <c r="M426">
        <f t="shared" si="27"/>
        <v>232</v>
      </c>
    </row>
    <row r="427" spans="1:13" x14ac:dyDescent="0.35">
      <c r="A427" s="12" t="str">
        <f>tblComponents[Component_ID]</f>
        <v>C426</v>
      </c>
      <c r="B427" s="12" t="str">
        <f>tblComponents[Component_Name]</f>
        <v>Component 426</v>
      </c>
      <c r="C427" t="str">
        <f>tblComponents[Product_Family]</f>
        <v>Electrical Systems</v>
      </c>
      <c r="D427" t="str">
        <f>tblComponents[Sourcing_Type]</f>
        <v>Buy</v>
      </c>
      <c r="E427" t="str">
        <f>tblComponents[Criticality]</f>
        <v>Critical</v>
      </c>
      <c r="F427">
        <f>tblComponents[Forecast_Demand]</f>
        <v>696</v>
      </c>
      <c r="G427">
        <f>tblComponents[Opening_Inventory]</f>
        <v>669</v>
      </c>
      <c r="H427">
        <f>tblComponents[Safety_Stock]</f>
        <v>198</v>
      </c>
      <c r="I427">
        <f t="shared" si="24"/>
        <v>225</v>
      </c>
      <c r="J427" s="15">
        <f>tblComponents[Defect_Rate]</f>
        <v>0</v>
      </c>
      <c r="K427">
        <f t="shared" si="25"/>
        <v>225</v>
      </c>
      <c r="L427" t="str">
        <f t="shared" si="26"/>
        <v>Procurement</v>
      </c>
      <c r="M427">
        <f t="shared" si="27"/>
        <v>225</v>
      </c>
    </row>
    <row r="428" spans="1:13" x14ac:dyDescent="0.35">
      <c r="A428" s="12" t="str">
        <f>tblComponents[Component_ID]</f>
        <v>C427</v>
      </c>
      <c r="B428" s="12" t="str">
        <f>tblComponents[Component_Name]</f>
        <v>Component 427</v>
      </c>
      <c r="C428" t="str">
        <f>tblComponents[Product_Family]</f>
        <v>Interior</v>
      </c>
      <c r="D428" t="str">
        <f>tblComponents[Sourcing_Type]</f>
        <v>Buy</v>
      </c>
      <c r="E428" t="str">
        <f>tblComponents[Criticality]</f>
        <v>Medium</v>
      </c>
      <c r="F428">
        <f>tblComponents[Forecast_Demand]</f>
        <v>1410</v>
      </c>
      <c r="G428">
        <f>tblComponents[Opening_Inventory]</f>
        <v>4164</v>
      </c>
      <c r="H428">
        <f>tblComponents[Safety_Stock]</f>
        <v>500</v>
      </c>
      <c r="I428">
        <f t="shared" si="24"/>
        <v>0</v>
      </c>
      <c r="J428" s="15">
        <f>tblComponents[Defect_Rate]</f>
        <v>0</v>
      </c>
      <c r="K428">
        <f t="shared" si="25"/>
        <v>0</v>
      </c>
      <c r="L428" t="str">
        <f t="shared" si="26"/>
        <v>Procurement</v>
      </c>
      <c r="M428">
        <f t="shared" si="27"/>
        <v>0</v>
      </c>
    </row>
    <row r="429" spans="1:13" x14ac:dyDescent="0.35">
      <c r="A429" s="12" t="str">
        <f>tblComponents[Component_ID]</f>
        <v>C428</v>
      </c>
      <c r="B429" s="12" t="str">
        <f>tblComponents[Component_Name]</f>
        <v>Component 428</v>
      </c>
      <c r="C429" t="str">
        <f>tblComponents[Product_Family]</f>
        <v>Body &amp; Exterior</v>
      </c>
      <c r="D429" t="str">
        <f>tblComponents[Sourcing_Type]</f>
        <v>Buy</v>
      </c>
      <c r="E429" t="str">
        <f>tblComponents[Criticality]</f>
        <v>High</v>
      </c>
      <c r="F429">
        <f>tblComponents[Forecast_Demand]</f>
        <v>439</v>
      </c>
      <c r="G429">
        <f>tblComponents[Opening_Inventory]</f>
        <v>3905</v>
      </c>
      <c r="H429">
        <f>tblComponents[Safety_Stock]</f>
        <v>590</v>
      </c>
      <c r="I429">
        <f t="shared" si="24"/>
        <v>0</v>
      </c>
      <c r="J429" s="15">
        <f>tblComponents[Defect_Rate]</f>
        <v>0</v>
      </c>
      <c r="K429">
        <f t="shared" si="25"/>
        <v>0</v>
      </c>
      <c r="L429" t="str">
        <f t="shared" si="26"/>
        <v>Procurement</v>
      </c>
      <c r="M429">
        <f t="shared" si="27"/>
        <v>0</v>
      </c>
    </row>
    <row r="430" spans="1:13" x14ac:dyDescent="0.35">
      <c r="A430" s="12" t="str">
        <f>tblComponents[Component_ID]</f>
        <v>C429</v>
      </c>
      <c r="B430" s="12" t="str">
        <f>tblComponents[Component_Name]</f>
        <v>Component 429</v>
      </c>
      <c r="C430" t="str">
        <f>tblComponents[Product_Family]</f>
        <v>Chassis</v>
      </c>
      <c r="D430" t="str">
        <f>tblComponents[Sourcing_Type]</f>
        <v>Buy</v>
      </c>
      <c r="E430" t="str">
        <f>tblComponents[Criticality]</f>
        <v>Critical</v>
      </c>
      <c r="F430">
        <f>tblComponents[Forecast_Demand]</f>
        <v>985</v>
      </c>
      <c r="G430">
        <f>tblComponents[Opening_Inventory]</f>
        <v>6955</v>
      </c>
      <c r="H430">
        <f>tblComponents[Safety_Stock]</f>
        <v>834</v>
      </c>
      <c r="I430">
        <f t="shared" si="24"/>
        <v>0</v>
      </c>
      <c r="J430" s="15">
        <f>tblComponents[Defect_Rate]</f>
        <v>0</v>
      </c>
      <c r="K430">
        <f t="shared" si="25"/>
        <v>0</v>
      </c>
      <c r="L430" t="str">
        <f t="shared" si="26"/>
        <v>Procurement</v>
      </c>
      <c r="M430">
        <f t="shared" si="27"/>
        <v>0</v>
      </c>
    </row>
    <row r="431" spans="1:13" x14ac:dyDescent="0.35">
      <c r="A431" s="12" t="str">
        <f>tblComponents[Component_ID]</f>
        <v>C430</v>
      </c>
      <c r="B431" s="12" t="str">
        <f>tblComponents[Component_Name]</f>
        <v>Component 430</v>
      </c>
      <c r="C431" t="str">
        <f>tblComponents[Product_Family]</f>
        <v>Powertrain</v>
      </c>
      <c r="D431" t="str">
        <f>tblComponents[Sourcing_Type]</f>
        <v>Buy</v>
      </c>
      <c r="E431" t="str">
        <f>tblComponents[Criticality]</f>
        <v>High</v>
      </c>
      <c r="F431">
        <f>tblComponents[Forecast_Demand]</f>
        <v>1465</v>
      </c>
      <c r="G431">
        <f>tblComponents[Opening_Inventory]</f>
        <v>2329</v>
      </c>
      <c r="H431">
        <f>tblComponents[Safety_Stock]</f>
        <v>723</v>
      </c>
      <c r="I431">
        <f t="shared" si="24"/>
        <v>0</v>
      </c>
      <c r="J431" s="15">
        <f>tblComponents[Defect_Rate]</f>
        <v>0</v>
      </c>
      <c r="K431">
        <f t="shared" si="25"/>
        <v>0</v>
      </c>
      <c r="L431" t="str">
        <f t="shared" si="26"/>
        <v>Procurement</v>
      </c>
      <c r="M431">
        <f t="shared" si="27"/>
        <v>0</v>
      </c>
    </row>
    <row r="432" spans="1:13" x14ac:dyDescent="0.35">
      <c r="A432" s="12" t="str">
        <f>tblComponents[Component_ID]</f>
        <v>C431</v>
      </c>
      <c r="B432" s="12" t="str">
        <f>tblComponents[Component_Name]</f>
        <v>Component 431</v>
      </c>
      <c r="C432" t="str">
        <f>tblComponents[Product_Family]</f>
        <v>Powertrain</v>
      </c>
      <c r="D432" t="str">
        <f>tblComponents[Sourcing_Type]</f>
        <v>Buy</v>
      </c>
      <c r="E432" t="str">
        <f>tblComponents[Criticality]</f>
        <v>Low</v>
      </c>
      <c r="F432">
        <f>tblComponents[Forecast_Demand]</f>
        <v>1231</v>
      </c>
      <c r="G432">
        <f>tblComponents[Opening_Inventory]</f>
        <v>10709</v>
      </c>
      <c r="H432">
        <f>tblComponents[Safety_Stock]</f>
        <v>1778</v>
      </c>
      <c r="I432">
        <f t="shared" si="24"/>
        <v>0</v>
      </c>
      <c r="J432" s="15">
        <f>tblComponents[Defect_Rate]</f>
        <v>0</v>
      </c>
      <c r="K432">
        <f t="shared" si="25"/>
        <v>0</v>
      </c>
      <c r="L432" t="str">
        <f t="shared" si="26"/>
        <v>Procurement</v>
      </c>
      <c r="M432">
        <f t="shared" si="27"/>
        <v>0</v>
      </c>
    </row>
    <row r="433" spans="1:13" x14ac:dyDescent="0.35">
      <c r="A433" s="12" t="str">
        <f>tblComponents[Component_ID]</f>
        <v>C432</v>
      </c>
      <c r="B433" s="12" t="str">
        <f>tblComponents[Component_Name]</f>
        <v>Component 432</v>
      </c>
      <c r="C433" t="str">
        <f>tblComponents[Product_Family]</f>
        <v>Chassis</v>
      </c>
      <c r="D433" t="str">
        <f>tblComponents[Sourcing_Type]</f>
        <v>Buy</v>
      </c>
      <c r="E433" t="str">
        <f>tblComponents[Criticality]</f>
        <v>Medium</v>
      </c>
      <c r="F433">
        <f>tblComponents[Forecast_Demand]</f>
        <v>3251</v>
      </c>
      <c r="G433">
        <f>tblComponents[Opening_Inventory]</f>
        <v>1285</v>
      </c>
      <c r="H433">
        <f>tblComponents[Safety_Stock]</f>
        <v>290</v>
      </c>
      <c r="I433">
        <f t="shared" si="24"/>
        <v>2256</v>
      </c>
      <c r="J433" s="15">
        <f>tblComponents[Defect_Rate]</f>
        <v>0</v>
      </c>
      <c r="K433">
        <f t="shared" si="25"/>
        <v>2256</v>
      </c>
      <c r="L433" t="str">
        <f t="shared" si="26"/>
        <v>Procurement</v>
      </c>
      <c r="M433">
        <f t="shared" si="27"/>
        <v>2256</v>
      </c>
    </row>
    <row r="434" spans="1:13" x14ac:dyDescent="0.35">
      <c r="A434" s="12" t="str">
        <f>tblComponents[Component_ID]</f>
        <v>C433</v>
      </c>
      <c r="B434" s="12" t="str">
        <f>tblComponents[Component_Name]</f>
        <v>Component 433</v>
      </c>
      <c r="C434" t="str">
        <f>tblComponents[Product_Family]</f>
        <v>Interior</v>
      </c>
      <c r="D434" t="str">
        <f>tblComponents[Sourcing_Type]</f>
        <v>Buy</v>
      </c>
      <c r="E434" t="str">
        <f>tblComponents[Criticality]</f>
        <v>High</v>
      </c>
      <c r="F434">
        <f>tblComponents[Forecast_Demand]</f>
        <v>1358</v>
      </c>
      <c r="G434">
        <f>tblComponents[Opening_Inventory]</f>
        <v>1774</v>
      </c>
      <c r="H434">
        <f>tblComponents[Safety_Stock]</f>
        <v>320</v>
      </c>
      <c r="I434">
        <f t="shared" si="24"/>
        <v>0</v>
      </c>
      <c r="J434" s="15">
        <f>tblComponents[Defect_Rate]</f>
        <v>0</v>
      </c>
      <c r="K434">
        <f t="shared" si="25"/>
        <v>0</v>
      </c>
      <c r="L434" t="str">
        <f t="shared" si="26"/>
        <v>Procurement</v>
      </c>
      <c r="M434">
        <f t="shared" si="27"/>
        <v>0</v>
      </c>
    </row>
    <row r="435" spans="1:13" x14ac:dyDescent="0.35">
      <c r="A435" s="12" t="str">
        <f>tblComponents[Component_ID]</f>
        <v>C434</v>
      </c>
      <c r="B435" s="12" t="str">
        <f>tblComponents[Component_Name]</f>
        <v>Component 434</v>
      </c>
      <c r="C435" t="str">
        <f>tblComponents[Product_Family]</f>
        <v>Body &amp; Exterior</v>
      </c>
      <c r="D435" t="str">
        <f>tblComponents[Sourcing_Type]</f>
        <v>Buy</v>
      </c>
      <c r="E435" t="str">
        <f>tblComponents[Criticality]</f>
        <v>Medium</v>
      </c>
      <c r="F435">
        <f>tblComponents[Forecast_Demand]</f>
        <v>3010</v>
      </c>
      <c r="G435">
        <f>tblComponents[Opening_Inventory]</f>
        <v>18383</v>
      </c>
      <c r="H435">
        <f>tblComponents[Safety_Stock]</f>
        <v>2168</v>
      </c>
      <c r="I435">
        <f t="shared" si="24"/>
        <v>0</v>
      </c>
      <c r="J435" s="15">
        <f>tblComponents[Defect_Rate]</f>
        <v>0</v>
      </c>
      <c r="K435">
        <f t="shared" si="25"/>
        <v>0</v>
      </c>
      <c r="L435" t="str">
        <f t="shared" si="26"/>
        <v>Procurement</v>
      </c>
      <c r="M435">
        <f t="shared" si="27"/>
        <v>0</v>
      </c>
    </row>
    <row r="436" spans="1:13" x14ac:dyDescent="0.35">
      <c r="A436" s="12" t="str">
        <f>tblComponents[Component_ID]</f>
        <v>C435</v>
      </c>
      <c r="B436" s="12" t="str">
        <f>tblComponents[Component_Name]</f>
        <v>Component 435</v>
      </c>
      <c r="C436" t="str">
        <f>tblComponents[Product_Family]</f>
        <v>Powertrain</v>
      </c>
      <c r="D436" t="str">
        <f>tblComponents[Sourcing_Type]</f>
        <v>Buy</v>
      </c>
      <c r="E436" t="str">
        <f>tblComponents[Criticality]</f>
        <v>High</v>
      </c>
      <c r="F436">
        <f>tblComponents[Forecast_Demand]</f>
        <v>737</v>
      </c>
      <c r="G436">
        <f>tblComponents[Opening_Inventory]</f>
        <v>1970</v>
      </c>
      <c r="H436">
        <f>tblComponents[Safety_Stock]</f>
        <v>85</v>
      </c>
      <c r="I436">
        <f t="shared" si="24"/>
        <v>0</v>
      </c>
      <c r="J436" s="15">
        <f>tblComponents[Defect_Rate]</f>
        <v>0</v>
      </c>
      <c r="K436">
        <f t="shared" si="25"/>
        <v>0</v>
      </c>
      <c r="L436" t="str">
        <f t="shared" si="26"/>
        <v>Procurement</v>
      </c>
      <c r="M436">
        <f t="shared" si="27"/>
        <v>0</v>
      </c>
    </row>
    <row r="437" spans="1:13" x14ac:dyDescent="0.35">
      <c r="A437" s="12" t="str">
        <f>tblComponents[Component_ID]</f>
        <v>C436</v>
      </c>
      <c r="B437" s="12" t="str">
        <f>tblComponents[Component_Name]</f>
        <v>Component 436</v>
      </c>
      <c r="C437" t="str">
        <f>tblComponents[Product_Family]</f>
        <v>Chassis</v>
      </c>
      <c r="D437" t="str">
        <f>tblComponents[Sourcing_Type]</f>
        <v>Buy</v>
      </c>
      <c r="E437" t="str">
        <f>tblComponents[Criticality]</f>
        <v>Medium</v>
      </c>
      <c r="F437">
        <f>tblComponents[Forecast_Demand]</f>
        <v>2845</v>
      </c>
      <c r="G437">
        <f>tblComponents[Opening_Inventory]</f>
        <v>8732</v>
      </c>
      <c r="H437">
        <f>tblComponents[Safety_Stock]</f>
        <v>1443</v>
      </c>
      <c r="I437">
        <f t="shared" si="24"/>
        <v>0</v>
      </c>
      <c r="J437" s="15">
        <f>tblComponents[Defect_Rate]</f>
        <v>0</v>
      </c>
      <c r="K437">
        <f t="shared" si="25"/>
        <v>0</v>
      </c>
      <c r="L437" t="str">
        <f t="shared" si="26"/>
        <v>Procurement</v>
      </c>
      <c r="M437">
        <f t="shared" si="27"/>
        <v>0</v>
      </c>
    </row>
    <row r="438" spans="1:13" x14ac:dyDescent="0.35">
      <c r="A438" s="12" t="str">
        <f>tblComponents[Component_ID]</f>
        <v>C437</v>
      </c>
      <c r="B438" s="12" t="str">
        <f>tblComponents[Component_Name]</f>
        <v>Component 437</v>
      </c>
      <c r="C438" t="str">
        <f>tblComponents[Product_Family]</f>
        <v>Interior</v>
      </c>
      <c r="D438" t="str">
        <f>tblComponents[Sourcing_Type]</f>
        <v>Buy</v>
      </c>
      <c r="E438" t="str">
        <f>tblComponents[Criticality]</f>
        <v>Low</v>
      </c>
      <c r="F438">
        <f>tblComponents[Forecast_Demand]</f>
        <v>1098</v>
      </c>
      <c r="G438">
        <f>tblComponents[Opening_Inventory]</f>
        <v>3192</v>
      </c>
      <c r="H438">
        <f>tblComponents[Safety_Stock]</f>
        <v>1967</v>
      </c>
      <c r="I438">
        <f t="shared" si="24"/>
        <v>0</v>
      </c>
      <c r="J438" s="15">
        <f>tblComponents[Defect_Rate]</f>
        <v>0</v>
      </c>
      <c r="K438">
        <f t="shared" si="25"/>
        <v>0</v>
      </c>
      <c r="L438" t="str">
        <f t="shared" si="26"/>
        <v>Procurement</v>
      </c>
      <c r="M438">
        <f t="shared" si="27"/>
        <v>0</v>
      </c>
    </row>
    <row r="439" spans="1:13" x14ac:dyDescent="0.35">
      <c r="A439" s="12" t="str">
        <f>tblComponents[Component_ID]</f>
        <v>C438</v>
      </c>
      <c r="B439" s="12" t="str">
        <f>tblComponents[Component_Name]</f>
        <v>Component 438</v>
      </c>
      <c r="C439" t="str">
        <f>tblComponents[Product_Family]</f>
        <v>Powertrain</v>
      </c>
      <c r="D439" t="str">
        <f>tblComponents[Sourcing_Type]</f>
        <v>Buy</v>
      </c>
      <c r="E439" t="str">
        <f>tblComponents[Criticality]</f>
        <v>Medium</v>
      </c>
      <c r="F439">
        <f>tblComponents[Forecast_Demand]</f>
        <v>2491</v>
      </c>
      <c r="G439">
        <f>tblComponents[Opening_Inventory]</f>
        <v>3016</v>
      </c>
      <c r="H439">
        <f>tblComponents[Safety_Stock]</f>
        <v>467</v>
      </c>
      <c r="I439">
        <f t="shared" si="24"/>
        <v>0</v>
      </c>
      <c r="J439" s="15">
        <f>tblComponents[Defect_Rate]</f>
        <v>0</v>
      </c>
      <c r="K439">
        <f t="shared" si="25"/>
        <v>0</v>
      </c>
      <c r="L439" t="str">
        <f t="shared" si="26"/>
        <v>Procurement</v>
      </c>
      <c r="M439">
        <f t="shared" si="27"/>
        <v>0</v>
      </c>
    </row>
    <row r="440" spans="1:13" x14ac:dyDescent="0.35">
      <c r="A440" s="12" t="str">
        <f>tblComponents[Component_ID]</f>
        <v>C439</v>
      </c>
      <c r="B440" s="12" t="str">
        <f>tblComponents[Component_Name]</f>
        <v>Component 439</v>
      </c>
      <c r="C440" t="str">
        <f>tblComponents[Product_Family]</f>
        <v>Chassis</v>
      </c>
      <c r="D440" t="str">
        <f>tblComponents[Sourcing_Type]</f>
        <v>Buy</v>
      </c>
      <c r="E440" t="str">
        <f>tblComponents[Criticality]</f>
        <v>High</v>
      </c>
      <c r="F440">
        <f>tblComponents[Forecast_Demand]</f>
        <v>1109</v>
      </c>
      <c r="G440">
        <f>tblComponents[Opening_Inventory]</f>
        <v>8778</v>
      </c>
      <c r="H440">
        <f>tblComponents[Safety_Stock]</f>
        <v>1650</v>
      </c>
      <c r="I440">
        <f t="shared" si="24"/>
        <v>0</v>
      </c>
      <c r="J440" s="15">
        <f>tblComponents[Defect_Rate]</f>
        <v>0</v>
      </c>
      <c r="K440">
        <f t="shared" si="25"/>
        <v>0</v>
      </c>
      <c r="L440" t="str">
        <f t="shared" si="26"/>
        <v>Procurement</v>
      </c>
      <c r="M440">
        <f t="shared" si="27"/>
        <v>0</v>
      </c>
    </row>
    <row r="441" spans="1:13" x14ac:dyDescent="0.35">
      <c r="A441" s="12" t="str">
        <f>tblComponents[Component_ID]</f>
        <v>C440</v>
      </c>
      <c r="B441" s="12" t="str">
        <f>tblComponents[Component_Name]</f>
        <v>Component 440</v>
      </c>
      <c r="C441" t="str">
        <f>tblComponents[Product_Family]</f>
        <v>Powertrain</v>
      </c>
      <c r="D441" t="str">
        <f>tblComponents[Sourcing_Type]</f>
        <v>Buy</v>
      </c>
      <c r="E441" t="str">
        <f>tblComponents[Criticality]</f>
        <v>Medium</v>
      </c>
      <c r="F441">
        <f>tblComponents[Forecast_Demand]</f>
        <v>502</v>
      </c>
      <c r="G441">
        <f>tblComponents[Opening_Inventory]</f>
        <v>4168</v>
      </c>
      <c r="H441">
        <f>tblComponents[Safety_Stock]</f>
        <v>546</v>
      </c>
      <c r="I441">
        <f t="shared" si="24"/>
        <v>0</v>
      </c>
      <c r="J441" s="15">
        <f>tblComponents[Defect_Rate]</f>
        <v>0</v>
      </c>
      <c r="K441">
        <f t="shared" si="25"/>
        <v>0</v>
      </c>
      <c r="L441" t="str">
        <f t="shared" si="26"/>
        <v>Procurement</v>
      </c>
      <c r="M441">
        <f t="shared" si="27"/>
        <v>0</v>
      </c>
    </row>
    <row r="442" spans="1:13" x14ac:dyDescent="0.35">
      <c r="A442" s="12" t="str">
        <f>tblComponents[Component_ID]</f>
        <v>C441</v>
      </c>
      <c r="B442" s="12" t="str">
        <f>tblComponents[Component_Name]</f>
        <v>Component 441</v>
      </c>
      <c r="C442" t="str">
        <f>tblComponents[Product_Family]</f>
        <v>Electrical Systems</v>
      </c>
      <c r="D442" t="str">
        <f>tblComponents[Sourcing_Type]</f>
        <v>Buy</v>
      </c>
      <c r="E442" t="str">
        <f>tblComponents[Criticality]</f>
        <v>High</v>
      </c>
      <c r="F442">
        <f>tblComponents[Forecast_Demand]</f>
        <v>1115</v>
      </c>
      <c r="G442">
        <f>tblComponents[Opening_Inventory]</f>
        <v>11932</v>
      </c>
      <c r="H442">
        <f>tblComponents[Safety_Stock]</f>
        <v>1200</v>
      </c>
      <c r="I442">
        <f t="shared" si="24"/>
        <v>0</v>
      </c>
      <c r="J442" s="15">
        <f>tblComponents[Defect_Rate]</f>
        <v>0</v>
      </c>
      <c r="K442">
        <f t="shared" si="25"/>
        <v>0</v>
      </c>
      <c r="L442" t="str">
        <f t="shared" si="26"/>
        <v>Procurement</v>
      </c>
      <c r="M442">
        <f t="shared" si="27"/>
        <v>0</v>
      </c>
    </row>
    <row r="443" spans="1:13" x14ac:dyDescent="0.35">
      <c r="A443" s="12" t="str">
        <f>tblComponents[Component_ID]</f>
        <v>C442</v>
      </c>
      <c r="B443" s="12" t="str">
        <f>tblComponents[Component_Name]</f>
        <v>Component 442</v>
      </c>
      <c r="C443" t="str">
        <f>tblComponents[Product_Family]</f>
        <v>Powertrain</v>
      </c>
      <c r="D443" t="str">
        <f>tblComponents[Sourcing_Type]</f>
        <v>Buy</v>
      </c>
      <c r="E443" t="str">
        <f>tblComponents[Criticality]</f>
        <v>Medium</v>
      </c>
      <c r="F443">
        <f>tblComponents[Forecast_Demand]</f>
        <v>563</v>
      </c>
      <c r="G443">
        <f>tblComponents[Opening_Inventory]</f>
        <v>1487</v>
      </c>
      <c r="H443">
        <f>tblComponents[Safety_Stock]</f>
        <v>562</v>
      </c>
      <c r="I443">
        <f t="shared" si="24"/>
        <v>0</v>
      </c>
      <c r="J443" s="15">
        <f>tblComponents[Defect_Rate]</f>
        <v>0</v>
      </c>
      <c r="K443">
        <f t="shared" si="25"/>
        <v>0</v>
      </c>
      <c r="L443" t="str">
        <f t="shared" si="26"/>
        <v>Procurement</v>
      </c>
      <c r="M443">
        <f t="shared" si="27"/>
        <v>0</v>
      </c>
    </row>
    <row r="444" spans="1:13" x14ac:dyDescent="0.35">
      <c r="A444" s="12" t="str">
        <f>tblComponents[Component_ID]</f>
        <v>C443</v>
      </c>
      <c r="B444" s="12" t="str">
        <f>tblComponents[Component_Name]</f>
        <v>Component 443</v>
      </c>
      <c r="C444" t="str">
        <f>tblComponents[Product_Family]</f>
        <v>Chassis</v>
      </c>
      <c r="D444" t="str">
        <f>tblComponents[Sourcing_Type]</f>
        <v>Buy</v>
      </c>
      <c r="E444" t="str">
        <f>tblComponents[Criticality]</f>
        <v>Medium</v>
      </c>
      <c r="F444">
        <f>tblComponents[Forecast_Demand]</f>
        <v>218</v>
      </c>
      <c r="G444">
        <f>tblComponents[Opening_Inventory]</f>
        <v>5702</v>
      </c>
      <c r="H444">
        <f>tblComponents[Safety_Stock]</f>
        <v>700</v>
      </c>
      <c r="I444">
        <f t="shared" si="24"/>
        <v>0</v>
      </c>
      <c r="J444" s="15">
        <f>tblComponents[Defect_Rate]</f>
        <v>0</v>
      </c>
      <c r="K444">
        <f t="shared" si="25"/>
        <v>0</v>
      </c>
      <c r="L444" t="str">
        <f t="shared" si="26"/>
        <v>Procurement</v>
      </c>
      <c r="M444">
        <f t="shared" si="27"/>
        <v>0</v>
      </c>
    </row>
    <row r="445" spans="1:13" x14ac:dyDescent="0.35">
      <c r="A445" s="12" t="str">
        <f>tblComponents[Component_ID]</f>
        <v>C444</v>
      </c>
      <c r="B445" s="12" t="str">
        <f>tblComponents[Component_Name]</f>
        <v>Component 444</v>
      </c>
      <c r="C445" t="str">
        <f>tblComponents[Product_Family]</f>
        <v>Electrical Systems</v>
      </c>
      <c r="D445" t="str">
        <f>tblComponents[Sourcing_Type]</f>
        <v>Buy</v>
      </c>
      <c r="E445" t="str">
        <f>tblComponents[Criticality]</f>
        <v>Medium</v>
      </c>
      <c r="F445">
        <f>tblComponents[Forecast_Demand]</f>
        <v>2768</v>
      </c>
      <c r="G445">
        <f>tblComponents[Opening_Inventory]</f>
        <v>6686</v>
      </c>
      <c r="H445">
        <f>tblComponents[Safety_Stock]</f>
        <v>1193</v>
      </c>
      <c r="I445">
        <f t="shared" si="24"/>
        <v>0</v>
      </c>
      <c r="J445" s="15">
        <f>tblComponents[Defect_Rate]</f>
        <v>0</v>
      </c>
      <c r="K445">
        <f t="shared" si="25"/>
        <v>0</v>
      </c>
      <c r="L445" t="str">
        <f t="shared" si="26"/>
        <v>Procurement</v>
      </c>
      <c r="M445">
        <f t="shared" si="27"/>
        <v>0</v>
      </c>
    </row>
    <row r="446" spans="1:13" x14ac:dyDescent="0.35">
      <c r="A446" s="12" t="str">
        <f>tblComponents[Component_ID]</f>
        <v>C445</v>
      </c>
      <c r="B446" s="12" t="str">
        <f>tblComponents[Component_Name]</f>
        <v>Component 445</v>
      </c>
      <c r="C446" t="str">
        <f>tblComponents[Product_Family]</f>
        <v>Interior</v>
      </c>
      <c r="D446" t="str">
        <f>tblComponents[Sourcing_Type]</f>
        <v>Buy</v>
      </c>
      <c r="E446" t="str">
        <f>tblComponents[Criticality]</f>
        <v>Medium</v>
      </c>
      <c r="F446">
        <f>tblComponents[Forecast_Demand]</f>
        <v>1250</v>
      </c>
      <c r="G446">
        <f>tblComponents[Opening_Inventory]</f>
        <v>2547</v>
      </c>
      <c r="H446">
        <f>tblComponents[Safety_Stock]</f>
        <v>406</v>
      </c>
      <c r="I446">
        <f t="shared" si="24"/>
        <v>0</v>
      </c>
      <c r="J446" s="15">
        <f>tblComponents[Defect_Rate]</f>
        <v>0</v>
      </c>
      <c r="K446">
        <f t="shared" si="25"/>
        <v>0</v>
      </c>
      <c r="L446" t="str">
        <f t="shared" si="26"/>
        <v>Procurement</v>
      </c>
      <c r="M446">
        <f t="shared" si="27"/>
        <v>0</v>
      </c>
    </row>
    <row r="447" spans="1:13" x14ac:dyDescent="0.35">
      <c r="A447" s="12" t="str">
        <f>tblComponents[Component_ID]</f>
        <v>C446</v>
      </c>
      <c r="B447" s="12" t="str">
        <f>tblComponents[Component_Name]</f>
        <v>Component 446</v>
      </c>
      <c r="C447" t="str">
        <f>tblComponents[Product_Family]</f>
        <v>Powertrain</v>
      </c>
      <c r="D447" t="str">
        <f>tblComponents[Sourcing_Type]</f>
        <v>Buy</v>
      </c>
      <c r="E447" t="str">
        <f>tblComponents[Criticality]</f>
        <v>High</v>
      </c>
      <c r="F447">
        <f>tblComponents[Forecast_Demand]</f>
        <v>731</v>
      </c>
      <c r="G447">
        <f>tblComponents[Opening_Inventory]</f>
        <v>2494</v>
      </c>
      <c r="H447">
        <f>tblComponents[Safety_Stock]</f>
        <v>237</v>
      </c>
      <c r="I447">
        <f t="shared" si="24"/>
        <v>0</v>
      </c>
      <c r="J447" s="15">
        <f>tblComponents[Defect_Rate]</f>
        <v>0</v>
      </c>
      <c r="K447">
        <f t="shared" si="25"/>
        <v>0</v>
      </c>
      <c r="L447" t="str">
        <f t="shared" si="26"/>
        <v>Procurement</v>
      </c>
      <c r="M447">
        <f t="shared" si="27"/>
        <v>0</v>
      </c>
    </row>
    <row r="448" spans="1:13" x14ac:dyDescent="0.35">
      <c r="A448" s="12" t="str">
        <f>tblComponents[Component_ID]</f>
        <v>C447</v>
      </c>
      <c r="B448" s="12" t="str">
        <f>tblComponents[Component_Name]</f>
        <v>Component 447</v>
      </c>
      <c r="C448" t="str">
        <f>tblComponents[Product_Family]</f>
        <v>Electrical Systems</v>
      </c>
      <c r="D448" t="str">
        <f>tblComponents[Sourcing_Type]</f>
        <v>Buy</v>
      </c>
      <c r="E448" t="str">
        <f>tblComponents[Criticality]</f>
        <v>Medium</v>
      </c>
      <c r="F448">
        <f>tblComponents[Forecast_Demand]</f>
        <v>162</v>
      </c>
      <c r="G448">
        <f>tblComponents[Opening_Inventory]</f>
        <v>5401</v>
      </c>
      <c r="H448">
        <f>tblComponents[Safety_Stock]</f>
        <v>1439</v>
      </c>
      <c r="I448">
        <f t="shared" si="24"/>
        <v>0</v>
      </c>
      <c r="J448" s="15">
        <f>tblComponents[Defect_Rate]</f>
        <v>0</v>
      </c>
      <c r="K448">
        <f t="shared" si="25"/>
        <v>0</v>
      </c>
      <c r="L448" t="str">
        <f t="shared" si="26"/>
        <v>Procurement</v>
      </c>
      <c r="M448">
        <f t="shared" si="27"/>
        <v>0</v>
      </c>
    </row>
    <row r="449" spans="1:13" x14ac:dyDescent="0.35">
      <c r="A449" s="12" t="str">
        <f>tblComponents[Component_ID]</f>
        <v>C448</v>
      </c>
      <c r="B449" s="12" t="str">
        <f>tblComponents[Component_Name]</f>
        <v>Component 448</v>
      </c>
      <c r="C449" t="str">
        <f>tblComponents[Product_Family]</f>
        <v>Powertrain</v>
      </c>
      <c r="D449" t="str">
        <f>tblComponents[Sourcing_Type]</f>
        <v>Buy</v>
      </c>
      <c r="E449" t="str">
        <f>tblComponents[Criticality]</f>
        <v>Medium</v>
      </c>
      <c r="F449">
        <f>tblComponents[Forecast_Demand]</f>
        <v>653</v>
      </c>
      <c r="G449">
        <f>tblComponents[Opening_Inventory]</f>
        <v>948</v>
      </c>
      <c r="H449">
        <f>tblComponents[Safety_Stock]</f>
        <v>214</v>
      </c>
      <c r="I449">
        <f t="shared" si="24"/>
        <v>0</v>
      </c>
      <c r="J449" s="15">
        <f>tblComponents[Defect_Rate]</f>
        <v>0</v>
      </c>
      <c r="K449">
        <f t="shared" si="25"/>
        <v>0</v>
      </c>
      <c r="L449" t="str">
        <f t="shared" si="26"/>
        <v>Procurement</v>
      </c>
      <c r="M449">
        <f t="shared" si="27"/>
        <v>0</v>
      </c>
    </row>
    <row r="450" spans="1:13" x14ac:dyDescent="0.35">
      <c r="A450" s="12" t="str">
        <f>tblComponents[Component_ID]</f>
        <v>C449</v>
      </c>
      <c r="B450" s="12" t="str">
        <f>tblComponents[Component_Name]</f>
        <v>Component 449</v>
      </c>
      <c r="C450" t="str">
        <f>tblComponents[Product_Family]</f>
        <v>Chassis</v>
      </c>
      <c r="D450" t="str">
        <f>tblComponents[Sourcing_Type]</f>
        <v>Buy</v>
      </c>
      <c r="E450" t="str">
        <f>tblComponents[Criticality]</f>
        <v>Medium</v>
      </c>
      <c r="F450">
        <f>tblComponents[Forecast_Demand]</f>
        <v>703</v>
      </c>
      <c r="G450">
        <f>tblComponents[Opening_Inventory]</f>
        <v>6838</v>
      </c>
      <c r="H450">
        <f>tblComponents[Safety_Stock]</f>
        <v>1062</v>
      </c>
      <c r="I450">
        <f t="shared" si="24"/>
        <v>0</v>
      </c>
      <c r="J450" s="15">
        <f>tblComponents[Defect_Rate]</f>
        <v>0</v>
      </c>
      <c r="K450">
        <f t="shared" si="25"/>
        <v>0</v>
      </c>
      <c r="L450" t="str">
        <f t="shared" si="26"/>
        <v>Procurement</v>
      </c>
      <c r="M450">
        <f t="shared" si="27"/>
        <v>0</v>
      </c>
    </row>
    <row r="451" spans="1:13" x14ac:dyDescent="0.35">
      <c r="A451" s="12" t="str">
        <f>tblComponents[Component_ID]</f>
        <v>C450</v>
      </c>
      <c r="B451" s="12" t="str">
        <f>tblComponents[Component_Name]</f>
        <v>Component 450</v>
      </c>
      <c r="C451" t="str">
        <f>tblComponents[Product_Family]</f>
        <v>Interior</v>
      </c>
      <c r="D451" t="str">
        <f>tblComponents[Sourcing_Type]</f>
        <v>Buy</v>
      </c>
      <c r="E451" t="str">
        <f>tblComponents[Criticality]</f>
        <v>High</v>
      </c>
      <c r="F451">
        <f>tblComponents[Forecast_Demand]</f>
        <v>593</v>
      </c>
      <c r="G451">
        <f>tblComponents[Opening_Inventory]</f>
        <v>10413</v>
      </c>
      <c r="H451">
        <f>tblComponents[Safety_Stock]</f>
        <v>892</v>
      </c>
      <c r="I451">
        <f t="shared" ref="I451:I501" si="28">MAX(0,F451+H451-G451)</f>
        <v>0</v>
      </c>
      <c r="J451" s="15">
        <f>tblComponents[Defect_Rate]</f>
        <v>0</v>
      </c>
      <c r="K451">
        <f t="shared" ref="K451:K501" si="29">IFERROR(I451/(1-J451),0)</f>
        <v>0</v>
      </c>
      <c r="L451" t="str">
        <f t="shared" ref="L451:L501" si="30">IF(D451="Make","Production","Procurement")</f>
        <v>Procurement</v>
      </c>
      <c r="M451">
        <f t="shared" ref="M451:M501" si="31">K451</f>
        <v>0</v>
      </c>
    </row>
    <row r="452" spans="1:13" x14ac:dyDescent="0.35">
      <c r="A452" s="12" t="str">
        <f>tblComponents[Component_ID]</f>
        <v>C451</v>
      </c>
      <c r="B452" s="12" t="str">
        <f>tblComponents[Component_Name]</f>
        <v>Component 451</v>
      </c>
      <c r="C452" t="str">
        <f>tblComponents[Product_Family]</f>
        <v>Electrical Systems</v>
      </c>
      <c r="D452" t="str">
        <f>tblComponents[Sourcing_Type]</f>
        <v>Buy</v>
      </c>
      <c r="E452" t="str">
        <f>tblComponents[Criticality]</f>
        <v>Medium</v>
      </c>
      <c r="F452">
        <f>tblComponents[Forecast_Demand]</f>
        <v>1211</v>
      </c>
      <c r="G452">
        <f>tblComponents[Opening_Inventory]</f>
        <v>2097</v>
      </c>
      <c r="H452">
        <f>tblComponents[Safety_Stock]</f>
        <v>1066</v>
      </c>
      <c r="I452">
        <f t="shared" si="28"/>
        <v>180</v>
      </c>
      <c r="J452" s="15">
        <f>tblComponents[Defect_Rate]</f>
        <v>0</v>
      </c>
      <c r="K452">
        <f t="shared" si="29"/>
        <v>180</v>
      </c>
      <c r="L452" t="str">
        <f t="shared" si="30"/>
        <v>Procurement</v>
      </c>
      <c r="M452">
        <f t="shared" si="31"/>
        <v>180</v>
      </c>
    </row>
    <row r="453" spans="1:13" x14ac:dyDescent="0.35">
      <c r="A453" s="12" t="str">
        <f>tblComponents[Component_ID]</f>
        <v>C452</v>
      </c>
      <c r="B453" s="12" t="str">
        <f>tblComponents[Component_Name]</f>
        <v>Component 452</v>
      </c>
      <c r="C453" t="str">
        <f>tblComponents[Product_Family]</f>
        <v>Chassis</v>
      </c>
      <c r="D453" t="str">
        <f>tblComponents[Sourcing_Type]</f>
        <v>Buy</v>
      </c>
      <c r="E453" t="str">
        <f>tblComponents[Criticality]</f>
        <v>Low</v>
      </c>
      <c r="F453">
        <f>tblComponents[Forecast_Demand]</f>
        <v>2916</v>
      </c>
      <c r="G453">
        <f>tblComponents[Opening_Inventory]</f>
        <v>1560</v>
      </c>
      <c r="H453">
        <f>tblComponents[Safety_Stock]</f>
        <v>974</v>
      </c>
      <c r="I453">
        <f t="shared" si="28"/>
        <v>2330</v>
      </c>
      <c r="J453" s="15">
        <f>tblComponents[Defect_Rate]</f>
        <v>0</v>
      </c>
      <c r="K453">
        <f t="shared" si="29"/>
        <v>2330</v>
      </c>
      <c r="L453" t="str">
        <f t="shared" si="30"/>
        <v>Procurement</v>
      </c>
      <c r="M453">
        <f t="shared" si="31"/>
        <v>2330</v>
      </c>
    </row>
    <row r="454" spans="1:13" x14ac:dyDescent="0.35">
      <c r="A454" s="12" t="str">
        <f>tblComponents[Component_ID]</f>
        <v>C453</v>
      </c>
      <c r="B454" s="12" t="str">
        <f>tblComponents[Component_Name]</f>
        <v>Component 453</v>
      </c>
      <c r="C454" t="str">
        <f>tblComponents[Product_Family]</f>
        <v>Powertrain</v>
      </c>
      <c r="D454" t="str">
        <f>tblComponents[Sourcing_Type]</f>
        <v>Buy</v>
      </c>
      <c r="E454" t="str">
        <f>tblComponents[Criticality]</f>
        <v>High</v>
      </c>
      <c r="F454">
        <f>tblComponents[Forecast_Demand]</f>
        <v>1325</v>
      </c>
      <c r="G454">
        <f>tblComponents[Opening_Inventory]</f>
        <v>2801</v>
      </c>
      <c r="H454">
        <f>tblComponents[Safety_Stock]</f>
        <v>448</v>
      </c>
      <c r="I454">
        <f t="shared" si="28"/>
        <v>0</v>
      </c>
      <c r="J454" s="15">
        <f>tblComponents[Defect_Rate]</f>
        <v>0</v>
      </c>
      <c r="K454">
        <f t="shared" si="29"/>
        <v>0</v>
      </c>
      <c r="L454" t="str">
        <f t="shared" si="30"/>
        <v>Procurement</v>
      </c>
      <c r="M454">
        <f t="shared" si="31"/>
        <v>0</v>
      </c>
    </row>
    <row r="455" spans="1:13" x14ac:dyDescent="0.35">
      <c r="A455" s="12" t="str">
        <f>tblComponents[Component_ID]</f>
        <v>C454</v>
      </c>
      <c r="B455" s="12" t="str">
        <f>tblComponents[Component_Name]</f>
        <v>Component 454</v>
      </c>
      <c r="C455" t="str">
        <f>tblComponents[Product_Family]</f>
        <v>Chassis</v>
      </c>
      <c r="D455" t="str">
        <f>tblComponents[Sourcing_Type]</f>
        <v>Buy</v>
      </c>
      <c r="E455" t="str">
        <f>tblComponents[Criticality]</f>
        <v>Medium</v>
      </c>
      <c r="F455">
        <f>tblComponents[Forecast_Demand]</f>
        <v>108</v>
      </c>
      <c r="G455">
        <f>tblComponents[Opening_Inventory]</f>
        <v>3278</v>
      </c>
      <c r="H455">
        <f>tblComponents[Safety_Stock]</f>
        <v>218</v>
      </c>
      <c r="I455">
        <f t="shared" si="28"/>
        <v>0</v>
      </c>
      <c r="J455" s="15">
        <f>tblComponents[Defect_Rate]</f>
        <v>0</v>
      </c>
      <c r="K455">
        <f t="shared" si="29"/>
        <v>0</v>
      </c>
      <c r="L455" t="str">
        <f t="shared" si="30"/>
        <v>Procurement</v>
      </c>
      <c r="M455">
        <f t="shared" si="31"/>
        <v>0</v>
      </c>
    </row>
    <row r="456" spans="1:13" x14ac:dyDescent="0.35">
      <c r="A456" s="12" t="str">
        <f>tblComponents[Component_ID]</f>
        <v>C455</v>
      </c>
      <c r="B456" s="12" t="str">
        <f>tblComponents[Component_Name]</f>
        <v>Component 455</v>
      </c>
      <c r="C456" t="str">
        <f>tblComponents[Product_Family]</f>
        <v>Powertrain</v>
      </c>
      <c r="D456" t="str">
        <f>tblComponents[Sourcing_Type]</f>
        <v>Buy</v>
      </c>
      <c r="E456" t="str">
        <f>tblComponents[Criticality]</f>
        <v>Medium</v>
      </c>
      <c r="F456">
        <f>tblComponents[Forecast_Demand]</f>
        <v>151</v>
      </c>
      <c r="G456">
        <f>tblComponents[Opening_Inventory]</f>
        <v>3124</v>
      </c>
      <c r="H456">
        <f>tblComponents[Safety_Stock]</f>
        <v>522</v>
      </c>
      <c r="I456">
        <f t="shared" si="28"/>
        <v>0</v>
      </c>
      <c r="J456" s="15">
        <f>tblComponents[Defect_Rate]</f>
        <v>0</v>
      </c>
      <c r="K456">
        <f t="shared" si="29"/>
        <v>0</v>
      </c>
      <c r="L456" t="str">
        <f t="shared" si="30"/>
        <v>Procurement</v>
      </c>
      <c r="M456">
        <f t="shared" si="31"/>
        <v>0</v>
      </c>
    </row>
    <row r="457" spans="1:13" x14ac:dyDescent="0.35">
      <c r="A457" s="12" t="str">
        <f>tblComponents[Component_ID]</f>
        <v>C456</v>
      </c>
      <c r="B457" s="12" t="str">
        <f>tblComponents[Component_Name]</f>
        <v>Component 456</v>
      </c>
      <c r="C457" t="str">
        <f>tblComponents[Product_Family]</f>
        <v>Interior</v>
      </c>
      <c r="D457" t="str">
        <f>tblComponents[Sourcing_Type]</f>
        <v>Buy</v>
      </c>
      <c r="E457" t="str">
        <f>tblComponents[Criticality]</f>
        <v>High</v>
      </c>
      <c r="F457">
        <f>tblComponents[Forecast_Demand]</f>
        <v>666</v>
      </c>
      <c r="G457">
        <f>tblComponents[Opening_Inventory]</f>
        <v>2335</v>
      </c>
      <c r="H457">
        <f>tblComponents[Safety_Stock]</f>
        <v>750</v>
      </c>
      <c r="I457">
        <f t="shared" si="28"/>
        <v>0</v>
      </c>
      <c r="J457" s="15">
        <f>tblComponents[Defect_Rate]</f>
        <v>0</v>
      </c>
      <c r="K457">
        <f t="shared" si="29"/>
        <v>0</v>
      </c>
      <c r="L457" t="str">
        <f t="shared" si="30"/>
        <v>Procurement</v>
      </c>
      <c r="M457">
        <f t="shared" si="31"/>
        <v>0</v>
      </c>
    </row>
    <row r="458" spans="1:13" x14ac:dyDescent="0.35">
      <c r="A458" s="12" t="str">
        <f>tblComponents[Component_ID]</f>
        <v>C457</v>
      </c>
      <c r="B458" s="12" t="str">
        <f>tblComponents[Component_Name]</f>
        <v>Component 457</v>
      </c>
      <c r="C458" t="str">
        <f>tblComponents[Product_Family]</f>
        <v>Interior</v>
      </c>
      <c r="D458" t="str">
        <f>tblComponents[Sourcing_Type]</f>
        <v>Buy</v>
      </c>
      <c r="E458" t="str">
        <f>tblComponents[Criticality]</f>
        <v>Low</v>
      </c>
      <c r="F458">
        <f>tblComponents[Forecast_Demand]</f>
        <v>2452</v>
      </c>
      <c r="G458">
        <f>tblComponents[Opening_Inventory]</f>
        <v>2060</v>
      </c>
      <c r="H458">
        <f>tblComponents[Safety_Stock]</f>
        <v>327</v>
      </c>
      <c r="I458">
        <f t="shared" si="28"/>
        <v>719</v>
      </c>
      <c r="J458" s="15">
        <f>tblComponents[Defect_Rate]</f>
        <v>0</v>
      </c>
      <c r="K458">
        <f t="shared" si="29"/>
        <v>719</v>
      </c>
      <c r="L458" t="str">
        <f t="shared" si="30"/>
        <v>Procurement</v>
      </c>
      <c r="M458">
        <f t="shared" si="31"/>
        <v>719</v>
      </c>
    </row>
    <row r="459" spans="1:13" x14ac:dyDescent="0.35">
      <c r="A459" s="12" t="str">
        <f>tblComponents[Component_ID]</f>
        <v>C458</v>
      </c>
      <c r="B459" s="12" t="str">
        <f>tblComponents[Component_Name]</f>
        <v>Component 458</v>
      </c>
      <c r="C459" t="str">
        <f>tblComponents[Product_Family]</f>
        <v>Interior</v>
      </c>
      <c r="D459" t="str">
        <f>tblComponents[Sourcing_Type]</f>
        <v>Buy</v>
      </c>
      <c r="E459" t="str">
        <f>tblComponents[Criticality]</f>
        <v>Medium</v>
      </c>
      <c r="F459">
        <f>tblComponents[Forecast_Demand]</f>
        <v>1509</v>
      </c>
      <c r="G459">
        <f>tblComponents[Opening_Inventory]</f>
        <v>3768</v>
      </c>
      <c r="H459">
        <f>tblComponents[Safety_Stock]</f>
        <v>924</v>
      </c>
      <c r="I459">
        <f t="shared" si="28"/>
        <v>0</v>
      </c>
      <c r="J459" s="15">
        <f>tblComponents[Defect_Rate]</f>
        <v>0</v>
      </c>
      <c r="K459">
        <f t="shared" si="29"/>
        <v>0</v>
      </c>
      <c r="L459" t="str">
        <f t="shared" si="30"/>
        <v>Procurement</v>
      </c>
      <c r="M459">
        <f t="shared" si="31"/>
        <v>0</v>
      </c>
    </row>
    <row r="460" spans="1:13" x14ac:dyDescent="0.35">
      <c r="A460" s="12" t="str">
        <f>tblComponents[Component_ID]</f>
        <v>C459</v>
      </c>
      <c r="B460" s="12" t="str">
        <f>tblComponents[Component_Name]</f>
        <v>Component 459</v>
      </c>
      <c r="C460" t="str">
        <f>tblComponents[Product_Family]</f>
        <v>Chassis</v>
      </c>
      <c r="D460" t="str">
        <f>tblComponents[Sourcing_Type]</f>
        <v>Buy</v>
      </c>
      <c r="E460" t="str">
        <f>tblComponents[Criticality]</f>
        <v>Low</v>
      </c>
      <c r="F460">
        <f>tblComponents[Forecast_Demand]</f>
        <v>338</v>
      </c>
      <c r="G460">
        <f>tblComponents[Opening_Inventory]</f>
        <v>2602</v>
      </c>
      <c r="H460">
        <f>tblComponents[Safety_Stock]</f>
        <v>1156</v>
      </c>
      <c r="I460">
        <f t="shared" si="28"/>
        <v>0</v>
      </c>
      <c r="J460" s="15">
        <f>tblComponents[Defect_Rate]</f>
        <v>0</v>
      </c>
      <c r="K460">
        <f t="shared" si="29"/>
        <v>0</v>
      </c>
      <c r="L460" t="str">
        <f t="shared" si="30"/>
        <v>Procurement</v>
      </c>
      <c r="M460">
        <f t="shared" si="31"/>
        <v>0</v>
      </c>
    </row>
    <row r="461" spans="1:13" x14ac:dyDescent="0.35">
      <c r="A461" s="12" t="str">
        <f>tblComponents[Component_ID]</f>
        <v>C460</v>
      </c>
      <c r="B461" s="12" t="str">
        <f>tblComponents[Component_Name]</f>
        <v>Component 460</v>
      </c>
      <c r="C461" t="str">
        <f>tblComponents[Product_Family]</f>
        <v>Chassis</v>
      </c>
      <c r="D461" t="str">
        <f>tblComponents[Sourcing_Type]</f>
        <v>Buy</v>
      </c>
      <c r="E461" t="str">
        <f>tblComponents[Criticality]</f>
        <v>Critical</v>
      </c>
      <c r="F461">
        <f>tblComponents[Forecast_Demand]</f>
        <v>674</v>
      </c>
      <c r="G461">
        <f>tblComponents[Opening_Inventory]</f>
        <v>861</v>
      </c>
      <c r="H461">
        <f>tblComponents[Safety_Stock]</f>
        <v>155</v>
      </c>
      <c r="I461">
        <f t="shared" si="28"/>
        <v>0</v>
      </c>
      <c r="J461" s="15">
        <f>tblComponents[Defect_Rate]</f>
        <v>0</v>
      </c>
      <c r="K461">
        <f t="shared" si="29"/>
        <v>0</v>
      </c>
      <c r="L461" t="str">
        <f t="shared" si="30"/>
        <v>Procurement</v>
      </c>
      <c r="M461">
        <f t="shared" si="31"/>
        <v>0</v>
      </c>
    </row>
    <row r="462" spans="1:13" x14ac:dyDescent="0.35">
      <c r="A462" s="12" t="str">
        <f>tblComponents[Component_ID]</f>
        <v>C461</v>
      </c>
      <c r="B462" s="12" t="str">
        <f>tblComponents[Component_Name]</f>
        <v>Component 461</v>
      </c>
      <c r="C462" t="str">
        <f>tblComponents[Product_Family]</f>
        <v>Electrical Systems</v>
      </c>
      <c r="D462" t="str">
        <f>tblComponents[Sourcing_Type]</f>
        <v>Buy</v>
      </c>
      <c r="E462" t="str">
        <f>tblComponents[Criticality]</f>
        <v>High</v>
      </c>
      <c r="F462">
        <f>tblComponents[Forecast_Demand]</f>
        <v>2006</v>
      </c>
      <c r="G462">
        <f>tblComponents[Opening_Inventory]</f>
        <v>3911</v>
      </c>
      <c r="H462">
        <f>tblComponents[Safety_Stock]</f>
        <v>685</v>
      </c>
      <c r="I462">
        <f t="shared" si="28"/>
        <v>0</v>
      </c>
      <c r="J462" s="15">
        <f>tblComponents[Defect_Rate]</f>
        <v>0</v>
      </c>
      <c r="K462">
        <f t="shared" si="29"/>
        <v>0</v>
      </c>
      <c r="L462" t="str">
        <f t="shared" si="30"/>
        <v>Procurement</v>
      </c>
      <c r="M462">
        <f t="shared" si="31"/>
        <v>0</v>
      </c>
    </row>
    <row r="463" spans="1:13" x14ac:dyDescent="0.35">
      <c r="A463" s="12" t="str">
        <f>tblComponents[Component_ID]</f>
        <v>C462</v>
      </c>
      <c r="B463" s="12" t="str">
        <f>tblComponents[Component_Name]</f>
        <v>Component 462</v>
      </c>
      <c r="C463" t="str">
        <f>tblComponents[Product_Family]</f>
        <v>Electrical Systems</v>
      </c>
      <c r="D463" t="str">
        <f>tblComponents[Sourcing_Type]</f>
        <v>Buy</v>
      </c>
      <c r="E463" t="str">
        <f>tblComponents[Criticality]</f>
        <v>Low</v>
      </c>
      <c r="F463">
        <f>tblComponents[Forecast_Demand]</f>
        <v>554</v>
      </c>
      <c r="G463">
        <f>tblComponents[Opening_Inventory]</f>
        <v>8422</v>
      </c>
      <c r="H463">
        <f>tblComponents[Safety_Stock]</f>
        <v>1019</v>
      </c>
      <c r="I463">
        <f t="shared" si="28"/>
        <v>0</v>
      </c>
      <c r="J463" s="15">
        <f>tblComponents[Defect_Rate]</f>
        <v>0</v>
      </c>
      <c r="K463">
        <f t="shared" si="29"/>
        <v>0</v>
      </c>
      <c r="L463" t="str">
        <f t="shared" si="30"/>
        <v>Procurement</v>
      </c>
      <c r="M463">
        <f t="shared" si="31"/>
        <v>0</v>
      </c>
    </row>
    <row r="464" spans="1:13" x14ac:dyDescent="0.35">
      <c r="A464" s="12" t="str">
        <f>tblComponents[Component_ID]</f>
        <v>C463</v>
      </c>
      <c r="B464" s="12" t="str">
        <f>tblComponents[Component_Name]</f>
        <v>Component 463</v>
      </c>
      <c r="C464" t="str">
        <f>tblComponents[Product_Family]</f>
        <v>Chassis</v>
      </c>
      <c r="D464" t="str">
        <f>tblComponents[Sourcing_Type]</f>
        <v>Buy</v>
      </c>
      <c r="E464" t="str">
        <f>tblComponents[Criticality]</f>
        <v>High</v>
      </c>
      <c r="F464">
        <f>tblComponents[Forecast_Demand]</f>
        <v>2475</v>
      </c>
      <c r="G464">
        <f>tblComponents[Opening_Inventory]</f>
        <v>4993</v>
      </c>
      <c r="H464">
        <f>tblComponents[Safety_Stock]</f>
        <v>540</v>
      </c>
      <c r="I464">
        <f t="shared" si="28"/>
        <v>0</v>
      </c>
      <c r="J464" s="15">
        <f>tblComponents[Defect_Rate]</f>
        <v>0</v>
      </c>
      <c r="K464">
        <f t="shared" si="29"/>
        <v>0</v>
      </c>
      <c r="L464" t="str">
        <f t="shared" si="30"/>
        <v>Procurement</v>
      </c>
      <c r="M464">
        <f t="shared" si="31"/>
        <v>0</v>
      </c>
    </row>
    <row r="465" spans="1:13" x14ac:dyDescent="0.35">
      <c r="A465" s="12" t="str">
        <f>tblComponents[Component_ID]</f>
        <v>C464</v>
      </c>
      <c r="B465" s="12" t="str">
        <f>tblComponents[Component_Name]</f>
        <v>Component 464</v>
      </c>
      <c r="C465" t="str">
        <f>tblComponents[Product_Family]</f>
        <v>Powertrain</v>
      </c>
      <c r="D465" t="str">
        <f>tblComponents[Sourcing_Type]</f>
        <v>Buy</v>
      </c>
      <c r="E465" t="str">
        <f>tblComponents[Criticality]</f>
        <v>High</v>
      </c>
      <c r="F465">
        <f>tblComponents[Forecast_Demand]</f>
        <v>1069</v>
      </c>
      <c r="G465">
        <f>tblComponents[Opening_Inventory]</f>
        <v>6974</v>
      </c>
      <c r="H465">
        <f>tblComponents[Safety_Stock]</f>
        <v>676</v>
      </c>
      <c r="I465">
        <f t="shared" si="28"/>
        <v>0</v>
      </c>
      <c r="J465" s="15">
        <f>tblComponents[Defect_Rate]</f>
        <v>0</v>
      </c>
      <c r="K465">
        <f t="shared" si="29"/>
        <v>0</v>
      </c>
      <c r="L465" t="str">
        <f t="shared" si="30"/>
        <v>Procurement</v>
      </c>
      <c r="M465">
        <f t="shared" si="31"/>
        <v>0</v>
      </c>
    </row>
    <row r="466" spans="1:13" x14ac:dyDescent="0.35">
      <c r="A466" s="12" t="str">
        <f>tblComponents[Component_ID]</f>
        <v>C465</v>
      </c>
      <c r="B466" s="12" t="str">
        <f>tblComponents[Component_Name]</f>
        <v>Component 465</v>
      </c>
      <c r="C466" t="str">
        <f>tblComponents[Product_Family]</f>
        <v>Electrical Systems</v>
      </c>
      <c r="D466" t="str">
        <f>tblComponents[Sourcing_Type]</f>
        <v>Buy</v>
      </c>
      <c r="E466" t="str">
        <f>tblComponents[Criticality]</f>
        <v>Low</v>
      </c>
      <c r="F466">
        <f>tblComponents[Forecast_Demand]</f>
        <v>1089</v>
      </c>
      <c r="G466">
        <f>tblComponents[Opening_Inventory]</f>
        <v>2498</v>
      </c>
      <c r="H466">
        <f>tblComponents[Safety_Stock]</f>
        <v>634</v>
      </c>
      <c r="I466">
        <f t="shared" si="28"/>
        <v>0</v>
      </c>
      <c r="J466" s="15">
        <f>tblComponents[Defect_Rate]</f>
        <v>0</v>
      </c>
      <c r="K466">
        <f t="shared" si="29"/>
        <v>0</v>
      </c>
      <c r="L466" t="str">
        <f t="shared" si="30"/>
        <v>Procurement</v>
      </c>
      <c r="M466">
        <f t="shared" si="31"/>
        <v>0</v>
      </c>
    </row>
    <row r="467" spans="1:13" x14ac:dyDescent="0.35">
      <c r="A467" s="12" t="str">
        <f>tblComponents[Component_ID]</f>
        <v>C466</v>
      </c>
      <c r="B467" s="12" t="str">
        <f>tblComponents[Component_Name]</f>
        <v>Component 466</v>
      </c>
      <c r="C467" t="str">
        <f>tblComponents[Product_Family]</f>
        <v>Chassis</v>
      </c>
      <c r="D467" t="str">
        <f>tblComponents[Sourcing_Type]</f>
        <v>Buy</v>
      </c>
      <c r="E467" t="str">
        <f>tblComponents[Criticality]</f>
        <v>High</v>
      </c>
      <c r="F467">
        <f>tblComponents[Forecast_Demand]</f>
        <v>1912</v>
      </c>
      <c r="G467">
        <f>tblComponents[Opening_Inventory]</f>
        <v>2024</v>
      </c>
      <c r="H467">
        <f>tblComponents[Safety_Stock]</f>
        <v>365</v>
      </c>
      <c r="I467">
        <f t="shared" si="28"/>
        <v>253</v>
      </c>
      <c r="J467" s="15">
        <f>tblComponents[Defect_Rate]</f>
        <v>0</v>
      </c>
      <c r="K467">
        <f t="shared" si="29"/>
        <v>253</v>
      </c>
      <c r="L467" t="str">
        <f t="shared" si="30"/>
        <v>Procurement</v>
      </c>
      <c r="M467">
        <f t="shared" si="31"/>
        <v>253</v>
      </c>
    </row>
    <row r="468" spans="1:13" x14ac:dyDescent="0.35">
      <c r="A468" s="12" t="str">
        <f>tblComponents[Component_ID]</f>
        <v>C467</v>
      </c>
      <c r="B468" s="12" t="str">
        <f>tblComponents[Component_Name]</f>
        <v>Component 467</v>
      </c>
      <c r="C468" t="str">
        <f>tblComponents[Product_Family]</f>
        <v>Electrical Systems</v>
      </c>
      <c r="D468" t="str">
        <f>tblComponents[Sourcing_Type]</f>
        <v>Buy</v>
      </c>
      <c r="E468" t="str">
        <f>tblComponents[Criticality]</f>
        <v>High</v>
      </c>
      <c r="F468">
        <f>tblComponents[Forecast_Demand]</f>
        <v>426</v>
      </c>
      <c r="G468">
        <f>tblComponents[Opening_Inventory]</f>
        <v>440</v>
      </c>
      <c r="H468">
        <f>tblComponents[Safety_Stock]</f>
        <v>123</v>
      </c>
      <c r="I468">
        <f t="shared" si="28"/>
        <v>109</v>
      </c>
      <c r="J468" s="15">
        <f>tblComponents[Defect_Rate]</f>
        <v>0</v>
      </c>
      <c r="K468">
        <f t="shared" si="29"/>
        <v>109</v>
      </c>
      <c r="L468" t="str">
        <f t="shared" si="30"/>
        <v>Procurement</v>
      </c>
      <c r="M468">
        <f t="shared" si="31"/>
        <v>109</v>
      </c>
    </row>
    <row r="469" spans="1:13" x14ac:dyDescent="0.35">
      <c r="A469" s="12" t="str">
        <f>tblComponents[Component_ID]</f>
        <v>C468</v>
      </c>
      <c r="B469" s="12" t="str">
        <f>tblComponents[Component_Name]</f>
        <v>Component 468</v>
      </c>
      <c r="C469" t="str">
        <f>tblComponents[Product_Family]</f>
        <v>Interior</v>
      </c>
      <c r="D469" t="str">
        <f>tblComponents[Sourcing_Type]</f>
        <v>Buy</v>
      </c>
      <c r="E469" t="str">
        <f>tblComponents[Criticality]</f>
        <v>Medium</v>
      </c>
      <c r="F469">
        <f>tblComponents[Forecast_Demand]</f>
        <v>967</v>
      </c>
      <c r="G469">
        <f>tblComponents[Opening_Inventory]</f>
        <v>6639</v>
      </c>
      <c r="H469">
        <f>tblComponents[Safety_Stock]</f>
        <v>1079</v>
      </c>
      <c r="I469">
        <f t="shared" si="28"/>
        <v>0</v>
      </c>
      <c r="J469" s="15">
        <f>tblComponents[Defect_Rate]</f>
        <v>0</v>
      </c>
      <c r="K469">
        <f t="shared" si="29"/>
        <v>0</v>
      </c>
      <c r="L469" t="str">
        <f t="shared" si="30"/>
        <v>Procurement</v>
      </c>
      <c r="M469">
        <f t="shared" si="31"/>
        <v>0</v>
      </c>
    </row>
    <row r="470" spans="1:13" x14ac:dyDescent="0.35">
      <c r="A470" s="12" t="str">
        <f>tblComponents[Component_ID]</f>
        <v>C469</v>
      </c>
      <c r="B470" s="12" t="str">
        <f>tblComponents[Component_Name]</f>
        <v>Component 469</v>
      </c>
      <c r="C470" t="str">
        <f>tblComponents[Product_Family]</f>
        <v>Powertrain</v>
      </c>
      <c r="D470" t="str">
        <f>tblComponents[Sourcing_Type]</f>
        <v>Buy</v>
      </c>
      <c r="E470" t="str">
        <f>tblComponents[Criticality]</f>
        <v>Medium</v>
      </c>
      <c r="F470">
        <f>tblComponents[Forecast_Demand]</f>
        <v>485</v>
      </c>
      <c r="G470">
        <f>tblComponents[Opening_Inventory]</f>
        <v>11530</v>
      </c>
      <c r="H470">
        <f>tblComponents[Safety_Stock]</f>
        <v>1231</v>
      </c>
      <c r="I470">
        <f t="shared" si="28"/>
        <v>0</v>
      </c>
      <c r="J470" s="15">
        <f>tblComponents[Defect_Rate]</f>
        <v>0</v>
      </c>
      <c r="K470">
        <f t="shared" si="29"/>
        <v>0</v>
      </c>
      <c r="L470" t="str">
        <f t="shared" si="30"/>
        <v>Procurement</v>
      </c>
      <c r="M470">
        <f t="shared" si="31"/>
        <v>0</v>
      </c>
    </row>
    <row r="471" spans="1:13" x14ac:dyDescent="0.35">
      <c r="A471" s="12" t="str">
        <f>tblComponents[Component_ID]</f>
        <v>C470</v>
      </c>
      <c r="B471" s="12" t="str">
        <f>tblComponents[Component_Name]</f>
        <v>Component 470</v>
      </c>
      <c r="C471" t="str">
        <f>tblComponents[Product_Family]</f>
        <v>Body &amp; Exterior</v>
      </c>
      <c r="D471" t="str">
        <f>tblComponents[Sourcing_Type]</f>
        <v>Buy</v>
      </c>
      <c r="E471" t="str">
        <f>tblComponents[Criticality]</f>
        <v>High</v>
      </c>
      <c r="F471">
        <f>tblComponents[Forecast_Demand]</f>
        <v>837</v>
      </c>
      <c r="G471">
        <f>tblComponents[Opening_Inventory]</f>
        <v>16394</v>
      </c>
      <c r="H471">
        <f>tblComponents[Safety_Stock]</f>
        <v>2747</v>
      </c>
      <c r="I471">
        <f t="shared" si="28"/>
        <v>0</v>
      </c>
      <c r="J471" s="15">
        <f>tblComponents[Defect_Rate]</f>
        <v>0</v>
      </c>
      <c r="K471">
        <f t="shared" si="29"/>
        <v>0</v>
      </c>
      <c r="L471" t="str">
        <f t="shared" si="30"/>
        <v>Procurement</v>
      </c>
      <c r="M471">
        <f t="shared" si="31"/>
        <v>0</v>
      </c>
    </row>
    <row r="472" spans="1:13" x14ac:dyDescent="0.35">
      <c r="A472" s="12" t="str">
        <f>tblComponents[Component_ID]</f>
        <v>C471</v>
      </c>
      <c r="B472" s="12" t="str">
        <f>tblComponents[Component_Name]</f>
        <v>Component 471</v>
      </c>
      <c r="C472" t="str">
        <f>tblComponents[Product_Family]</f>
        <v>Chassis</v>
      </c>
      <c r="D472" t="str">
        <f>tblComponents[Sourcing_Type]</f>
        <v>Buy</v>
      </c>
      <c r="E472" t="str">
        <f>tblComponents[Criticality]</f>
        <v>Medium</v>
      </c>
      <c r="F472">
        <f>tblComponents[Forecast_Demand]</f>
        <v>2835</v>
      </c>
      <c r="G472">
        <f>tblComponents[Opening_Inventory]</f>
        <v>10598</v>
      </c>
      <c r="H472">
        <f>tblComponents[Safety_Stock]</f>
        <v>829</v>
      </c>
      <c r="I472">
        <f t="shared" si="28"/>
        <v>0</v>
      </c>
      <c r="J472" s="15">
        <f>tblComponents[Defect_Rate]</f>
        <v>0</v>
      </c>
      <c r="K472">
        <f t="shared" si="29"/>
        <v>0</v>
      </c>
      <c r="L472" t="str">
        <f t="shared" si="30"/>
        <v>Procurement</v>
      </c>
      <c r="M472">
        <f t="shared" si="31"/>
        <v>0</v>
      </c>
    </row>
    <row r="473" spans="1:13" x14ac:dyDescent="0.35">
      <c r="A473" s="12" t="str">
        <f>tblComponents[Component_ID]</f>
        <v>C472</v>
      </c>
      <c r="B473" s="12" t="str">
        <f>tblComponents[Component_Name]</f>
        <v>Component 472</v>
      </c>
      <c r="C473" t="str">
        <f>tblComponents[Product_Family]</f>
        <v>Powertrain</v>
      </c>
      <c r="D473" t="str">
        <f>tblComponents[Sourcing_Type]</f>
        <v>Buy</v>
      </c>
      <c r="E473" t="str">
        <f>tblComponents[Criticality]</f>
        <v>High</v>
      </c>
      <c r="F473">
        <f>tblComponents[Forecast_Demand]</f>
        <v>755</v>
      </c>
      <c r="G473">
        <f>tblComponents[Opening_Inventory]</f>
        <v>13036</v>
      </c>
      <c r="H473">
        <f>tblComponents[Safety_Stock]</f>
        <v>1637</v>
      </c>
      <c r="I473">
        <f t="shared" si="28"/>
        <v>0</v>
      </c>
      <c r="J473" s="15">
        <f>tblComponents[Defect_Rate]</f>
        <v>0</v>
      </c>
      <c r="K473">
        <f t="shared" si="29"/>
        <v>0</v>
      </c>
      <c r="L473" t="str">
        <f t="shared" si="30"/>
        <v>Procurement</v>
      </c>
      <c r="M473">
        <f t="shared" si="31"/>
        <v>0</v>
      </c>
    </row>
    <row r="474" spans="1:13" x14ac:dyDescent="0.35">
      <c r="A474" s="12" t="str">
        <f>tblComponents[Component_ID]</f>
        <v>C473</v>
      </c>
      <c r="B474" s="12" t="str">
        <f>tblComponents[Component_Name]</f>
        <v>Component 473</v>
      </c>
      <c r="C474" t="str">
        <f>tblComponents[Product_Family]</f>
        <v>Electrical Systems</v>
      </c>
      <c r="D474" t="str">
        <f>tblComponents[Sourcing_Type]</f>
        <v>Buy</v>
      </c>
      <c r="E474" t="str">
        <f>tblComponents[Criticality]</f>
        <v>High</v>
      </c>
      <c r="F474">
        <f>tblComponents[Forecast_Demand]</f>
        <v>546</v>
      </c>
      <c r="G474">
        <f>tblComponents[Opening_Inventory]</f>
        <v>1552</v>
      </c>
      <c r="H474">
        <f>tblComponents[Safety_Stock]</f>
        <v>356</v>
      </c>
      <c r="I474">
        <f t="shared" si="28"/>
        <v>0</v>
      </c>
      <c r="J474" s="15">
        <f>tblComponents[Defect_Rate]</f>
        <v>0</v>
      </c>
      <c r="K474">
        <f t="shared" si="29"/>
        <v>0</v>
      </c>
      <c r="L474" t="str">
        <f t="shared" si="30"/>
        <v>Procurement</v>
      </c>
      <c r="M474">
        <f t="shared" si="31"/>
        <v>0</v>
      </c>
    </row>
    <row r="475" spans="1:13" x14ac:dyDescent="0.35">
      <c r="A475" s="12" t="str">
        <f>tblComponents[Component_ID]</f>
        <v>C474</v>
      </c>
      <c r="B475" s="12" t="str">
        <f>tblComponents[Component_Name]</f>
        <v>Component 474</v>
      </c>
      <c r="C475" t="str">
        <f>tblComponents[Product_Family]</f>
        <v>Electrical Systems</v>
      </c>
      <c r="D475" t="str">
        <f>tblComponents[Sourcing_Type]</f>
        <v>Buy</v>
      </c>
      <c r="E475" t="str">
        <f>tblComponents[Criticality]</f>
        <v>Medium</v>
      </c>
      <c r="F475">
        <f>tblComponents[Forecast_Demand]</f>
        <v>1293</v>
      </c>
      <c r="G475">
        <f>tblComponents[Opening_Inventory]</f>
        <v>2280</v>
      </c>
      <c r="H475">
        <f>tblComponents[Safety_Stock]</f>
        <v>326</v>
      </c>
      <c r="I475">
        <f t="shared" si="28"/>
        <v>0</v>
      </c>
      <c r="J475" s="15">
        <f>tblComponents[Defect_Rate]</f>
        <v>0</v>
      </c>
      <c r="K475">
        <f t="shared" si="29"/>
        <v>0</v>
      </c>
      <c r="L475" t="str">
        <f t="shared" si="30"/>
        <v>Procurement</v>
      </c>
      <c r="M475">
        <f t="shared" si="31"/>
        <v>0</v>
      </c>
    </row>
    <row r="476" spans="1:13" x14ac:dyDescent="0.35">
      <c r="A476" s="12" t="str">
        <f>tblComponents[Component_ID]</f>
        <v>C475</v>
      </c>
      <c r="B476" s="12" t="str">
        <f>tblComponents[Component_Name]</f>
        <v>Component 475</v>
      </c>
      <c r="C476" t="str">
        <f>tblComponents[Product_Family]</f>
        <v>Interior</v>
      </c>
      <c r="D476" t="str">
        <f>tblComponents[Sourcing_Type]</f>
        <v>Buy</v>
      </c>
      <c r="E476" t="str">
        <f>tblComponents[Criticality]</f>
        <v>Low</v>
      </c>
      <c r="F476">
        <f>tblComponents[Forecast_Demand]</f>
        <v>1169</v>
      </c>
      <c r="G476">
        <f>tblComponents[Opening_Inventory]</f>
        <v>13624</v>
      </c>
      <c r="H476">
        <f>tblComponents[Safety_Stock]</f>
        <v>1117</v>
      </c>
      <c r="I476">
        <f t="shared" si="28"/>
        <v>0</v>
      </c>
      <c r="J476" s="15">
        <f>tblComponents[Defect_Rate]</f>
        <v>0</v>
      </c>
      <c r="K476">
        <f t="shared" si="29"/>
        <v>0</v>
      </c>
      <c r="L476" t="str">
        <f t="shared" si="30"/>
        <v>Procurement</v>
      </c>
      <c r="M476">
        <f t="shared" si="31"/>
        <v>0</v>
      </c>
    </row>
    <row r="477" spans="1:13" x14ac:dyDescent="0.35">
      <c r="A477" s="12" t="str">
        <f>tblComponents[Component_ID]</f>
        <v>C476</v>
      </c>
      <c r="B477" s="12" t="str">
        <f>tblComponents[Component_Name]</f>
        <v>Component 476</v>
      </c>
      <c r="C477" t="str">
        <f>tblComponents[Product_Family]</f>
        <v>Chassis</v>
      </c>
      <c r="D477" t="str">
        <f>tblComponents[Sourcing_Type]</f>
        <v>Buy</v>
      </c>
      <c r="E477" t="str">
        <f>tblComponents[Criticality]</f>
        <v>Medium</v>
      </c>
      <c r="F477">
        <f>tblComponents[Forecast_Demand]</f>
        <v>714</v>
      </c>
      <c r="G477">
        <f>tblComponents[Opening_Inventory]</f>
        <v>5613</v>
      </c>
      <c r="H477">
        <f>tblComponents[Safety_Stock]</f>
        <v>749</v>
      </c>
      <c r="I477">
        <f t="shared" si="28"/>
        <v>0</v>
      </c>
      <c r="J477" s="15">
        <f>tblComponents[Defect_Rate]</f>
        <v>0</v>
      </c>
      <c r="K477">
        <f t="shared" si="29"/>
        <v>0</v>
      </c>
      <c r="L477" t="str">
        <f t="shared" si="30"/>
        <v>Procurement</v>
      </c>
      <c r="M477">
        <f t="shared" si="31"/>
        <v>0</v>
      </c>
    </row>
    <row r="478" spans="1:13" x14ac:dyDescent="0.35">
      <c r="A478" s="12" t="str">
        <f>tblComponents[Component_ID]</f>
        <v>C477</v>
      </c>
      <c r="B478" s="12" t="str">
        <f>tblComponents[Component_Name]</f>
        <v>Component 477</v>
      </c>
      <c r="C478" t="str">
        <f>tblComponents[Product_Family]</f>
        <v>Electrical Systems</v>
      </c>
      <c r="D478" t="str">
        <f>tblComponents[Sourcing_Type]</f>
        <v>Buy</v>
      </c>
      <c r="E478" t="str">
        <f>tblComponents[Criticality]</f>
        <v>Medium</v>
      </c>
      <c r="F478">
        <f>tblComponents[Forecast_Demand]</f>
        <v>1526</v>
      </c>
      <c r="G478">
        <f>tblComponents[Opening_Inventory]</f>
        <v>6114</v>
      </c>
      <c r="H478">
        <f>tblComponents[Safety_Stock]</f>
        <v>471</v>
      </c>
      <c r="I478">
        <f t="shared" si="28"/>
        <v>0</v>
      </c>
      <c r="J478" s="15">
        <f>tblComponents[Defect_Rate]</f>
        <v>0</v>
      </c>
      <c r="K478">
        <f t="shared" si="29"/>
        <v>0</v>
      </c>
      <c r="L478" t="str">
        <f t="shared" si="30"/>
        <v>Procurement</v>
      </c>
      <c r="M478">
        <f t="shared" si="31"/>
        <v>0</v>
      </c>
    </row>
    <row r="479" spans="1:13" x14ac:dyDescent="0.35">
      <c r="A479" s="12" t="str">
        <f>tblComponents[Component_ID]</f>
        <v>C478</v>
      </c>
      <c r="B479" s="12" t="str">
        <f>tblComponents[Component_Name]</f>
        <v>Component 478</v>
      </c>
      <c r="C479" t="str">
        <f>tblComponents[Product_Family]</f>
        <v>Body &amp; Exterior</v>
      </c>
      <c r="D479" t="str">
        <f>tblComponents[Sourcing_Type]</f>
        <v>Buy</v>
      </c>
      <c r="E479" t="str">
        <f>tblComponents[Criticality]</f>
        <v>Medium</v>
      </c>
      <c r="F479">
        <f>tblComponents[Forecast_Demand]</f>
        <v>389</v>
      </c>
      <c r="G479">
        <f>tblComponents[Opening_Inventory]</f>
        <v>4173</v>
      </c>
      <c r="H479">
        <f>tblComponents[Safety_Stock]</f>
        <v>766</v>
      </c>
      <c r="I479">
        <f t="shared" si="28"/>
        <v>0</v>
      </c>
      <c r="J479" s="15">
        <f>tblComponents[Defect_Rate]</f>
        <v>0</v>
      </c>
      <c r="K479">
        <f t="shared" si="29"/>
        <v>0</v>
      </c>
      <c r="L479" t="str">
        <f t="shared" si="30"/>
        <v>Procurement</v>
      </c>
      <c r="M479">
        <f t="shared" si="31"/>
        <v>0</v>
      </c>
    </row>
    <row r="480" spans="1:13" x14ac:dyDescent="0.35">
      <c r="A480" s="12" t="str">
        <f>tblComponents[Component_ID]</f>
        <v>C479</v>
      </c>
      <c r="B480" s="12" t="str">
        <f>tblComponents[Component_Name]</f>
        <v>Component 479</v>
      </c>
      <c r="C480" t="str">
        <f>tblComponents[Product_Family]</f>
        <v>Interior</v>
      </c>
      <c r="D480" t="str">
        <f>tblComponents[Sourcing_Type]</f>
        <v>Buy</v>
      </c>
      <c r="E480" t="str">
        <f>tblComponents[Criticality]</f>
        <v>Medium</v>
      </c>
      <c r="F480">
        <f>tblComponents[Forecast_Demand]</f>
        <v>1334</v>
      </c>
      <c r="G480">
        <f>tblComponents[Opening_Inventory]</f>
        <v>3853</v>
      </c>
      <c r="H480">
        <f>tblComponents[Safety_Stock]</f>
        <v>336</v>
      </c>
      <c r="I480">
        <f t="shared" si="28"/>
        <v>0</v>
      </c>
      <c r="J480" s="15">
        <f>tblComponents[Defect_Rate]</f>
        <v>0</v>
      </c>
      <c r="K480">
        <f t="shared" si="29"/>
        <v>0</v>
      </c>
      <c r="L480" t="str">
        <f t="shared" si="30"/>
        <v>Procurement</v>
      </c>
      <c r="M480">
        <f t="shared" si="31"/>
        <v>0</v>
      </c>
    </row>
    <row r="481" spans="1:13" x14ac:dyDescent="0.35">
      <c r="A481" s="12" t="str">
        <f>tblComponents[Component_ID]</f>
        <v>C480</v>
      </c>
      <c r="B481" s="12" t="str">
        <f>tblComponents[Component_Name]</f>
        <v>Component 480</v>
      </c>
      <c r="C481" t="str">
        <f>tblComponents[Product_Family]</f>
        <v>Chassis</v>
      </c>
      <c r="D481" t="str">
        <f>tblComponents[Sourcing_Type]</f>
        <v>Buy</v>
      </c>
      <c r="E481" t="str">
        <f>tblComponents[Criticality]</f>
        <v>Medium</v>
      </c>
      <c r="F481">
        <f>tblComponents[Forecast_Demand]</f>
        <v>2466</v>
      </c>
      <c r="G481">
        <f>tblComponents[Opening_Inventory]</f>
        <v>9398</v>
      </c>
      <c r="H481">
        <f>tblComponents[Safety_Stock]</f>
        <v>908</v>
      </c>
      <c r="I481">
        <f t="shared" si="28"/>
        <v>0</v>
      </c>
      <c r="J481" s="15">
        <f>tblComponents[Defect_Rate]</f>
        <v>0</v>
      </c>
      <c r="K481">
        <f t="shared" si="29"/>
        <v>0</v>
      </c>
      <c r="L481" t="str">
        <f t="shared" si="30"/>
        <v>Procurement</v>
      </c>
      <c r="M481">
        <f t="shared" si="31"/>
        <v>0</v>
      </c>
    </row>
    <row r="482" spans="1:13" x14ac:dyDescent="0.35">
      <c r="A482" s="12" t="str">
        <f>tblComponents[Component_ID]</f>
        <v>C481</v>
      </c>
      <c r="B482" s="12" t="str">
        <f>tblComponents[Component_Name]</f>
        <v>Component 481</v>
      </c>
      <c r="C482" t="str">
        <f>tblComponents[Product_Family]</f>
        <v>Body &amp; Exterior</v>
      </c>
      <c r="D482" t="str">
        <f>tblComponents[Sourcing_Type]</f>
        <v>Buy</v>
      </c>
      <c r="E482" t="str">
        <f>tblComponents[Criticality]</f>
        <v>High</v>
      </c>
      <c r="F482">
        <f>tblComponents[Forecast_Demand]</f>
        <v>138</v>
      </c>
      <c r="G482">
        <f>tblComponents[Opening_Inventory]</f>
        <v>2183</v>
      </c>
      <c r="H482">
        <f>tblComponents[Safety_Stock]</f>
        <v>377</v>
      </c>
      <c r="I482">
        <f t="shared" si="28"/>
        <v>0</v>
      </c>
      <c r="J482" s="15">
        <f>tblComponents[Defect_Rate]</f>
        <v>0</v>
      </c>
      <c r="K482">
        <f t="shared" si="29"/>
        <v>0</v>
      </c>
      <c r="L482" t="str">
        <f t="shared" si="30"/>
        <v>Procurement</v>
      </c>
      <c r="M482">
        <f t="shared" si="31"/>
        <v>0</v>
      </c>
    </row>
    <row r="483" spans="1:13" x14ac:dyDescent="0.35">
      <c r="A483" s="12" t="str">
        <f>tblComponents[Component_ID]</f>
        <v>C482</v>
      </c>
      <c r="B483" s="12" t="str">
        <f>tblComponents[Component_Name]</f>
        <v>Component 482</v>
      </c>
      <c r="C483" t="str">
        <f>tblComponents[Product_Family]</f>
        <v>Powertrain</v>
      </c>
      <c r="D483" t="str">
        <f>tblComponents[Sourcing_Type]</f>
        <v>Buy</v>
      </c>
      <c r="E483" t="str">
        <f>tblComponents[Criticality]</f>
        <v>Low</v>
      </c>
      <c r="F483">
        <f>tblComponents[Forecast_Demand]</f>
        <v>310</v>
      </c>
      <c r="G483">
        <f>tblComponents[Opening_Inventory]</f>
        <v>16135</v>
      </c>
      <c r="H483">
        <f>tblComponents[Safety_Stock]</f>
        <v>1996</v>
      </c>
      <c r="I483">
        <f t="shared" si="28"/>
        <v>0</v>
      </c>
      <c r="J483" s="15">
        <f>tblComponents[Defect_Rate]</f>
        <v>0</v>
      </c>
      <c r="K483">
        <f t="shared" si="29"/>
        <v>0</v>
      </c>
      <c r="L483" t="str">
        <f t="shared" si="30"/>
        <v>Procurement</v>
      </c>
      <c r="M483">
        <f t="shared" si="31"/>
        <v>0</v>
      </c>
    </row>
    <row r="484" spans="1:13" x14ac:dyDescent="0.35">
      <c r="A484" s="12" t="str">
        <f>tblComponents[Component_ID]</f>
        <v>C483</v>
      </c>
      <c r="B484" s="12" t="str">
        <f>tblComponents[Component_Name]</f>
        <v>Component 483</v>
      </c>
      <c r="C484" t="str">
        <f>tblComponents[Product_Family]</f>
        <v>Interior</v>
      </c>
      <c r="D484" t="str">
        <f>tblComponents[Sourcing_Type]</f>
        <v>Buy</v>
      </c>
      <c r="E484" t="str">
        <f>tblComponents[Criticality]</f>
        <v>Critical</v>
      </c>
      <c r="F484">
        <f>tblComponents[Forecast_Demand]</f>
        <v>1198</v>
      </c>
      <c r="G484">
        <f>tblComponents[Opening_Inventory]</f>
        <v>13372</v>
      </c>
      <c r="H484">
        <f>tblComponents[Safety_Stock]</f>
        <v>1006</v>
      </c>
      <c r="I484">
        <f t="shared" si="28"/>
        <v>0</v>
      </c>
      <c r="J484" s="15">
        <f>tblComponents[Defect_Rate]</f>
        <v>0</v>
      </c>
      <c r="K484">
        <f t="shared" si="29"/>
        <v>0</v>
      </c>
      <c r="L484" t="str">
        <f t="shared" si="30"/>
        <v>Procurement</v>
      </c>
      <c r="M484">
        <f t="shared" si="31"/>
        <v>0</v>
      </c>
    </row>
    <row r="485" spans="1:13" x14ac:dyDescent="0.35">
      <c r="A485" s="12" t="str">
        <f>tblComponents[Component_ID]</f>
        <v>C484</v>
      </c>
      <c r="B485" s="12" t="str">
        <f>tblComponents[Component_Name]</f>
        <v>Component 484</v>
      </c>
      <c r="C485" t="str">
        <f>tblComponents[Product_Family]</f>
        <v>Interior</v>
      </c>
      <c r="D485" t="str">
        <f>tblComponents[Sourcing_Type]</f>
        <v>Buy</v>
      </c>
      <c r="E485" t="str">
        <f>tblComponents[Criticality]</f>
        <v>High</v>
      </c>
      <c r="F485">
        <f>tblComponents[Forecast_Demand]</f>
        <v>1258</v>
      </c>
      <c r="G485">
        <f>tblComponents[Opening_Inventory]</f>
        <v>3922</v>
      </c>
      <c r="H485">
        <f>tblComponents[Safety_Stock]</f>
        <v>1007</v>
      </c>
      <c r="I485">
        <f t="shared" si="28"/>
        <v>0</v>
      </c>
      <c r="J485" s="15">
        <f>tblComponents[Defect_Rate]</f>
        <v>0</v>
      </c>
      <c r="K485">
        <f t="shared" si="29"/>
        <v>0</v>
      </c>
      <c r="L485" t="str">
        <f t="shared" si="30"/>
        <v>Procurement</v>
      </c>
      <c r="M485">
        <f t="shared" si="31"/>
        <v>0</v>
      </c>
    </row>
    <row r="486" spans="1:13" x14ac:dyDescent="0.35">
      <c r="A486" s="12" t="str">
        <f>tblComponents[Component_ID]</f>
        <v>C485</v>
      </c>
      <c r="B486" s="12" t="str">
        <f>tblComponents[Component_Name]</f>
        <v>Component 485</v>
      </c>
      <c r="C486" t="str">
        <f>tblComponents[Product_Family]</f>
        <v>Electrical Systems</v>
      </c>
      <c r="D486" t="str">
        <f>tblComponents[Sourcing_Type]</f>
        <v>Buy</v>
      </c>
      <c r="E486" t="str">
        <f>tblComponents[Criticality]</f>
        <v>High</v>
      </c>
      <c r="F486">
        <f>tblComponents[Forecast_Demand]</f>
        <v>502</v>
      </c>
      <c r="G486">
        <f>tblComponents[Opening_Inventory]</f>
        <v>8206</v>
      </c>
      <c r="H486">
        <f>tblComponents[Safety_Stock]</f>
        <v>413</v>
      </c>
      <c r="I486">
        <f t="shared" si="28"/>
        <v>0</v>
      </c>
      <c r="J486" s="15">
        <f>tblComponents[Defect_Rate]</f>
        <v>0</v>
      </c>
      <c r="K486">
        <f t="shared" si="29"/>
        <v>0</v>
      </c>
      <c r="L486" t="str">
        <f t="shared" si="30"/>
        <v>Procurement</v>
      </c>
      <c r="M486">
        <f t="shared" si="31"/>
        <v>0</v>
      </c>
    </row>
    <row r="487" spans="1:13" x14ac:dyDescent="0.35">
      <c r="A487" s="12" t="str">
        <f>tblComponents[Component_ID]</f>
        <v>C486</v>
      </c>
      <c r="B487" s="12" t="str">
        <f>tblComponents[Component_Name]</f>
        <v>Component 486</v>
      </c>
      <c r="C487" t="str">
        <f>tblComponents[Product_Family]</f>
        <v>Powertrain</v>
      </c>
      <c r="D487" t="str">
        <f>tblComponents[Sourcing_Type]</f>
        <v>Buy</v>
      </c>
      <c r="E487" t="str">
        <f>tblComponents[Criticality]</f>
        <v>High</v>
      </c>
      <c r="F487">
        <f>tblComponents[Forecast_Demand]</f>
        <v>1504</v>
      </c>
      <c r="G487">
        <f>tblComponents[Opening_Inventory]</f>
        <v>4963</v>
      </c>
      <c r="H487">
        <f>tblComponents[Safety_Stock]</f>
        <v>672</v>
      </c>
      <c r="I487">
        <f t="shared" si="28"/>
        <v>0</v>
      </c>
      <c r="J487" s="15">
        <f>tblComponents[Defect_Rate]</f>
        <v>0</v>
      </c>
      <c r="K487">
        <f t="shared" si="29"/>
        <v>0</v>
      </c>
      <c r="L487" t="str">
        <f t="shared" si="30"/>
        <v>Procurement</v>
      </c>
      <c r="M487">
        <f t="shared" si="31"/>
        <v>0</v>
      </c>
    </row>
    <row r="488" spans="1:13" x14ac:dyDescent="0.35">
      <c r="A488" s="12" t="str">
        <f>tblComponents[Component_ID]</f>
        <v>C487</v>
      </c>
      <c r="B488" s="12" t="str">
        <f>tblComponents[Component_Name]</f>
        <v>Component 487</v>
      </c>
      <c r="C488" t="str">
        <f>tblComponents[Product_Family]</f>
        <v>Powertrain</v>
      </c>
      <c r="D488" t="str">
        <f>tblComponents[Sourcing_Type]</f>
        <v>Buy</v>
      </c>
      <c r="E488" t="str">
        <f>tblComponents[Criticality]</f>
        <v>Low</v>
      </c>
      <c r="F488">
        <f>tblComponents[Forecast_Demand]</f>
        <v>1445</v>
      </c>
      <c r="G488">
        <f>tblComponents[Opening_Inventory]</f>
        <v>6410</v>
      </c>
      <c r="H488">
        <f>tblComponents[Safety_Stock]</f>
        <v>650</v>
      </c>
      <c r="I488">
        <f t="shared" si="28"/>
        <v>0</v>
      </c>
      <c r="J488" s="15">
        <f>tblComponents[Defect_Rate]</f>
        <v>0</v>
      </c>
      <c r="K488">
        <f t="shared" si="29"/>
        <v>0</v>
      </c>
      <c r="L488" t="str">
        <f t="shared" si="30"/>
        <v>Procurement</v>
      </c>
      <c r="M488">
        <f t="shared" si="31"/>
        <v>0</v>
      </c>
    </row>
    <row r="489" spans="1:13" x14ac:dyDescent="0.35">
      <c r="A489" s="12" t="str">
        <f>tblComponents[Component_ID]</f>
        <v>C488</v>
      </c>
      <c r="B489" s="12" t="str">
        <f>tblComponents[Component_Name]</f>
        <v>Component 488</v>
      </c>
      <c r="C489" t="str">
        <f>tblComponents[Product_Family]</f>
        <v>Interior</v>
      </c>
      <c r="D489" t="str">
        <f>tblComponents[Sourcing_Type]</f>
        <v>Buy</v>
      </c>
      <c r="E489" t="str">
        <f>tblComponents[Criticality]</f>
        <v>Medium</v>
      </c>
      <c r="F489">
        <f>tblComponents[Forecast_Demand]</f>
        <v>926</v>
      </c>
      <c r="G489">
        <f>tblComponents[Opening_Inventory]</f>
        <v>1525</v>
      </c>
      <c r="H489">
        <f>tblComponents[Safety_Stock]</f>
        <v>772</v>
      </c>
      <c r="I489">
        <f t="shared" si="28"/>
        <v>173</v>
      </c>
      <c r="J489" s="15">
        <f>tblComponents[Defect_Rate]</f>
        <v>0</v>
      </c>
      <c r="K489">
        <f t="shared" si="29"/>
        <v>173</v>
      </c>
      <c r="L489" t="str">
        <f t="shared" si="30"/>
        <v>Procurement</v>
      </c>
      <c r="M489">
        <f t="shared" si="31"/>
        <v>173</v>
      </c>
    </row>
    <row r="490" spans="1:13" x14ac:dyDescent="0.35">
      <c r="A490" s="12" t="str">
        <f>tblComponents[Component_ID]</f>
        <v>C489</v>
      </c>
      <c r="B490" s="12" t="str">
        <f>tblComponents[Component_Name]</f>
        <v>Component 489</v>
      </c>
      <c r="C490" t="str">
        <f>tblComponents[Product_Family]</f>
        <v>Body &amp; Exterior</v>
      </c>
      <c r="D490" t="str">
        <f>tblComponents[Sourcing_Type]</f>
        <v>Buy</v>
      </c>
      <c r="E490" t="str">
        <f>tblComponents[Criticality]</f>
        <v>High</v>
      </c>
      <c r="F490">
        <f>tblComponents[Forecast_Demand]</f>
        <v>697</v>
      </c>
      <c r="G490">
        <f>tblComponents[Opening_Inventory]</f>
        <v>7217</v>
      </c>
      <c r="H490">
        <f>tblComponents[Safety_Stock]</f>
        <v>1581</v>
      </c>
      <c r="I490">
        <f t="shared" si="28"/>
        <v>0</v>
      </c>
      <c r="J490" s="15">
        <f>tblComponents[Defect_Rate]</f>
        <v>0</v>
      </c>
      <c r="K490">
        <f t="shared" si="29"/>
        <v>0</v>
      </c>
      <c r="L490" t="str">
        <f t="shared" si="30"/>
        <v>Procurement</v>
      </c>
      <c r="M490">
        <f t="shared" si="31"/>
        <v>0</v>
      </c>
    </row>
    <row r="491" spans="1:13" x14ac:dyDescent="0.35">
      <c r="A491" s="12" t="str">
        <f>tblComponents[Component_ID]</f>
        <v>C490</v>
      </c>
      <c r="B491" s="12" t="str">
        <f>tblComponents[Component_Name]</f>
        <v>Component 490</v>
      </c>
      <c r="C491" t="str">
        <f>tblComponents[Product_Family]</f>
        <v>Powertrain</v>
      </c>
      <c r="D491" t="str">
        <f>tblComponents[Sourcing_Type]</f>
        <v>Buy</v>
      </c>
      <c r="E491" t="str">
        <f>tblComponents[Criticality]</f>
        <v>High</v>
      </c>
      <c r="F491">
        <f>tblComponents[Forecast_Demand]</f>
        <v>498</v>
      </c>
      <c r="G491">
        <f>tblComponents[Opening_Inventory]</f>
        <v>3921</v>
      </c>
      <c r="H491">
        <f>tblComponents[Safety_Stock]</f>
        <v>483</v>
      </c>
      <c r="I491">
        <f t="shared" si="28"/>
        <v>0</v>
      </c>
      <c r="J491" s="15">
        <f>tblComponents[Defect_Rate]</f>
        <v>0</v>
      </c>
      <c r="K491">
        <f t="shared" si="29"/>
        <v>0</v>
      </c>
      <c r="L491" t="str">
        <f t="shared" si="30"/>
        <v>Procurement</v>
      </c>
      <c r="M491">
        <f t="shared" si="31"/>
        <v>0</v>
      </c>
    </row>
    <row r="492" spans="1:13" x14ac:dyDescent="0.35">
      <c r="A492" s="12" t="str">
        <f>tblComponents[Component_ID]</f>
        <v>C491</v>
      </c>
      <c r="B492" s="12" t="str">
        <f>tblComponents[Component_Name]</f>
        <v>Component 491</v>
      </c>
      <c r="C492" t="str">
        <f>tblComponents[Product_Family]</f>
        <v>Chassis</v>
      </c>
      <c r="D492" t="str">
        <f>tblComponents[Sourcing_Type]</f>
        <v>Buy</v>
      </c>
      <c r="E492" t="str">
        <f>tblComponents[Criticality]</f>
        <v>High</v>
      </c>
      <c r="F492">
        <f>tblComponents[Forecast_Demand]</f>
        <v>688</v>
      </c>
      <c r="G492">
        <f>tblComponents[Opening_Inventory]</f>
        <v>5478</v>
      </c>
      <c r="H492">
        <f>tblComponents[Safety_Stock]</f>
        <v>598</v>
      </c>
      <c r="I492">
        <f t="shared" si="28"/>
        <v>0</v>
      </c>
      <c r="J492" s="15">
        <f>tblComponents[Defect_Rate]</f>
        <v>0</v>
      </c>
      <c r="K492">
        <f t="shared" si="29"/>
        <v>0</v>
      </c>
      <c r="L492" t="str">
        <f t="shared" si="30"/>
        <v>Procurement</v>
      </c>
      <c r="M492">
        <f t="shared" si="31"/>
        <v>0</v>
      </c>
    </row>
    <row r="493" spans="1:13" x14ac:dyDescent="0.35">
      <c r="A493" s="12" t="str">
        <f>tblComponents[Component_ID]</f>
        <v>C492</v>
      </c>
      <c r="B493" s="12" t="str">
        <f>tblComponents[Component_Name]</f>
        <v>Component 492</v>
      </c>
      <c r="C493" t="str">
        <f>tblComponents[Product_Family]</f>
        <v>Body &amp; Exterior</v>
      </c>
      <c r="D493" t="str">
        <f>tblComponents[Sourcing_Type]</f>
        <v>Buy</v>
      </c>
      <c r="E493" t="str">
        <f>tblComponents[Criticality]</f>
        <v>High</v>
      </c>
      <c r="F493">
        <f>tblComponents[Forecast_Demand]</f>
        <v>256</v>
      </c>
      <c r="G493">
        <f>tblComponents[Opening_Inventory]</f>
        <v>4231</v>
      </c>
      <c r="H493">
        <f>tblComponents[Safety_Stock]</f>
        <v>1432</v>
      </c>
      <c r="I493">
        <f t="shared" si="28"/>
        <v>0</v>
      </c>
      <c r="J493" s="15">
        <f>tblComponents[Defect_Rate]</f>
        <v>0</v>
      </c>
      <c r="K493">
        <f t="shared" si="29"/>
        <v>0</v>
      </c>
      <c r="L493" t="str">
        <f t="shared" si="30"/>
        <v>Procurement</v>
      </c>
      <c r="M493">
        <f t="shared" si="31"/>
        <v>0</v>
      </c>
    </row>
    <row r="494" spans="1:13" x14ac:dyDescent="0.35">
      <c r="A494" s="12" t="str">
        <f>tblComponents[Component_ID]</f>
        <v>C493</v>
      </c>
      <c r="B494" s="12" t="str">
        <f>tblComponents[Component_Name]</f>
        <v>Component 493</v>
      </c>
      <c r="C494" t="str">
        <f>tblComponents[Product_Family]</f>
        <v>Interior</v>
      </c>
      <c r="D494" t="str">
        <f>tblComponents[Sourcing_Type]</f>
        <v>Buy</v>
      </c>
      <c r="E494" t="str">
        <f>tblComponents[Criticality]</f>
        <v>Medium</v>
      </c>
      <c r="F494">
        <f>tblComponents[Forecast_Demand]</f>
        <v>1710</v>
      </c>
      <c r="G494">
        <f>tblComponents[Opening_Inventory]</f>
        <v>2914</v>
      </c>
      <c r="H494">
        <f>tblComponents[Safety_Stock]</f>
        <v>662</v>
      </c>
      <c r="I494">
        <f t="shared" si="28"/>
        <v>0</v>
      </c>
      <c r="J494" s="15">
        <f>tblComponents[Defect_Rate]</f>
        <v>0</v>
      </c>
      <c r="K494">
        <f t="shared" si="29"/>
        <v>0</v>
      </c>
      <c r="L494" t="str">
        <f t="shared" si="30"/>
        <v>Procurement</v>
      </c>
      <c r="M494">
        <f t="shared" si="31"/>
        <v>0</v>
      </c>
    </row>
    <row r="495" spans="1:13" x14ac:dyDescent="0.35">
      <c r="A495" s="12" t="str">
        <f>tblComponents[Component_ID]</f>
        <v>C494</v>
      </c>
      <c r="B495" s="12" t="str">
        <f>tblComponents[Component_Name]</f>
        <v>Component 494</v>
      </c>
      <c r="C495" t="str">
        <f>tblComponents[Product_Family]</f>
        <v>Electrical Systems</v>
      </c>
      <c r="D495" t="str">
        <f>tblComponents[Sourcing_Type]</f>
        <v>Buy</v>
      </c>
      <c r="E495" t="str">
        <f>tblComponents[Criticality]</f>
        <v>Medium</v>
      </c>
      <c r="F495">
        <f>tblComponents[Forecast_Demand]</f>
        <v>1468</v>
      </c>
      <c r="G495">
        <f>tblComponents[Opening_Inventory]</f>
        <v>12398</v>
      </c>
      <c r="H495">
        <f>tblComponents[Safety_Stock]</f>
        <v>2225</v>
      </c>
      <c r="I495">
        <f t="shared" si="28"/>
        <v>0</v>
      </c>
      <c r="J495" s="15">
        <f>tblComponents[Defect_Rate]</f>
        <v>0</v>
      </c>
      <c r="K495">
        <f t="shared" si="29"/>
        <v>0</v>
      </c>
      <c r="L495" t="str">
        <f t="shared" si="30"/>
        <v>Procurement</v>
      </c>
      <c r="M495">
        <f t="shared" si="31"/>
        <v>0</v>
      </c>
    </row>
    <row r="496" spans="1:13" x14ac:dyDescent="0.35">
      <c r="A496" s="12" t="str">
        <f>tblComponents[Component_ID]</f>
        <v>C495</v>
      </c>
      <c r="B496" s="12" t="str">
        <f>tblComponents[Component_Name]</f>
        <v>Component 495</v>
      </c>
      <c r="C496" t="str">
        <f>tblComponents[Product_Family]</f>
        <v>Body &amp; Exterior</v>
      </c>
      <c r="D496" t="str">
        <f>tblComponents[Sourcing_Type]</f>
        <v>Buy</v>
      </c>
      <c r="E496" t="str">
        <f>tblComponents[Criticality]</f>
        <v>Critical</v>
      </c>
      <c r="F496">
        <f>tblComponents[Forecast_Demand]</f>
        <v>678</v>
      </c>
      <c r="G496">
        <f>tblComponents[Opening_Inventory]</f>
        <v>6938</v>
      </c>
      <c r="H496">
        <f>tblComponents[Safety_Stock]</f>
        <v>354</v>
      </c>
      <c r="I496">
        <f t="shared" si="28"/>
        <v>0</v>
      </c>
      <c r="J496" s="15">
        <f>tblComponents[Defect_Rate]</f>
        <v>0</v>
      </c>
      <c r="K496">
        <f t="shared" si="29"/>
        <v>0</v>
      </c>
      <c r="L496" t="str">
        <f t="shared" si="30"/>
        <v>Procurement</v>
      </c>
      <c r="M496">
        <f t="shared" si="31"/>
        <v>0</v>
      </c>
    </row>
    <row r="497" spans="1:13" x14ac:dyDescent="0.35">
      <c r="A497" s="12" t="str">
        <f>tblComponents[Component_ID]</f>
        <v>C496</v>
      </c>
      <c r="B497" s="12" t="str">
        <f>tblComponents[Component_Name]</f>
        <v>Component 496</v>
      </c>
      <c r="C497" t="str">
        <f>tblComponents[Product_Family]</f>
        <v>Body &amp; Exterior</v>
      </c>
      <c r="D497" t="str">
        <f>tblComponents[Sourcing_Type]</f>
        <v>Buy</v>
      </c>
      <c r="E497" t="str">
        <f>tblComponents[Criticality]</f>
        <v>Critical</v>
      </c>
      <c r="F497">
        <f>tblComponents[Forecast_Demand]</f>
        <v>446</v>
      </c>
      <c r="G497">
        <f>tblComponents[Opening_Inventory]</f>
        <v>1107</v>
      </c>
      <c r="H497">
        <f>tblComponents[Safety_Stock]</f>
        <v>532</v>
      </c>
      <c r="I497">
        <f t="shared" si="28"/>
        <v>0</v>
      </c>
      <c r="J497" s="15">
        <f>tblComponents[Defect_Rate]</f>
        <v>0</v>
      </c>
      <c r="K497">
        <f t="shared" si="29"/>
        <v>0</v>
      </c>
      <c r="L497" t="str">
        <f t="shared" si="30"/>
        <v>Procurement</v>
      </c>
      <c r="M497">
        <f t="shared" si="31"/>
        <v>0</v>
      </c>
    </row>
    <row r="498" spans="1:13" x14ac:dyDescent="0.35">
      <c r="A498" s="12" t="str">
        <f>tblComponents[Component_ID]</f>
        <v>C497</v>
      </c>
      <c r="B498" s="12" t="str">
        <f>tblComponents[Component_Name]</f>
        <v>Component 497</v>
      </c>
      <c r="C498" t="str">
        <f>tblComponents[Product_Family]</f>
        <v>Body &amp; Exterior</v>
      </c>
      <c r="D498" t="str">
        <f>tblComponents[Sourcing_Type]</f>
        <v>Buy</v>
      </c>
      <c r="E498" t="str">
        <f>tblComponents[Criticality]</f>
        <v>Medium</v>
      </c>
      <c r="F498">
        <f>tblComponents[Forecast_Demand]</f>
        <v>3577</v>
      </c>
      <c r="G498">
        <f>tblComponents[Opening_Inventory]</f>
        <v>4043</v>
      </c>
      <c r="H498">
        <f>tblComponents[Safety_Stock]</f>
        <v>998</v>
      </c>
      <c r="I498">
        <f>MAX(0,F498+H498-G498)</f>
        <v>532</v>
      </c>
      <c r="J498" s="15">
        <f>tblComponents[Defect_Rate]</f>
        <v>0</v>
      </c>
      <c r="K498">
        <f>IFERROR(I498/(1-J498),0)</f>
        <v>532</v>
      </c>
      <c r="L498" t="str">
        <f t="shared" si="30"/>
        <v>Procurement</v>
      </c>
      <c r="M498">
        <f t="shared" si="31"/>
        <v>532</v>
      </c>
    </row>
    <row r="499" spans="1:13" x14ac:dyDescent="0.35">
      <c r="A499" s="12" t="str">
        <f>tblComponents[Component_ID]</f>
        <v>C498</v>
      </c>
      <c r="B499" s="12" t="str">
        <f>tblComponents[Component_Name]</f>
        <v>Component 498</v>
      </c>
      <c r="C499" t="str">
        <f>tblComponents[Product_Family]</f>
        <v>Interior</v>
      </c>
      <c r="D499" t="str">
        <f>tblComponents[Sourcing_Type]</f>
        <v>Buy</v>
      </c>
      <c r="E499" t="str">
        <f>tblComponents[Criticality]</f>
        <v>Medium</v>
      </c>
      <c r="F499">
        <f>tblComponents[Forecast_Demand]</f>
        <v>1099</v>
      </c>
      <c r="G499">
        <f>tblComponents[Opening_Inventory]</f>
        <v>4376</v>
      </c>
      <c r="H499">
        <f>tblComponents[Safety_Stock]</f>
        <v>963</v>
      </c>
      <c r="I499">
        <f t="shared" si="28"/>
        <v>0</v>
      </c>
      <c r="J499" s="15">
        <f>tblComponents[Defect_Rate]</f>
        <v>0</v>
      </c>
      <c r="K499">
        <f t="shared" si="29"/>
        <v>0</v>
      </c>
      <c r="L499" t="str">
        <f t="shared" si="30"/>
        <v>Procurement</v>
      </c>
      <c r="M499">
        <f t="shared" si="31"/>
        <v>0</v>
      </c>
    </row>
    <row r="500" spans="1:13" x14ac:dyDescent="0.35">
      <c r="A500" s="12" t="str">
        <f>tblComponents[Component_ID]</f>
        <v>C499</v>
      </c>
      <c r="B500" s="12" t="str">
        <f>tblComponents[Component_Name]</f>
        <v>Component 499</v>
      </c>
      <c r="C500" t="str">
        <f>tblComponents[Product_Family]</f>
        <v>Chassis</v>
      </c>
      <c r="D500" t="str">
        <f>tblComponents[Sourcing_Type]</f>
        <v>Buy</v>
      </c>
      <c r="E500" t="str">
        <f>tblComponents[Criticality]</f>
        <v>Medium</v>
      </c>
      <c r="F500">
        <f>tblComponents[Forecast_Demand]</f>
        <v>358</v>
      </c>
      <c r="G500">
        <f>tblComponents[Opening_Inventory]</f>
        <v>8078</v>
      </c>
      <c r="H500">
        <f>tblComponents[Safety_Stock]</f>
        <v>1877</v>
      </c>
      <c r="I500">
        <f t="shared" si="28"/>
        <v>0</v>
      </c>
      <c r="J500" s="15">
        <f>tblComponents[Defect_Rate]</f>
        <v>0</v>
      </c>
      <c r="K500">
        <f t="shared" si="29"/>
        <v>0</v>
      </c>
      <c r="L500" t="str">
        <f t="shared" si="30"/>
        <v>Procurement</v>
      </c>
      <c r="M500">
        <f t="shared" si="31"/>
        <v>0</v>
      </c>
    </row>
    <row r="501" spans="1:13" x14ac:dyDescent="0.35">
      <c r="A501" s="12" t="str">
        <f>tblComponents[Component_ID]</f>
        <v>C500</v>
      </c>
      <c r="B501" s="12" t="str">
        <f>tblComponents[Component_Name]</f>
        <v>Component 500</v>
      </c>
      <c r="C501" t="str">
        <f>tblComponents[Product_Family]</f>
        <v>Powertrain</v>
      </c>
      <c r="D501" t="str">
        <f>tblComponents[Sourcing_Type]</f>
        <v>Buy</v>
      </c>
      <c r="E501" t="str">
        <f>tblComponents[Criticality]</f>
        <v>Medium</v>
      </c>
      <c r="F501">
        <f>tblComponents[Forecast_Demand]</f>
        <v>452</v>
      </c>
      <c r="G501">
        <f>tblComponents[Opening_Inventory]</f>
        <v>17582</v>
      </c>
      <c r="H501">
        <f>tblComponents[Safety_Stock]</f>
        <v>1443</v>
      </c>
      <c r="I501">
        <f t="shared" si="28"/>
        <v>0</v>
      </c>
      <c r="J501" s="15">
        <f>tblComponents[Defect_Rate]</f>
        <v>0</v>
      </c>
      <c r="K501">
        <f t="shared" si="29"/>
        <v>0</v>
      </c>
      <c r="L501" t="str">
        <f t="shared" si="30"/>
        <v>Procurement</v>
      </c>
      <c r="M501">
        <f t="shared" si="31"/>
        <v>0</v>
      </c>
    </row>
    <row r="502" spans="1:13" x14ac:dyDescent="0.35">
      <c r="A502" s="12"/>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24F58-987B-4CD3-9894-1751CA3BC4E4}">
  <dimension ref="A1:P302"/>
  <sheetViews>
    <sheetView topLeftCell="H1" zoomScale="70" zoomScaleNormal="70" workbookViewId="0">
      <selection activeCell="B2" sqref="B2"/>
    </sheetView>
  </sheetViews>
  <sheetFormatPr defaultRowHeight="14.5" x14ac:dyDescent="0.35"/>
  <cols>
    <col min="1" max="1" width="10.81640625" bestFit="1" customWidth="1"/>
    <col min="2" max="2" width="15.453125" bestFit="1" customWidth="1"/>
    <col min="3" max="3" width="23.453125" bestFit="1" customWidth="1"/>
    <col min="4" max="4" width="26" bestFit="1" customWidth="1"/>
    <col min="5" max="5" width="24.7265625" bestFit="1" customWidth="1"/>
    <col min="6" max="6" width="24" bestFit="1" customWidth="1"/>
    <col min="7" max="7" width="22.81640625" bestFit="1" customWidth="1"/>
    <col min="8" max="8" width="23.6328125" bestFit="1" customWidth="1"/>
    <col min="9" max="9" width="17.54296875" bestFit="1" customWidth="1"/>
    <col min="10" max="10" width="15.7265625" bestFit="1" customWidth="1"/>
    <col min="12" max="12" width="26.453125" bestFit="1" customWidth="1"/>
  </cols>
  <sheetData>
    <row r="1" spans="1:16" x14ac:dyDescent="0.35">
      <c r="A1" s="7" t="s">
        <v>1614</v>
      </c>
      <c r="B1" s="7" t="s">
        <v>1617</v>
      </c>
      <c r="C1" s="7" t="s">
        <v>1618</v>
      </c>
      <c r="D1" s="7" t="s">
        <v>1619</v>
      </c>
      <c r="E1" s="7" t="s">
        <v>1620</v>
      </c>
      <c r="F1" s="7" t="s">
        <v>1700</v>
      </c>
      <c r="G1" s="7" t="s">
        <v>540</v>
      </c>
      <c r="H1" s="7" t="s">
        <v>1701</v>
      </c>
      <c r="I1" s="7" t="s">
        <v>1621</v>
      </c>
      <c r="J1" s="7" t="s">
        <v>1627</v>
      </c>
    </row>
    <row r="2" spans="1:16" x14ac:dyDescent="0.35">
      <c r="A2" s="12" t="str">
        <f>tblMachines[Machine_ID]</f>
        <v>M014</v>
      </c>
      <c r="B2" s="12">
        <f>tblMachines[Scheduled_Hours]</f>
        <v>4800</v>
      </c>
      <c r="C2">
        <f>tblMachines[Planned_Downtime_Hours]</f>
        <v>324</v>
      </c>
      <c r="D2">
        <f>tblMachines[Unplanned_Downtime_Hours]</f>
        <v>351.84</v>
      </c>
      <c r="E2">
        <f>B2-C2-D2</f>
        <v>4124.16</v>
      </c>
      <c r="F2">
        <f>SUMIFS(tblComponents[Planned_Production_or_Procurement],tblComponents[Assigned_Machine],A2,tblComponents[Sourcing_Type],"Make")</f>
        <v>38101</v>
      </c>
      <c r="G2">
        <f>SUMPRODUCT((tblComponents[Assigned_Machine]=A2)*(tblComponents[Sourcing_Type]="Make")*tblComponents[Planned_Production_or_Procurement]*tblComponents[Actual_Cycle_Time_Min])/60</f>
        <v>4175.4780000000001</v>
      </c>
      <c r="H2">
        <f>E2-G2</f>
        <v>-51.318000000000211</v>
      </c>
      <c r="I2">
        <f>IFERROR(G2/E2,0)</f>
        <v>1.0124432611731844</v>
      </c>
      <c r="J2" t="str">
        <f>IF(I2&gt;1,"Capacity Shortage",IF(I2&gt;=0.85,"High Utilization","Available Capacity"))</f>
        <v>Capacity Shortage</v>
      </c>
      <c r="L2" s="9" t="s">
        <v>1702</v>
      </c>
      <c r="O2" t="s">
        <v>1686</v>
      </c>
      <c r="P2" s="1" t="s">
        <v>254</v>
      </c>
    </row>
    <row r="3" spans="1:16" x14ac:dyDescent="0.35">
      <c r="A3" s="12" t="str">
        <f>tblMachines[Machine_ID]</f>
        <v>M002</v>
      </c>
      <c r="B3" s="12">
        <f>tblMachines[Scheduled_Hours]</f>
        <v>4800</v>
      </c>
      <c r="C3">
        <f>tblMachines[Planned_Downtime_Hours]</f>
        <v>425.28</v>
      </c>
      <c r="D3">
        <f>tblMachines[Unplanned_Downtime_Hours]</f>
        <v>358.56</v>
      </c>
      <c r="E3">
        <f t="shared" ref="E3:E26" si="0">B3-C3-D3</f>
        <v>4016.1600000000003</v>
      </c>
      <c r="F3">
        <f>SUMIFS(tblComponents[Planned_Production_or_Procurement],tblComponents[Assigned_Machine],A3,tblComponents[Sourcing_Type],"Make")</f>
        <v>25826</v>
      </c>
      <c r="G3">
        <f>SUMPRODUCT((tblComponents[Assigned_Machine]=A3)*(tblComponents[Sourcing_Type]="Make")*tblComponents[Planned_Production_or_Procurement]*tblComponents[Actual_Cycle_Time_Min])/60</f>
        <v>4174.623333333333</v>
      </c>
      <c r="H3">
        <f t="shared" ref="H3:H26" si="1">E3-G3</f>
        <v>-158.46333333333268</v>
      </c>
      <c r="I3">
        <f t="shared" ref="I3:I26" si="2">IFERROR(G3/E3,0)</f>
        <v>1.0394564293587238</v>
      </c>
      <c r="J3" t="str">
        <f t="shared" ref="J3:J26" si="3">IF(I3&gt;1,"Capacity Shortage",IF(I3&gt;=0.85,"High Utilization","Available Capacity"))</f>
        <v>Capacity Shortage</v>
      </c>
      <c r="L3" s="13" t="s">
        <v>474</v>
      </c>
      <c r="M3" s="13" t="s">
        <v>1666</v>
      </c>
    </row>
    <row r="4" spans="1:16" x14ac:dyDescent="0.35">
      <c r="A4" s="12" t="str">
        <f>tblMachines[Machine_ID]</f>
        <v>M020</v>
      </c>
      <c r="B4" s="12">
        <f>tblMachines[Scheduled_Hours]</f>
        <v>4800</v>
      </c>
      <c r="C4">
        <f>tblMachines[Planned_Downtime_Hours]</f>
        <v>432.96</v>
      </c>
      <c r="D4">
        <f>tblMachines[Unplanned_Downtime_Hours]</f>
        <v>364.8</v>
      </c>
      <c r="E4">
        <f t="shared" si="0"/>
        <v>4002.24</v>
      </c>
      <c r="F4">
        <f>SUMIFS(tblComponents[Planned_Production_or_Procurement],tblComponents[Assigned_Machine],A4,tblComponents[Sourcing_Type],"Make")</f>
        <v>38429</v>
      </c>
      <c r="G4">
        <f>SUMPRODUCT((tblComponents[Assigned_Machine]=A4)*(tblComponents[Sourcing_Type]="Make")*tblComponents[Planned_Production_or_Procurement]*tblComponents[Actual_Cycle_Time_Min])/60</f>
        <v>4175.1876666666676</v>
      </c>
      <c r="H4">
        <f t="shared" si="1"/>
        <v>-172.94766666666783</v>
      </c>
      <c r="I4">
        <f t="shared" si="2"/>
        <v>1.0432127175448418</v>
      </c>
      <c r="J4" t="str">
        <f t="shared" si="3"/>
        <v>Capacity Shortage</v>
      </c>
      <c r="L4" s="7" t="s">
        <v>1703</v>
      </c>
      <c r="M4" s="7">
        <f>SUM(E:E)</f>
        <v>104309.28</v>
      </c>
    </row>
    <row r="5" spans="1:16" x14ac:dyDescent="0.35">
      <c r="A5" s="12" t="str">
        <f>tblMachines[Machine_ID]</f>
        <v>M008</v>
      </c>
      <c r="B5" s="12">
        <f>tblMachines[Scheduled_Hours]</f>
        <v>4800</v>
      </c>
      <c r="C5">
        <f>tblMachines[Planned_Downtime_Hours]</f>
        <v>276.95999999999998</v>
      </c>
      <c r="D5">
        <f>tblMachines[Unplanned_Downtime_Hours]</f>
        <v>166.56</v>
      </c>
      <c r="E5">
        <f t="shared" si="0"/>
        <v>4356.4799999999996</v>
      </c>
      <c r="F5">
        <f>SUMIFS(tblComponents[Planned_Production_or_Procurement],tblComponents[Assigned_Machine],A5,tblComponents[Sourcing_Type],"Make")</f>
        <v>108582</v>
      </c>
      <c r="G5">
        <f>SUMPRODUCT((tblComponents[Assigned_Machine]=A5)*(tblComponents[Sourcing_Type]="Make")*tblComponents[Planned_Production_or_Procurement]*tblComponents[Actual_Cycle_Time_Min])/60</f>
        <v>4175.7929999999997</v>
      </c>
      <c r="H5">
        <f t="shared" si="1"/>
        <v>180.6869999999999</v>
      </c>
      <c r="I5">
        <f t="shared" si="2"/>
        <v>0.95852454275011023</v>
      </c>
      <c r="J5" t="str">
        <f t="shared" si="3"/>
        <v>High Utilization</v>
      </c>
      <c r="L5" s="7" t="s">
        <v>1704</v>
      </c>
      <c r="M5" s="7">
        <f>SUM(G:G)</f>
        <v>104382.33233333332</v>
      </c>
    </row>
    <row r="6" spans="1:16" x14ac:dyDescent="0.35">
      <c r="A6" s="12" t="str">
        <f>tblMachines[Machine_ID]</f>
        <v>M009</v>
      </c>
      <c r="B6" s="12">
        <f>tblMachines[Scheduled_Hours]</f>
        <v>4800</v>
      </c>
      <c r="C6">
        <f>tblMachines[Planned_Downtime_Hours]</f>
        <v>327.84</v>
      </c>
      <c r="D6">
        <f>tblMachines[Unplanned_Downtime_Hours]</f>
        <v>274.56</v>
      </c>
      <c r="E6">
        <f t="shared" si="0"/>
        <v>4197.5999999999995</v>
      </c>
      <c r="F6">
        <f>SUMIFS(tblComponents[Planned_Production_or_Procurement],tblComponents[Assigned_Machine],A6,tblComponents[Sourcing_Type],"Make")</f>
        <v>82527</v>
      </c>
      <c r="G6">
        <f>SUMPRODUCT((tblComponents[Assigned_Machine]=A6)*(tblComponents[Sourcing_Type]="Make")*tblComponents[Planned_Production_or_Procurement]*tblComponents[Actual_Cycle_Time_Min])/60</f>
        <v>4175.8908333333329</v>
      </c>
      <c r="H6">
        <f t="shared" si="1"/>
        <v>21.709166666666533</v>
      </c>
      <c r="I6">
        <f t="shared" si="2"/>
        <v>0.99482819547678036</v>
      </c>
      <c r="J6" t="str">
        <f t="shared" si="3"/>
        <v>High Utilization</v>
      </c>
      <c r="L6" s="7" t="s">
        <v>1705</v>
      </c>
      <c r="M6" s="7">
        <f>SUM(G:G)/SUM(E:E)</f>
        <v>1.0007003435680251</v>
      </c>
    </row>
    <row r="7" spans="1:16" x14ac:dyDescent="0.35">
      <c r="A7" s="12" t="str">
        <f>tblMachines[Machine_ID]</f>
        <v>M013</v>
      </c>
      <c r="B7" s="12">
        <f>tblMachines[Scheduled_Hours]</f>
        <v>4800</v>
      </c>
      <c r="C7">
        <f>tblMachines[Planned_Downtime_Hours]</f>
        <v>329.76</v>
      </c>
      <c r="D7">
        <f>tblMachines[Unplanned_Downtime_Hours]</f>
        <v>321.60000000000002</v>
      </c>
      <c r="E7">
        <f t="shared" si="0"/>
        <v>4148.6399999999994</v>
      </c>
      <c r="F7">
        <f>SUMIFS(tblComponents[Planned_Production_or_Procurement],tblComponents[Assigned_Machine],A7,tblComponents[Sourcing_Type],"Make")</f>
        <v>72853</v>
      </c>
      <c r="G7">
        <f>SUMPRODUCT((tblComponents[Assigned_Machine]=A7)*(tblComponents[Sourcing_Type]="Make")*tblComponents[Planned_Production_or_Procurement]*tblComponents[Actual_Cycle_Time_Min])/60</f>
        <v>4175.751666666667</v>
      </c>
      <c r="H7">
        <f t="shared" si="1"/>
        <v>-27.111666666667588</v>
      </c>
      <c r="I7">
        <f t="shared" si="2"/>
        <v>1.0065350733413041</v>
      </c>
      <c r="J7" t="str">
        <f t="shared" si="3"/>
        <v>Capacity Shortage</v>
      </c>
      <c r="L7" s="7" t="s">
        <v>1706</v>
      </c>
      <c r="M7" s="7">
        <f>COUNTIF(J:J,"Capacity Shortage")</f>
        <v>13</v>
      </c>
    </row>
    <row r="8" spans="1:16" x14ac:dyDescent="0.35">
      <c r="A8" s="12" t="str">
        <f>tblMachines[Machine_ID]</f>
        <v>M024</v>
      </c>
      <c r="B8" s="12">
        <f>tblMachines[Scheduled_Hours]</f>
        <v>4800</v>
      </c>
      <c r="C8">
        <f>tblMachines[Planned_Downtime_Hours]</f>
        <v>276.48</v>
      </c>
      <c r="D8">
        <f>tblMachines[Unplanned_Downtime_Hours]</f>
        <v>325.44</v>
      </c>
      <c r="E8">
        <f t="shared" si="0"/>
        <v>4198.0800000000008</v>
      </c>
      <c r="F8">
        <f>SUMIFS(tblComponents[Planned_Production_or_Procurement],tblComponents[Assigned_Machine],A8,tblComponents[Sourcing_Type],"Make")</f>
        <v>40531</v>
      </c>
      <c r="G8">
        <f>SUMPRODUCT((tblComponents[Assigned_Machine]=A8)*(tblComponents[Sourcing_Type]="Make")*tblComponents[Planned_Production_or_Procurement]*tblComponents[Actual_Cycle_Time_Min])/60</f>
        <v>4175.5265000000009</v>
      </c>
      <c r="H8">
        <f t="shared" si="1"/>
        <v>22.553499999999985</v>
      </c>
      <c r="I8">
        <f t="shared" si="2"/>
        <v>0.9946276631221892</v>
      </c>
      <c r="J8" t="str">
        <f t="shared" si="3"/>
        <v>High Utilization</v>
      </c>
      <c r="L8" s="7" t="s">
        <v>1707</v>
      </c>
      <c r="M8" s="7">
        <f>COUNTIF(J:J,"High Utilization")</f>
        <v>12</v>
      </c>
    </row>
    <row r="9" spans="1:16" x14ac:dyDescent="0.35">
      <c r="A9" s="12" t="str">
        <f>tblMachines[Machine_ID]</f>
        <v>M004</v>
      </c>
      <c r="B9" s="12">
        <f>tblMachines[Scheduled_Hours]</f>
        <v>4800</v>
      </c>
      <c r="C9">
        <f>tblMachines[Planned_Downtime_Hours]</f>
        <v>431.52</v>
      </c>
      <c r="D9">
        <f>tblMachines[Unplanned_Downtime_Hours]</f>
        <v>289.44</v>
      </c>
      <c r="E9">
        <f t="shared" si="0"/>
        <v>4079.0399999999995</v>
      </c>
      <c r="F9">
        <f>SUMIFS(tblComponents[Planned_Production_or_Procurement],tblComponents[Assigned_Machine],A9,tblComponents[Sourcing_Type],"Make")</f>
        <v>34414</v>
      </c>
      <c r="G9">
        <f>SUMPRODUCT((tblComponents[Assigned_Machine]=A9)*(tblComponents[Sourcing_Type]="Make")*tblComponents[Planned_Production_or_Procurement]*tblComponents[Actual_Cycle_Time_Min])/60</f>
        <v>4174.7338333333337</v>
      </c>
      <c r="H9">
        <f t="shared" si="1"/>
        <v>-95.693833333334169</v>
      </c>
      <c r="I9">
        <f t="shared" si="2"/>
        <v>1.0234598908893597</v>
      </c>
      <c r="J9" t="str">
        <f t="shared" si="3"/>
        <v>Capacity Shortage</v>
      </c>
      <c r="L9" s="7" t="s">
        <v>1708</v>
      </c>
      <c r="M9" s="7">
        <f>COUNTIF(J:J,"Available Capacity")</f>
        <v>0</v>
      </c>
    </row>
    <row r="10" spans="1:16" x14ac:dyDescent="0.35">
      <c r="A10" s="12" t="str">
        <f>tblMachines[Machine_ID]</f>
        <v>M011</v>
      </c>
      <c r="B10" s="12">
        <f>tblMachines[Scheduled_Hours]</f>
        <v>4800</v>
      </c>
      <c r="C10">
        <f>tblMachines[Planned_Downtime_Hours]</f>
        <v>409.92</v>
      </c>
      <c r="D10">
        <f>tblMachines[Unplanned_Downtime_Hours]</f>
        <v>183.84</v>
      </c>
      <c r="E10">
        <f t="shared" si="0"/>
        <v>4206.24</v>
      </c>
      <c r="F10">
        <f>SUMIFS(tblComponents[Planned_Production_or_Procurement],tblComponents[Assigned_Machine],A10,tblComponents[Sourcing_Type],"Make")</f>
        <v>62905</v>
      </c>
      <c r="G10">
        <f>SUMPRODUCT((tblComponents[Assigned_Machine]=A10)*(tblComponents[Sourcing_Type]="Make")*tblComponents[Planned_Production_or_Procurement]*tblComponents[Actual_Cycle_Time_Min])/60</f>
        <v>4175.7129999999997</v>
      </c>
      <c r="H10">
        <f t="shared" si="1"/>
        <v>30.527000000000044</v>
      </c>
      <c r="I10">
        <f t="shared" si="2"/>
        <v>0.99274244931340105</v>
      </c>
      <c r="J10" t="str">
        <f t="shared" si="3"/>
        <v>High Utilization</v>
      </c>
    </row>
    <row r="11" spans="1:16" x14ac:dyDescent="0.35">
      <c r="A11" s="12" t="str">
        <f>tblMachines[Machine_ID]</f>
        <v>M016</v>
      </c>
      <c r="B11" s="12">
        <f>tblMachines[Scheduled_Hours]</f>
        <v>4800</v>
      </c>
      <c r="C11">
        <f>tblMachines[Planned_Downtime_Hours]</f>
        <v>285.60000000000002</v>
      </c>
      <c r="D11">
        <f>tblMachines[Unplanned_Downtime_Hours]</f>
        <v>335.52</v>
      </c>
      <c r="E11">
        <f t="shared" si="0"/>
        <v>4178.8799999999992</v>
      </c>
      <c r="F11">
        <f>SUMIFS(tblComponents[Planned_Production_or_Procurement],tblComponents[Assigned_Machine],A11,tblComponents[Sourcing_Type],"Make")</f>
        <v>17326</v>
      </c>
      <c r="G11">
        <f>SUMPRODUCT((tblComponents[Assigned_Machine]=A11)*(tblComponents[Sourcing_Type]="Make")*tblComponents[Planned_Production_or_Procurement]*tblComponents[Actual_Cycle_Time_Min])/60</f>
        <v>4174.2214999999997</v>
      </c>
      <c r="H11">
        <f t="shared" si="1"/>
        <v>4.6584999999995489</v>
      </c>
      <c r="I11">
        <f t="shared" si="2"/>
        <v>0.99888522762079801</v>
      </c>
      <c r="J11" t="str">
        <f t="shared" si="3"/>
        <v>High Utilization</v>
      </c>
    </row>
    <row r="12" spans="1:16" x14ac:dyDescent="0.35">
      <c r="A12" s="12" t="str">
        <f>tblMachines[Machine_ID]</f>
        <v>M001</v>
      </c>
      <c r="B12" s="12">
        <f>tblMachines[Scheduled_Hours]</f>
        <v>4800</v>
      </c>
      <c r="C12">
        <f>tblMachines[Planned_Downtime_Hours]</f>
        <v>327.84</v>
      </c>
      <c r="D12">
        <f>tblMachines[Unplanned_Downtime_Hours]</f>
        <v>316.8</v>
      </c>
      <c r="E12">
        <f t="shared" si="0"/>
        <v>4155.3599999999997</v>
      </c>
      <c r="F12">
        <f>SUMIFS(tblComponents[Planned_Production_or_Procurement],tblComponents[Assigned_Machine],A12,tblComponents[Sourcing_Type],"Make")</f>
        <v>28414</v>
      </c>
      <c r="G12">
        <f>SUMPRODUCT((tblComponents[Assigned_Machine]=A12)*(tblComponents[Sourcing_Type]="Make")*tblComponents[Planned_Production_or_Procurement]*tblComponents[Actual_Cycle_Time_Min])/60</f>
        <v>4174.7963333333337</v>
      </c>
      <c r="H12">
        <f t="shared" si="1"/>
        <v>-19.436333333334005</v>
      </c>
      <c r="I12">
        <f t="shared" si="2"/>
        <v>1.0046774126269045</v>
      </c>
      <c r="J12" t="str">
        <f t="shared" si="3"/>
        <v>Capacity Shortage</v>
      </c>
    </row>
    <row r="13" spans="1:16" x14ac:dyDescent="0.35">
      <c r="A13" s="12" t="str">
        <f>tblMachines[Machine_ID]</f>
        <v>M022</v>
      </c>
      <c r="B13" s="12">
        <f>tblMachines[Scheduled_Hours]</f>
        <v>4800</v>
      </c>
      <c r="C13">
        <f>tblMachines[Planned_Downtime_Hours]</f>
        <v>265.44</v>
      </c>
      <c r="D13">
        <f>tblMachines[Unplanned_Downtime_Hours]</f>
        <v>164.64</v>
      </c>
      <c r="E13">
        <f t="shared" si="0"/>
        <v>4369.92</v>
      </c>
      <c r="F13">
        <f>SUMIFS(tblComponents[Planned_Production_or_Procurement],tblComponents[Assigned_Machine],A13,tblComponents[Sourcing_Type],"Make")</f>
        <v>54748</v>
      </c>
      <c r="G13">
        <f>SUMPRODUCT((tblComponents[Assigned_Machine]=A13)*(tblComponents[Sourcing_Type]="Make")*tblComponents[Planned_Production_or_Procurement]*tblComponents[Actual_Cycle_Time_Min])/60</f>
        <v>4175.3734999999997</v>
      </c>
      <c r="H13">
        <f t="shared" si="1"/>
        <v>194.54650000000038</v>
      </c>
      <c r="I13">
        <f t="shared" si="2"/>
        <v>0.95548053511277087</v>
      </c>
      <c r="J13" t="str">
        <f t="shared" si="3"/>
        <v>High Utilization</v>
      </c>
    </row>
    <row r="14" spans="1:16" x14ac:dyDescent="0.35">
      <c r="A14" s="12" t="str">
        <f>tblMachines[Machine_ID]</f>
        <v>M017</v>
      </c>
      <c r="B14" s="12">
        <f>tblMachines[Scheduled_Hours]</f>
        <v>4800</v>
      </c>
      <c r="C14">
        <f>tblMachines[Planned_Downtime_Hours]</f>
        <v>390.72</v>
      </c>
      <c r="D14">
        <f>tblMachines[Unplanned_Downtime_Hours]</f>
        <v>255.36</v>
      </c>
      <c r="E14">
        <f t="shared" si="0"/>
        <v>4153.92</v>
      </c>
      <c r="F14">
        <f>SUMIFS(tblComponents[Planned_Production_or_Procurement],tblComponents[Assigned_Machine],A14,tblComponents[Sourcing_Type],"Make")</f>
        <v>28002</v>
      </c>
      <c r="G14">
        <f>SUMPRODUCT((tblComponents[Assigned_Machine]=A14)*(tblComponents[Sourcing_Type]="Make")*tblComponents[Planned_Production_or_Procurement]*tblComponents[Actual_Cycle_Time_Min])/60</f>
        <v>4174.9915000000001</v>
      </c>
      <c r="H14">
        <f t="shared" si="1"/>
        <v>-21.071500000000015</v>
      </c>
      <c r="I14">
        <f t="shared" si="2"/>
        <v>1.0050726783375703</v>
      </c>
      <c r="J14" t="str">
        <f t="shared" si="3"/>
        <v>Capacity Shortage</v>
      </c>
    </row>
    <row r="15" spans="1:16" x14ac:dyDescent="0.35">
      <c r="A15" s="12" t="str">
        <f>tblMachines[Machine_ID]</f>
        <v>M023</v>
      </c>
      <c r="B15" s="12">
        <f>tblMachines[Scheduled_Hours]</f>
        <v>4800</v>
      </c>
      <c r="C15">
        <f>tblMachines[Planned_Downtime_Hours]</f>
        <v>269.27999999999997</v>
      </c>
      <c r="D15">
        <f>tblMachines[Unplanned_Downtime_Hours]</f>
        <v>185.76</v>
      </c>
      <c r="E15">
        <f t="shared" si="0"/>
        <v>4344.96</v>
      </c>
      <c r="F15">
        <f>SUMIFS(tblComponents[Planned_Production_or_Procurement],tblComponents[Assigned_Machine],A15,tblComponents[Sourcing_Type],"Make")</f>
        <v>42128</v>
      </c>
      <c r="G15">
        <f>SUMPRODUCT((tblComponents[Assigned_Machine]=A15)*(tblComponents[Sourcing_Type]="Make")*tblComponents[Planned_Production_or_Procurement]*tblComponents[Actual_Cycle_Time_Min])/60</f>
        <v>4175.6196666666665</v>
      </c>
      <c r="H15">
        <f t="shared" si="1"/>
        <v>169.34033333333355</v>
      </c>
      <c r="I15">
        <f t="shared" si="2"/>
        <v>0.9610260316934256</v>
      </c>
      <c r="J15" t="str">
        <f t="shared" si="3"/>
        <v>High Utilization</v>
      </c>
    </row>
    <row r="16" spans="1:16" x14ac:dyDescent="0.35">
      <c r="A16" s="12" t="str">
        <f>tblMachines[Machine_ID]</f>
        <v>M005</v>
      </c>
      <c r="B16" s="12">
        <f>tblMachines[Scheduled_Hours]</f>
        <v>4800</v>
      </c>
      <c r="C16">
        <f>tblMachines[Planned_Downtime_Hours]</f>
        <v>476.64</v>
      </c>
      <c r="D16">
        <f>tblMachines[Unplanned_Downtime_Hours]</f>
        <v>225.12</v>
      </c>
      <c r="E16">
        <f t="shared" si="0"/>
        <v>4098.24</v>
      </c>
      <c r="F16">
        <f>SUMIFS(tblComponents[Planned_Production_or_Procurement],tblComponents[Assigned_Machine],A16,tblComponents[Sourcing_Type],"Make")</f>
        <v>30892</v>
      </c>
      <c r="G16">
        <f>SUMPRODUCT((tblComponents[Assigned_Machine]=A16)*(tblComponents[Sourcing_Type]="Make")*tblComponents[Planned_Production_or_Procurement]*tblComponents[Actual_Cycle_Time_Min])/60</f>
        <v>4174.9475000000002</v>
      </c>
      <c r="H16">
        <f t="shared" si="1"/>
        <v>-76.707500000000437</v>
      </c>
      <c r="I16">
        <f t="shared" si="2"/>
        <v>1.0187171810338098</v>
      </c>
      <c r="J16" t="str">
        <f t="shared" si="3"/>
        <v>Capacity Shortage</v>
      </c>
    </row>
    <row r="17" spans="1:16" x14ac:dyDescent="0.35">
      <c r="A17" s="12" t="str">
        <f>tblMachines[Machine_ID]</f>
        <v>M007</v>
      </c>
      <c r="B17" s="12">
        <f>tblMachines[Scheduled_Hours]</f>
        <v>4800</v>
      </c>
      <c r="C17">
        <f>tblMachines[Planned_Downtime_Hours]</f>
        <v>427.2</v>
      </c>
      <c r="D17">
        <f>tblMachines[Unplanned_Downtime_Hours]</f>
        <v>148.32</v>
      </c>
      <c r="E17">
        <f t="shared" si="0"/>
        <v>4224.4800000000005</v>
      </c>
      <c r="F17">
        <f>SUMIFS(tblComponents[Planned_Production_or_Procurement],tblComponents[Assigned_Machine],A17,tblComponents[Sourcing_Type],"Make")</f>
        <v>95025</v>
      </c>
      <c r="G17">
        <f>SUMPRODUCT((tblComponents[Assigned_Machine]=A17)*(tblComponents[Sourcing_Type]="Make")*tblComponents[Planned_Production_or_Procurement]*tblComponents[Actual_Cycle_Time_Min])/60</f>
        <v>4175.734833333333</v>
      </c>
      <c r="H17">
        <f t="shared" si="1"/>
        <v>48.745166666667501</v>
      </c>
      <c r="I17">
        <f t="shared" si="2"/>
        <v>0.98846126229342601</v>
      </c>
      <c r="J17" t="str">
        <f t="shared" si="3"/>
        <v>High Utilization</v>
      </c>
    </row>
    <row r="18" spans="1:16" x14ac:dyDescent="0.35">
      <c r="A18" s="12" t="str">
        <f>tblMachines[Machine_ID]</f>
        <v>M010</v>
      </c>
      <c r="B18" s="12">
        <f>tblMachines[Scheduled_Hours]</f>
        <v>4800</v>
      </c>
      <c r="C18">
        <f>tblMachines[Planned_Downtime_Hours]</f>
        <v>333.6</v>
      </c>
      <c r="D18">
        <f>tblMachines[Unplanned_Downtime_Hours]</f>
        <v>240</v>
      </c>
      <c r="E18">
        <f t="shared" si="0"/>
        <v>4226.3999999999996</v>
      </c>
      <c r="F18">
        <f>SUMIFS(tblComponents[Planned_Production_or_Procurement],tblComponents[Assigned_Machine],A18,tblComponents[Sourcing_Type],"Make")</f>
        <v>98197</v>
      </c>
      <c r="G18">
        <f>SUMPRODUCT((tblComponents[Assigned_Machine]=A18)*(tblComponents[Sourcing_Type]="Make")*tblComponents[Planned_Production_or_Procurement]*tblComponents[Actual_Cycle_Time_Min])/60</f>
        <v>4175.8618333333334</v>
      </c>
      <c r="H18">
        <f t="shared" si="1"/>
        <v>50.538166666666257</v>
      </c>
      <c r="I18">
        <f t="shared" si="2"/>
        <v>0.98804226607356938</v>
      </c>
      <c r="J18" t="str">
        <f t="shared" si="3"/>
        <v>High Utilization</v>
      </c>
    </row>
    <row r="19" spans="1:16" x14ac:dyDescent="0.35">
      <c r="A19" s="12" t="str">
        <f>tblMachines[Machine_ID]</f>
        <v>M018</v>
      </c>
      <c r="B19" s="12">
        <f>tblMachines[Scheduled_Hours]</f>
        <v>4800</v>
      </c>
      <c r="C19">
        <f>tblMachines[Planned_Downtime_Hours]</f>
        <v>378.72</v>
      </c>
      <c r="D19">
        <f>tblMachines[Unplanned_Downtime_Hours]</f>
        <v>276</v>
      </c>
      <c r="E19">
        <f t="shared" si="0"/>
        <v>4145.28</v>
      </c>
      <c r="F19">
        <f>SUMIFS(tblComponents[Planned_Production_or_Procurement],tblComponents[Assigned_Machine],A19,tblComponents[Sourcing_Type],"Make")</f>
        <v>28059</v>
      </c>
      <c r="G19">
        <f>SUMPRODUCT((tblComponents[Assigned_Machine]=A19)*(tblComponents[Sourcing_Type]="Make")*tblComponents[Planned_Production_or_Procurement]*tblComponents[Actual_Cycle_Time_Min])/60</f>
        <v>4175.2153333333326</v>
      </c>
      <c r="H19">
        <f t="shared" si="1"/>
        <v>-29.935333333332892</v>
      </c>
      <c r="I19">
        <f t="shared" si="2"/>
        <v>1.0072215467551848</v>
      </c>
      <c r="J19" t="str">
        <f t="shared" si="3"/>
        <v>Capacity Shortage</v>
      </c>
    </row>
    <row r="20" spans="1:16" x14ac:dyDescent="0.35">
      <c r="A20" s="12" t="str">
        <f>tblMachines[Machine_ID]</f>
        <v>M006</v>
      </c>
      <c r="B20" s="12">
        <f>tblMachines[Scheduled_Hours]</f>
        <v>4800</v>
      </c>
      <c r="C20">
        <f>tblMachines[Planned_Downtime_Hours]</f>
        <v>458.88</v>
      </c>
      <c r="D20">
        <f>tblMachines[Unplanned_Downtime_Hours]</f>
        <v>292.8</v>
      </c>
      <c r="E20">
        <f t="shared" si="0"/>
        <v>4048.3199999999997</v>
      </c>
      <c r="F20">
        <f>SUMIFS(tblComponents[Planned_Production_or_Procurement],tblComponents[Assigned_Machine],A20,tblComponents[Sourcing_Type],"Make")</f>
        <v>29082</v>
      </c>
      <c r="G20">
        <f>SUMPRODUCT((tblComponents[Assigned_Machine]=A20)*(tblComponents[Sourcing_Type]="Make")*tblComponents[Planned_Production_or_Procurement]*tblComponents[Actual_Cycle_Time_Min])/60</f>
        <v>4174.148000000001</v>
      </c>
      <c r="H20">
        <f t="shared" si="1"/>
        <v>-125.82800000000134</v>
      </c>
      <c r="I20">
        <f t="shared" si="2"/>
        <v>1.0310815350565177</v>
      </c>
      <c r="J20" t="str">
        <f t="shared" si="3"/>
        <v>Capacity Shortage</v>
      </c>
    </row>
    <row r="21" spans="1:16" x14ac:dyDescent="0.35">
      <c r="A21" s="12" t="str">
        <f>tblMachines[Machine_ID]</f>
        <v>M021</v>
      </c>
      <c r="B21" s="12">
        <f>tblMachines[Scheduled_Hours]</f>
        <v>4800</v>
      </c>
      <c r="C21">
        <f>tblMachines[Planned_Downtime_Hours]</f>
        <v>372.96</v>
      </c>
      <c r="D21">
        <f>tblMachines[Unplanned_Downtime_Hours]</f>
        <v>303.36</v>
      </c>
      <c r="E21">
        <f t="shared" si="0"/>
        <v>4123.68</v>
      </c>
      <c r="F21">
        <f>SUMIFS(tblComponents[Planned_Production_or_Procurement],tblComponents[Assigned_Machine],A21,tblComponents[Sourcing_Type],"Make")</f>
        <v>39735</v>
      </c>
      <c r="G21">
        <f>SUMPRODUCT((tblComponents[Assigned_Machine]=A21)*(tblComponents[Sourcing_Type]="Make")*tblComponents[Planned_Production_or_Procurement]*tblComponents[Actual_Cycle_Time_Min])/60</f>
        <v>4175.1948333333321</v>
      </c>
      <c r="H21">
        <f t="shared" si="1"/>
        <v>-51.514833333331808</v>
      </c>
      <c r="I21">
        <f t="shared" si="2"/>
        <v>1.0124924420258923</v>
      </c>
      <c r="J21" t="str">
        <f t="shared" si="3"/>
        <v>Capacity Shortage</v>
      </c>
    </row>
    <row r="22" spans="1:16" x14ac:dyDescent="0.35">
      <c r="A22" s="12" t="str">
        <f>tblMachines[Machine_ID]</f>
        <v>M003</v>
      </c>
      <c r="B22" s="12">
        <f>tblMachines[Scheduled_Hours]</f>
        <v>4800</v>
      </c>
      <c r="C22">
        <f>tblMachines[Planned_Downtime_Hours]</f>
        <v>281.76</v>
      </c>
      <c r="D22">
        <f>tblMachines[Unplanned_Downtime_Hours]</f>
        <v>344.64</v>
      </c>
      <c r="E22">
        <f t="shared" si="0"/>
        <v>4173.5999999999995</v>
      </c>
      <c r="F22">
        <f>SUMIFS(tblComponents[Planned_Production_or_Procurement],tblComponents[Assigned_Machine],A22,tblComponents[Sourcing_Type],"Make")</f>
        <v>34900</v>
      </c>
      <c r="G22">
        <f>SUMPRODUCT((tblComponents[Assigned_Machine]=A22)*(tblComponents[Sourcing_Type]="Make")*tblComponents[Planned_Production_or_Procurement]*tblComponents[Actual_Cycle_Time_Min])/60</f>
        <v>4174.929000000001</v>
      </c>
      <c r="H22">
        <f t="shared" si="1"/>
        <v>-1.3290000000015425</v>
      </c>
      <c r="I22">
        <f t="shared" si="2"/>
        <v>1.0003184301322603</v>
      </c>
      <c r="J22" t="str">
        <f t="shared" si="3"/>
        <v>Capacity Shortage</v>
      </c>
      <c r="O22" t="s">
        <v>1686</v>
      </c>
      <c r="P22" s="1" t="s">
        <v>1709</v>
      </c>
    </row>
    <row r="23" spans="1:16" x14ac:dyDescent="0.35">
      <c r="A23" s="12" t="str">
        <f>tblMachines[Machine_ID]</f>
        <v>M025</v>
      </c>
      <c r="B23" s="12">
        <f>tblMachines[Scheduled_Hours]</f>
        <v>4800</v>
      </c>
      <c r="C23">
        <f>tblMachines[Planned_Downtime_Hours]</f>
        <v>330.72</v>
      </c>
      <c r="D23">
        <f>tblMachines[Unplanned_Downtime_Hours]</f>
        <v>195.84</v>
      </c>
      <c r="E23">
        <f t="shared" si="0"/>
        <v>4273.4399999999996</v>
      </c>
      <c r="F23">
        <f>SUMIFS(tblComponents[Planned_Production_or_Procurement],tblComponents[Assigned_Machine],A23,tblComponents[Sourcing_Type],"Make")</f>
        <v>70225</v>
      </c>
      <c r="G23">
        <f>SUMPRODUCT((tblComponents[Assigned_Machine]=A23)*(tblComponents[Sourcing_Type]="Make")*tblComponents[Planned_Production_or_Procurement]*tblComponents[Actual_Cycle_Time_Min])/60</f>
        <v>4175.7816666666668</v>
      </c>
      <c r="H23">
        <f t="shared" si="1"/>
        <v>97.658333333332848</v>
      </c>
      <c r="I23">
        <f t="shared" si="2"/>
        <v>0.97714760629999886</v>
      </c>
      <c r="J23" t="str">
        <f t="shared" si="3"/>
        <v>High Utilization</v>
      </c>
    </row>
    <row r="24" spans="1:16" x14ac:dyDescent="0.35">
      <c r="A24" s="12" t="str">
        <f>tblMachines[Machine_ID]</f>
        <v>M015</v>
      </c>
      <c r="B24" s="12">
        <f>tblMachines[Scheduled_Hours]</f>
        <v>4800</v>
      </c>
      <c r="C24">
        <f>tblMachines[Planned_Downtime_Hours]</f>
        <v>442.56</v>
      </c>
      <c r="D24">
        <f>tblMachines[Unplanned_Downtime_Hours]</f>
        <v>172.8</v>
      </c>
      <c r="E24">
        <f t="shared" si="0"/>
        <v>4184.6399999999994</v>
      </c>
      <c r="F24">
        <f>SUMIFS(tblComponents[Planned_Production_or_Procurement],tblComponents[Assigned_Machine],A24,tblComponents[Sourcing_Type],"Make")</f>
        <v>28115</v>
      </c>
      <c r="G24">
        <f>SUMPRODUCT((tblComponents[Assigned_Machine]=A24)*(tblComponents[Sourcing_Type]="Make")*tblComponents[Planned_Production_or_Procurement]*tblComponents[Actual_Cycle_Time_Min])/60</f>
        <v>4175.3556666666673</v>
      </c>
      <c r="H24">
        <f t="shared" si="1"/>
        <v>9.2843333333321425</v>
      </c>
      <c r="I24">
        <f t="shared" si="2"/>
        <v>0.99778133045295836</v>
      </c>
      <c r="J24" t="str">
        <f t="shared" si="3"/>
        <v>High Utilization</v>
      </c>
    </row>
    <row r="25" spans="1:16" x14ac:dyDescent="0.35">
      <c r="A25" s="12" t="str">
        <f>tblMachines[Machine_ID]</f>
        <v>M019</v>
      </c>
      <c r="B25" s="12">
        <f>tblMachines[Scheduled_Hours]</f>
        <v>4800</v>
      </c>
      <c r="C25">
        <f>tblMachines[Planned_Downtime_Hours]</f>
        <v>394.56</v>
      </c>
      <c r="D25">
        <f>tblMachines[Unplanned_Downtime_Hours]</f>
        <v>348.48</v>
      </c>
      <c r="E25">
        <f t="shared" si="0"/>
        <v>4056.9599999999996</v>
      </c>
      <c r="F25">
        <f>SUMIFS(tblComponents[Planned_Production_or_Procurement],tblComponents[Assigned_Machine],A25,tblComponents[Sourcing_Type],"Make")</f>
        <v>45499</v>
      </c>
      <c r="G25">
        <f>SUMPRODUCT((tblComponents[Assigned_Machine]=A25)*(tblComponents[Sourcing_Type]="Make")*tblComponents[Planned_Production_or_Procurement]*tblComponents[Actual_Cycle_Time_Min])/60</f>
        <v>4175.5071666666663</v>
      </c>
      <c r="H25">
        <f t="shared" si="1"/>
        <v>-118.54716666666673</v>
      </c>
      <c r="I25">
        <f t="shared" si="2"/>
        <v>1.0292206890545301</v>
      </c>
      <c r="J25" t="str">
        <f t="shared" si="3"/>
        <v>Capacity Shortage</v>
      </c>
    </row>
    <row r="26" spans="1:16" x14ac:dyDescent="0.35">
      <c r="A26" s="12" t="str">
        <f>tblMachines[Machine_ID]</f>
        <v>M012</v>
      </c>
      <c r="B26" s="12">
        <f>tblMachines[Scheduled_Hours]</f>
        <v>4800</v>
      </c>
      <c r="C26">
        <f>tblMachines[Planned_Downtime_Hours]</f>
        <v>396</v>
      </c>
      <c r="D26">
        <f>tblMachines[Unplanned_Downtime_Hours]</f>
        <v>181.44</v>
      </c>
      <c r="E26">
        <f t="shared" si="0"/>
        <v>4222.5600000000004</v>
      </c>
      <c r="F26">
        <f>SUMIFS(tblComponents[Planned_Production_or_Procurement],tblComponents[Assigned_Machine],A26,tblComponents[Sourcing_Type],"Make")</f>
        <v>45161</v>
      </c>
      <c r="G26">
        <f>SUMPRODUCT((tblComponents[Assigned_Machine]=A26)*(tblComponents[Sourcing_Type]="Make")*tblComponents[Planned_Production_or_Procurement]*tblComponents[Actual_Cycle_Time_Min])/60</f>
        <v>4175.9561666666668</v>
      </c>
      <c r="H26">
        <f t="shared" si="1"/>
        <v>46.603833333333569</v>
      </c>
      <c r="I26">
        <f t="shared" si="2"/>
        <v>0.988963132949364</v>
      </c>
      <c r="J26" t="str">
        <f t="shared" si="3"/>
        <v>High Utilization</v>
      </c>
    </row>
    <row r="27" spans="1:16" x14ac:dyDescent="0.35">
      <c r="A27" s="12"/>
    </row>
    <row r="28" spans="1:16" x14ac:dyDescent="0.35">
      <c r="A28" s="12"/>
    </row>
    <row r="29" spans="1:16" x14ac:dyDescent="0.35">
      <c r="A29" s="12"/>
    </row>
    <row r="30" spans="1:16" x14ac:dyDescent="0.35">
      <c r="A30" s="12"/>
    </row>
    <row r="31" spans="1:16" x14ac:dyDescent="0.35">
      <c r="A31" s="12"/>
    </row>
    <row r="32" spans="1:16" x14ac:dyDescent="0.35">
      <c r="A32" s="12"/>
    </row>
    <row r="33" spans="1:1" x14ac:dyDescent="0.35">
      <c r="A33" s="12"/>
    </row>
    <row r="34" spans="1:1" x14ac:dyDescent="0.35">
      <c r="A34" s="12"/>
    </row>
    <row r="35" spans="1:1" x14ac:dyDescent="0.35">
      <c r="A35" s="12"/>
    </row>
    <row r="36" spans="1:1" x14ac:dyDescent="0.35">
      <c r="A36" s="12"/>
    </row>
    <row r="37" spans="1:1" x14ac:dyDescent="0.35">
      <c r="A37" s="12"/>
    </row>
    <row r="38" spans="1:1" x14ac:dyDescent="0.35">
      <c r="A38" s="12"/>
    </row>
    <row r="39" spans="1:1" x14ac:dyDescent="0.35">
      <c r="A39" s="12"/>
    </row>
    <row r="40" spans="1:1" x14ac:dyDescent="0.35">
      <c r="A40" s="12"/>
    </row>
    <row r="41" spans="1:1" x14ac:dyDescent="0.35">
      <c r="A41" s="12"/>
    </row>
    <row r="42" spans="1:1" x14ac:dyDescent="0.35">
      <c r="A42" s="12"/>
    </row>
    <row r="43" spans="1:1" x14ac:dyDescent="0.35">
      <c r="A43" s="12"/>
    </row>
    <row r="44" spans="1:1" x14ac:dyDescent="0.35">
      <c r="A44" s="12"/>
    </row>
    <row r="45" spans="1:1" x14ac:dyDescent="0.35">
      <c r="A45" s="12"/>
    </row>
    <row r="46" spans="1:1" x14ac:dyDescent="0.35">
      <c r="A46" s="12"/>
    </row>
    <row r="47" spans="1:1" x14ac:dyDescent="0.35">
      <c r="A47" s="12"/>
    </row>
    <row r="48" spans="1:1" x14ac:dyDescent="0.35">
      <c r="A48" s="12"/>
    </row>
    <row r="49" spans="1:1" x14ac:dyDescent="0.35">
      <c r="A49" s="12"/>
    </row>
    <row r="50" spans="1:1" x14ac:dyDescent="0.35">
      <c r="A50" s="12"/>
    </row>
    <row r="51" spans="1:1" x14ac:dyDescent="0.35">
      <c r="A51" s="12"/>
    </row>
    <row r="52" spans="1:1" x14ac:dyDescent="0.35">
      <c r="A52" s="12"/>
    </row>
    <row r="53" spans="1:1" x14ac:dyDescent="0.35">
      <c r="A53" s="12"/>
    </row>
    <row r="54" spans="1:1" x14ac:dyDescent="0.35">
      <c r="A54" s="12"/>
    </row>
    <row r="55" spans="1:1" x14ac:dyDescent="0.35">
      <c r="A55" s="12"/>
    </row>
    <row r="56" spans="1:1" x14ac:dyDescent="0.35">
      <c r="A56" s="12"/>
    </row>
    <row r="57" spans="1:1" x14ac:dyDescent="0.35">
      <c r="A57" s="12"/>
    </row>
    <row r="58" spans="1:1" x14ac:dyDescent="0.35">
      <c r="A58" s="12"/>
    </row>
    <row r="59" spans="1:1" x14ac:dyDescent="0.35">
      <c r="A59" s="12"/>
    </row>
    <row r="60" spans="1:1" x14ac:dyDescent="0.35">
      <c r="A60" s="12"/>
    </row>
    <row r="61" spans="1:1" x14ac:dyDescent="0.35">
      <c r="A61" s="12"/>
    </row>
    <row r="62" spans="1:1" x14ac:dyDescent="0.35">
      <c r="A62" s="12"/>
    </row>
    <row r="63" spans="1:1" x14ac:dyDescent="0.35">
      <c r="A63" s="12"/>
    </row>
    <row r="64" spans="1:1" x14ac:dyDescent="0.35">
      <c r="A64" s="12"/>
    </row>
    <row r="65" spans="1:1" x14ac:dyDescent="0.35">
      <c r="A65" s="12"/>
    </row>
    <row r="66" spans="1:1" x14ac:dyDescent="0.35">
      <c r="A66" s="12"/>
    </row>
    <row r="67" spans="1:1" x14ac:dyDescent="0.35">
      <c r="A67" s="12"/>
    </row>
    <row r="68" spans="1:1" x14ac:dyDescent="0.35">
      <c r="A68" s="12"/>
    </row>
    <row r="69" spans="1:1" x14ac:dyDescent="0.35">
      <c r="A69" s="12"/>
    </row>
    <row r="70" spans="1:1" x14ac:dyDescent="0.35">
      <c r="A70" s="12"/>
    </row>
    <row r="71" spans="1:1" x14ac:dyDescent="0.35">
      <c r="A71" s="12"/>
    </row>
    <row r="72" spans="1:1" x14ac:dyDescent="0.35">
      <c r="A72" s="12"/>
    </row>
    <row r="73" spans="1:1" x14ac:dyDescent="0.35">
      <c r="A73" s="12"/>
    </row>
    <row r="74" spans="1:1" x14ac:dyDescent="0.35">
      <c r="A74" s="12"/>
    </row>
    <row r="75" spans="1:1" x14ac:dyDescent="0.35">
      <c r="A75" s="12"/>
    </row>
    <row r="76" spans="1:1" x14ac:dyDescent="0.35">
      <c r="A76" s="12"/>
    </row>
    <row r="77" spans="1:1" x14ac:dyDescent="0.35">
      <c r="A77" s="12"/>
    </row>
    <row r="78" spans="1:1" x14ac:dyDescent="0.35">
      <c r="A78" s="12"/>
    </row>
    <row r="79" spans="1:1" x14ac:dyDescent="0.35">
      <c r="A79" s="12"/>
    </row>
    <row r="80" spans="1:1" x14ac:dyDescent="0.35">
      <c r="A80" s="12"/>
    </row>
    <row r="81" spans="1:1" x14ac:dyDescent="0.35">
      <c r="A81" s="12"/>
    </row>
    <row r="82" spans="1:1" x14ac:dyDescent="0.35">
      <c r="A82" s="12"/>
    </row>
    <row r="83" spans="1:1" x14ac:dyDescent="0.35">
      <c r="A83" s="12"/>
    </row>
    <row r="84" spans="1:1" x14ac:dyDescent="0.35">
      <c r="A84" s="12"/>
    </row>
    <row r="85" spans="1:1" x14ac:dyDescent="0.35">
      <c r="A85" s="12"/>
    </row>
    <row r="86" spans="1:1" x14ac:dyDescent="0.35">
      <c r="A86" s="12"/>
    </row>
    <row r="87" spans="1:1" x14ac:dyDescent="0.35">
      <c r="A87" s="12"/>
    </row>
    <row r="88" spans="1:1" x14ac:dyDescent="0.35">
      <c r="A88" s="12"/>
    </row>
    <row r="89" spans="1:1" x14ac:dyDescent="0.35">
      <c r="A89" s="12"/>
    </row>
    <row r="90" spans="1:1" x14ac:dyDescent="0.35">
      <c r="A90" s="12"/>
    </row>
    <row r="91" spans="1:1" x14ac:dyDescent="0.35">
      <c r="A91" s="12"/>
    </row>
    <row r="92" spans="1:1" x14ac:dyDescent="0.35">
      <c r="A92" s="12"/>
    </row>
    <row r="93" spans="1:1" x14ac:dyDescent="0.35">
      <c r="A93" s="12"/>
    </row>
    <row r="94" spans="1:1" x14ac:dyDescent="0.35">
      <c r="A94" s="12"/>
    </row>
    <row r="95" spans="1:1" x14ac:dyDescent="0.35">
      <c r="A95" s="12"/>
    </row>
    <row r="96" spans="1:1" x14ac:dyDescent="0.35">
      <c r="A96" s="12"/>
    </row>
    <row r="97" spans="1:1" x14ac:dyDescent="0.35">
      <c r="A97" s="12"/>
    </row>
    <row r="98" spans="1:1" x14ac:dyDescent="0.35">
      <c r="A98" s="12"/>
    </row>
    <row r="99" spans="1:1" x14ac:dyDescent="0.35">
      <c r="A99" s="12"/>
    </row>
    <row r="100" spans="1:1" x14ac:dyDescent="0.35">
      <c r="A100" s="12"/>
    </row>
    <row r="101" spans="1:1" x14ac:dyDescent="0.35">
      <c r="A101" s="12"/>
    </row>
    <row r="102" spans="1:1" x14ac:dyDescent="0.35">
      <c r="A102" s="12"/>
    </row>
    <row r="103" spans="1:1" x14ac:dyDescent="0.35">
      <c r="A103" s="12"/>
    </row>
    <row r="104" spans="1:1" x14ac:dyDescent="0.35">
      <c r="A104" s="12"/>
    </row>
    <row r="105" spans="1:1" x14ac:dyDescent="0.35">
      <c r="A105" s="12"/>
    </row>
    <row r="106" spans="1:1" x14ac:dyDescent="0.35">
      <c r="A106" s="12"/>
    </row>
    <row r="107" spans="1:1" x14ac:dyDescent="0.35">
      <c r="A107" s="12"/>
    </row>
    <row r="108" spans="1:1" x14ac:dyDescent="0.35">
      <c r="A108" s="12"/>
    </row>
    <row r="109" spans="1:1" x14ac:dyDescent="0.35">
      <c r="A109" s="12"/>
    </row>
    <row r="110" spans="1:1" x14ac:dyDescent="0.35">
      <c r="A110" s="12"/>
    </row>
    <row r="111" spans="1:1" x14ac:dyDescent="0.35">
      <c r="A111" s="12"/>
    </row>
    <row r="112" spans="1:1" x14ac:dyDescent="0.35">
      <c r="A112" s="12"/>
    </row>
    <row r="113" spans="1:1" x14ac:dyDescent="0.35">
      <c r="A113" s="12"/>
    </row>
    <row r="114" spans="1:1" x14ac:dyDescent="0.35">
      <c r="A114" s="12"/>
    </row>
    <row r="115" spans="1:1" x14ac:dyDescent="0.35">
      <c r="A115" s="12"/>
    </row>
    <row r="116" spans="1:1" x14ac:dyDescent="0.35">
      <c r="A116" s="12"/>
    </row>
    <row r="117" spans="1:1" x14ac:dyDescent="0.35">
      <c r="A117" s="12"/>
    </row>
    <row r="118" spans="1:1" x14ac:dyDescent="0.35">
      <c r="A118" s="12"/>
    </row>
    <row r="119" spans="1:1" x14ac:dyDescent="0.35">
      <c r="A119" s="12"/>
    </row>
    <row r="120" spans="1:1" x14ac:dyDescent="0.35">
      <c r="A120" s="12"/>
    </row>
    <row r="121" spans="1:1" x14ac:dyDescent="0.35">
      <c r="A121" s="12"/>
    </row>
    <row r="122" spans="1:1" x14ac:dyDescent="0.35">
      <c r="A122" s="12"/>
    </row>
    <row r="123" spans="1:1" x14ac:dyDescent="0.35">
      <c r="A123" s="12"/>
    </row>
    <row r="124" spans="1:1" x14ac:dyDescent="0.35">
      <c r="A124" s="12"/>
    </row>
    <row r="125" spans="1:1" x14ac:dyDescent="0.35">
      <c r="A125" s="12"/>
    </row>
    <row r="126" spans="1:1" x14ac:dyDescent="0.35">
      <c r="A126" s="12"/>
    </row>
    <row r="127" spans="1:1" x14ac:dyDescent="0.35">
      <c r="A127" s="12"/>
    </row>
    <row r="128" spans="1:1" x14ac:dyDescent="0.35">
      <c r="A128" s="12"/>
    </row>
    <row r="129" spans="1:1" x14ac:dyDescent="0.35">
      <c r="A129" s="12"/>
    </row>
    <row r="130" spans="1:1" x14ac:dyDescent="0.35">
      <c r="A130" s="12"/>
    </row>
    <row r="131" spans="1:1" x14ac:dyDescent="0.35">
      <c r="A131" s="12"/>
    </row>
    <row r="132" spans="1:1" x14ac:dyDescent="0.35">
      <c r="A132" s="12"/>
    </row>
    <row r="133" spans="1:1" x14ac:dyDescent="0.35">
      <c r="A133" s="12"/>
    </row>
    <row r="134" spans="1:1" x14ac:dyDescent="0.35">
      <c r="A134" s="12"/>
    </row>
    <row r="135" spans="1:1" x14ac:dyDescent="0.35">
      <c r="A135" s="12"/>
    </row>
    <row r="136" spans="1:1" x14ac:dyDescent="0.35">
      <c r="A136" s="12"/>
    </row>
    <row r="137" spans="1:1" x14ac:dyDescent="0.35">
      <c r="A137" s="12"/>
    </row>
    <row r="138" spans="1:1" x14ac:dyDescent="0.35">
      <c r="A138" s="12"/>
    </row>
    <row r="139" spans="1:1" x14ac:dyDescent="0.35">
      <c r="A139" s="12"/>
    </row>
    <row r="140" spans="1:1" x14ac:dyDescent="0.35">
      <c r="A140" s="12"/>
    </row>
    <row r="141" spans="1:1" x14ac:dyDescent="0.35">
      <c r="A141" s="12"/>
    </row>
    <row r="142" spans="1:1" x14ac:dyDescent="0.35">
      <c r="A142" s="12"/>
    </row>
    <row r="143" spans="1:1" x14ac:dyDescent="0.35">
      <c r="A143" s="12"/>
    </row>
    <row r="144" spans="1:1" x14ac:dyDescent="0.35">
      <c r="A144" s="12"/>
    </row>
    <row r="145" spans="1:1" x14ac:dyDescent="0.35">
      <c r="A145" s="12"/>
    </row>
    <row r="146" spans="1:1" x14ac:dyDescent="0.35">
      <c r="A146" s="12"/>
    </row>
    <row r="147" spans="1:1" x14ac:dyDescent="0.35">
      <c r="A147" s="12"/>
    </row>
    <row r="148" spans="1:1" x14ac:dyDescent="0.35">
      <c r="A148" s="12"/>
    </row>
    <row r="149" spans="1:1" x14ac:dyDescent="0.35">
      <c r="A149" s="12"/>
    </row>
    <row r="150" spans="1:1" x14ac:dyDescent="0.35">
      <c r="A150" s="12"/>
    </row>
    <row r="151" spans="1:1" x14ac:dyDescent="0.35">
      <c r="A151" s="12"/>
    </row>
    <row r="152" spans="1:1" x14ac:dyDescent="0.35">
      <c r="A152" s="12"/>
    </row>
    <row r="153" spans="1:1" x14ac:dyDescent="0.35">
      <c r="A153" s="12"/>
    </row>
    <row r="154" spans="1:1" x14ac:dyDescent="0.35">
      <c r="A154" s="12"/>
    </row>
    <row r="155" spans="1:1" x14ac:dyDescent="0.35">
      <c r="A155" s="12"/>
    </row>
    <row r="156" spans="1:1" x14ac:dyDescent="0.35">
      <c r="A156" s="12"/>
    </row>
    <row r="157" spans="1:1" x14ac:dyDescent="0.35">
      <c r="A157" s="12"/>
    </row>
    <row r="158" spans="1:1" x14ac:dyDescent="0.35">
      <c r="A158" s="12"/>
    </row>
    <row r="159" spans="1:1" x14ac:dyDescent="0.35">
      <c r="A159" s="12"/>
    </row>
    <row r="160" spans="1:1" x14ac:dyDescent="0.35">
      <c r="A160" s="12"/>
    </row>
    <row r="161" spans="1:1" x14ac:dyDescent="0.35">
      <c r="A161" s="12"/>
    </row>
    <row r="162" spans="1:1" x14ac:dyDescent="0.35">
      <c r="A162" s="12"/>
    </row>
    <row r="163" spans="1:1" x14ac:dyDescent="0.35">
      <c r="A163" s="12"/>
    </row>
    <row r="164" spans="1:1" x14ac:dyDescent="0.35">
      <c r="A164" s="12"/>
    </row>
    <row r="165" spans="1:1" x14ac:dyDescent="0.35">
      <c r="A165" s="12"/>
    </row>
    <row r="166" spans="1:1" x14ac:dyDescent="0.35">
      <c r="A166" s="12"/>
    </row>
    <row r="167" spans="1:1" x14ac:dyDescent="0.35">
      <c r="A167" s="12"/>
    </row>
    <row r="168" spans="1:1" x14ac:dyDescent="0.35">
      <c r="A168" s="12"/>
    </row>
    <row r="169" spans="1:1" x14ac:dyDescent="0.35">
      <c r="A169" s="12"/>
    </row>
    <row r="170" spans="1:1" x14ac:dyDescent="0.35">
      <c r="A170" s="12"/>
    </row>
    <row r="171" spans="1:1" x14ac:dyDescent="0.35">
      <c r="A171" s="12"/>
    </row>
    <row r="172" spans="1:1" x14ac:dyDescent="0.35">
      <c r="A172" s="12"/>
    </row>
    <row r="173" spans="1:1" x14ac:dyDescent="0.35">
      <c r="A173" s="12"/>
    </row>
    <row r="174" spans="1:1" x14ac:dyDescent="0.35">
      <c r="A174" s="12"/>
    </row>
    <row r="175" spans="1:1" x14ac:dyDescent="0.35">
      <c r="A175" s="12"/>
    </row>
    <row r="176" spans="1:1" x14ac:dyDescent="0.35">
      <c r="A176" s="12"/>
    </row>
    <row r="177" spans="1:1" x14ac:dyDescent="0.35">
      <c r="A177" s="12"/>
    </row>
    <row r="178" spans="1:1" x14ac:dyDescent="0.35">
      <c r="A178" s="12"/>
    </row>
    <row r="179" spans="1:1" x14ac:dyDescent="0.35">
      <c r="A179" s="12"/>
    </row>
    <row r="180" spans="1:1" x14ac:dyDescent="0.35">
      <c r="A180" s="12"/>
    </row>
    <row r="181" spans="1:1" x14ac:dyDescent="0.35">
      <c r="A181" s="12"/>
    </row>
    <row r="182" spans="1:1" x14ac:dyDescent="0.35">
      <c r="A182" s="12"/>
    </row>
    <row r="183" spans="1:1" x14ac:dyDescent="0.35">
      <c r="A183" s="12"/>
    </row>
    <row r="184" spans="1:1" x14ac:dyDescent="0.35">
      <c r="A184" s="12"/>
    </row>
    <row r="185" spans="1:1" x14ac:dyDescent="0.35">
      <c r="A185" s="12"/>
    </row>
    <row r="186" spans="1:1" x14ac:dyDescent="0.35">
      <c r="A186" s="12"/>
    </row>
    <row r="187" spans="1:1" x14ac:dyDescent="0.35">
      <c r="A187" s="12"/>
    </row>
    <row r="188" spans="1:1" x14ac:dyDescent="0.35">
      <c r="A188" s="12"/>
    </row>
    <row r="189" spans="1:1" x14ac:dyDescent="0.35">
      <c r="A189" s="12"/>
    </row>
    <row r="190" spans="1:1" x14ac:dyDescent="0.35">
      <c r="A190" s="12"/>
    </row>
    <row r="191" spans="1:1" x14ac:dyDescent="0.35">
      <c r="A191" s="12"/>
    </row>
    <row r="192" spans="1:1" x14ac:dyDescent="0.35">
      <c r="A192" s="12"/>
    </row>
    <row r="193" spans="1:1" x14ac:dyDescent="0.35">
      <c r="A193" s="12"/>
    </row>
    <row r="194" spans="1:1" x14ac:dyDescent="0.35">
      <c r="A194" s="12"/>
    </row>
    <row r="195" spans="1:1" x14ac:dyDescent="0.35">
      <c r="A195" s="12"/>
    </row>
    <row r="196" spans="1:1" x14ac:dyDescent="0.35">
      <c r="A196" s="12"/>
    </row>
    <row r="197" spans="1:1" x14ac:dyDescent="0.35">
      <c r="A197" s="12"/>
    </row>
    <row r="198" spans="1:1" x14ac:dyDescent="0.35">
      <c r="A198" s="12"/>
    </row>
    <row r="199" spans="1:1" x14ac:dyDescent="0.35">
      <c r="A199" s="12"/>
    </row>
    <row r="200" spans="1:1" x14ac:dyDescent="0.35">
      <c r="A200" s="12"/>
    </row>
    <row r="201" spans="1:1" x14ac:dyDescent="0.35">
      <c r="A201" s="12"/>
    </row>
    <row r="202" spans="1:1" x14ac:dyDescent="0.35">
      <c r="A202" s="12"/>
    </row>
    <row r="203" spans="1:1" x14ac:dyDescent="0.35">
      <c r="A203" s="12"/>
    </row>
    <row r="204" spans="1:1" x14ac:dyDescent="0.35">
      <c r="A204" s="12"/>
    </row>
    <row r="205" spans="1:1" x14ac:dyDescent="0.35">
      <c r="A205" s="12"/>
    </row>
    <row r="206" spans="1:1" x14ac:dyDescent="0.35">
      <c r="A206" s="12"/>
    </row>
    <row r="207" spans="1:1" x14ac:dyDescent="0.35">
      <c r="A207" s="12"/>
    </row>
    <row r="208" spans="1:1" x14ac:dyDescent="0.35">
      <c r="A208" s="12"/>
    </row>
    <row r="209" spans="1:1" x14ac:dyDescent="0.35">
      <c r="A209" s="12"/>
    </row>
    <row r="210" spans="1:1" x14ac:dyDescent="0.35">
      <c r="A210" s="12"/>
    </row>
    <row r="211" spans="1:1" x14ac:dyDescent="0.35">
      <c r="A211" s="12"/>
    </row>
    <row r="212" spans="1:1" x14ac:dyDescent="0.35">
      <c r="A212" s="12"/>
    </row>
    <row r="213" spans="1:1" x14ac:dyDescent="0.35">
      <c r="A213" s="12"/>
    </row>
    <row r="214" spans="1:1" x14ac:dyDescent="0.35">
      <c r="A214" s="12"/>
    </row>
    <row r="215" spans="1:1" x14ac:dyDescent="0.35">
      <c r="A215" s="12"/>
    </row>
    <row r="216" spans="1:1" x14ac:dyDescent="0.35">
      <c r="A216" s="12"/>
    </row>
    <row r="217" spans="1:1" x14ac:dyDescent="0.35">
      <c r="A217" s="12"/>
    </row>
    <row r="218" spans="1:1" x14ac:dyDescent="0.35">
      <c r="A218" s="12"/>
    </row>
    <row r="219" spans="1:1" x14ac:dyDescent="0.35">
      <c r="A219" s="12"/>
    </row>
    <row r="220" spans="1:1" x14ac:dyDescent="0.35">
      <c r="A220" s="12"/>
    </row>
    <row r="221" spans="1:1" x14ac:dyDescent="0.35">
      <c r="A221" s="12"/>
    </row>
    <row r="222" spans="1:1" x14ac:dyDescent="0.35">
      <c r="A222" s="12"/>
    </row>
    <row r="223" spans="1:1" x14ac:dyDescent="0.35">
      <c r="A223" s="12"/>
    </row>
    <row r="224" spans="1:1" x14ac:dyDescent="0.35">
      <c r="A224" s="12"/>
    </row>
    <row r="225" spans="1:1" x14ac:dyDescent="0.35">
      <c r="A225" s="12"/>
    </row>
    <row r="226" spans="1:1" x14ac:dyDescent="0.35">
      <c r="A226" s="12"/>
    </row>
    <row r="227" spans="1:1" x14ac:dyDescent="0.35">
      <c r="A227" s="12"/>
    </row>
    <row r="228" spans="1:1" x14ac:dyDescent="0.35">
      <c r="A228" s="12"/>
    </row>
    <row r="229" spans="1:1" x14ac:dyDescent="0.35">
      <c r="A229" s="12"/>
    </row>
    <row r="230" spans="1:1" x14ac:dyDescent="0.35">
      <c r="A230" s="12"/>
    </row>
    <row r="231" spans="1:1" x14ac:dyDescent="0.35">
      <c r="A231" s="12"/>
    </row>
    <row r="232" spans="1:1" x14ac:dyDescent="0.35">
      <c r="A232" s="12"/>
    </row>
    <row r="233" spans="1:1" x14ac:dyDescent="0.35">
      <c r="A233" s="12"/>
    </row>
    <row r="234" spans="1:1" x14ac:dyDescent="0.35">
      <c r="A234" s="12"/>
    </row>
    <row r="235" spans="1:1" x14ac:dyDescent="0.35">
      <c r="A235" s="12"/>
    </row>
    <row r="236" spans="1:1" x14ac:dyDescent="0.35">
      <c r="A236" s="12"/>
    </row>
    <row r="237" spans="1:1" x14ac:dyDescent="0.35">
      <c r="A237" s="12"/>
    </row>
    <row r="238" spans="1:1" x14ac:dyDescent="0.35">
      <c r="A238" s="12"/>
    </row>
    <row r="239" spans="1:1" x14ac:dyDescent="0.35">
      <c r="A239" s="12"/>
    </row>
    <row r="240" spans="1:1" x14ac:dyDescent="0.35">
      <c r="A240" s="12"/>
    </row>
    <row r="241" spans="1:1" x14ac:dyDescent="0.35">
      <c r="A241" s="12"/>
    </row>
    <row r="242" spans="1:1" x14ac:dyDescent="0.35">
      <c r="A242" s="12"/>
    </row>
    <row r="243" spans="1:1" x14ac:dyDescent="0.35">
      <c r="A243" s="12"/>
    </row>
    <row r="244" spans="1:1" x14ac:dyDescent="0.35">
      <c r="A244" s="12"/>
    </row>
    <row r="245" spans="1:1" x14ac:dyDescent="0.35">
      <c r="A245" s="12"/>
    </row>
    <row r="246" spans="1:1" x14ac:dyDescent="0.35">
      <c r="A246" s="12"/>
    </row>
    <row r="247" spans="1:1" x14ac:dyDescent="0.35">
      <c r="A247" s="12"/>
    </row>
    <row r="248" spans="1:1" x14ac:dyDescent="0.35">
      <c r="A248" s="12"/>
    </row>
    <row r="249" spans="1:1" x14ac:dyDescent="0.35">
      <c r="A249" s="12"/>
    </row>
    <row r="250" spans="1:1" x14ac:dyDescent="0.35">
      <c r="A250" s="12"/>
    </row>
    <row r="251" spans="1:1" x14ac:dyDescent="0.35">
      <c r="A251" s="12"/>
    </row>
    <row r="252" spans="1:1" x14ac:dyDescent="0.35">
      <c r="A252" s="12"/>
    </row>
    <row r="253" spans="1:1" x14ac:dyDescent="0.35">
      <c r="A253" s="12"/>
    </row>
    <row r="254" spans="1:1" x14ac:dyDescent="0.35">
      <c r="A254" s="12"/>
    </row>
    <row r="255" spans="1:1" x14ac:dyDescent="0.35">
      <c r="A255" s="12"/>
    </row>
    <row r="256" spans="1:1" x14ac:dyDescent="0.35">
      <c r="A256" s="12"/>
    </row>
    <row r="257" spans="1:1" x14ac:dyDescent="0.35">
      <c r="A257" s="12"/>
    </row>
    <row r="258" spans="1:1" x14ac:dyDescent="0.35">
      <c r="A258" s="12"/>
    </row>
    <row r="259" spans="1:1" x14ac:dyDescent="0.35">
      <c r="A259" s="12"/>
    </row>
    <row r="260" spans="1:1" x14ac:dyDescent="0.35">
      <c r="A260" s="12"/>
    </row>
    <row r="261" spans="1:1" x14ac:dyDescent="0.35">
      <c r="A261" s="12"/>
    </row>
    <row r="262" spans="1:1" x14ac:dyDescent="0.35">
      <c r="A262" s="12"/>
    </row>
    <row r="263" spans="1:1" x14ac:dyDescent="0.35">
      <c r="A263" s="12"/>
    </row>
    <row r="264" spans="1:1" x14ac:dyDescent="0.35">
      <c r="A264" s="12"/>
    </row>
    <row r="265" spans="1:1" x14ac:dyDescent="0.35">
      <c r="A265" s="12"/>
    </row>
    <row r="266" spans="1:1" x14ac:dyDescent="0.35">
      <c r="A266" s="12"/>
    </row>
    <row r="267" spans="1:1" x14ac:dyDescent="0.35">
      <c r="A267" s="12"/>
    </row>
    <row r="268" spans="1:1" x14ac:dyDescent="0.35">
      <c r="A268" s="12"/>
    </row>
    <row r="269" spans="1:1" x14ac:dyDescent="0.35">
      <c r="A269" s="12"/>
    </row>
    <row r="270" spans="1:1" x14ac:dyDescent="0.35">
      <c r="A270" s="12"/>
    </row>
    <row r="271" spans="1:1" x14ac:dyDescent="0.35">
      <c r="A271" s="12"/>
    </row>
    <row r="272" spans="1:1" x14ac:dyDescent="0.35">
      <c r="A272" s="12"/>
    </row>
    <row r="273" spans="1:1" x14ac:dyDescent="0.35">
      <c r="A273" s="12"/>
    </row>
    <row r="274" spans="1:1" x14ac:dyDescent="0.35">
      <c r="A274" s="12"/>
    </row>
    <row r="275" spans="1:1" x14ac:dyDescent="0.35">
      <c r="A275" s="12"/>
    </row>
    <row r="276" spans="1:1" x14ac:dyDescent="0.35">
      <c r="A276" s="12"/>
    </row>
    <row r="277" spans="1:1" x14ac:dyDescent="0.35">
      <c r="A277" s="12"/>
    </row>
    <row r="278" spans="1:1" x14ac:dyDescent="0.35">
      <c r="A278" s="12"/>
    </row>
    <row r="279" spans="1:1" x14ac:dyDescent="0.35">
      <c r="A279" s="12"/>
    </row>
    <row r="280" spans="1:1" x14ac:dyDescent="0.35">
      <c r="A280" s="12"/>
    </row>
    <row r="281" spans="1:1" x14ac:dyDescent="0.35">
      <c r="A281" s="12"/>
    </row>
    <row r="282" spans="1:1" x14ac:dyDescent="0.35">
      <c r="A282" s="12"/>
    </row>
    <row r="283" spans="1:1" x14ac:dyDescent="0.35">
      <c r="A283" s="12"/>
    </row>
    <row r="284" spans="1:1" x14ac:dyDescent="0.35">
      <c r="A284" s="12"/>
    </row>
    <row r="285" spans="1:1" x14ac:dyDescent="0.35">
      <c r="A285" s="12"/>
    </row>
    <row r="286" spans="1:1" x14ac:dyDescent="0.35">
      <c r="A286" s="12"/>
    </row>
    <row r="287" spans="1:1" x14ac:dyDescent="0.35">
      <c r="A287" s="12"/>
    </row>
    <row r="288" spans="1:1" x14ac:dyDescent="0.35">
      <c r="A288" s="12"/>
    </row>
    <row r="289" spans="1:1" x14ac:dyDescent="0.35">
      <c r="A289" s="12"/>
    </row>
    <row r="290" spans="1:1" x14ac:dyDescent="0.35">
      <c r="A290" s="12"/>
    </row>
    <row r="291" spans="1:1" x14ac:dyDescent="0.35">
      <c r="A291" s="12"/>
    </row>
    <row r="292" spans="1:1" x14ac:dyDescent="0.35">
      <c r="A292" s="12"/>
    </row>
    <row r="293" spans="1:1" x14ac:dyDescent="0.35">
      <c r="A293" s="12"/>
    </row>
    <row r="294" spans="1:1" x14ac:dyDescent="0.35">
      <c r="A294" s="12"/>
    </row>
    <row r="295" spans="1:1" x14ac:dyDescent="0.35">
      <c r="A295" s="12"/>
    </row>
    <row r="296" spans="1:1" x14ac:dyDescent="0.35">
      <c r="A296" s="12"/>
    </row>
    <row r="297" spans="1:1" x14ac:dyDescent="0.35">
      <c r="A297" s="12"/>
    </row>
    <row r="298" spans="1:1" x14ac:dyDescent="0.35">
      <c r="A298" s="12"/>
    </row>
    <row r="299" spans="1:1" x14ac:dyDescent="0.35">
      <c r="A299" s="12"/>
    </row>
    <row r="300" spans="1:1" x14ac:dyDescent="0.35">
      <c r="A300" s="12"/>
    </row>
    <row r="301" spans="1:1" x14ac:dyDescent="0.35">
      <c r="A301" s="12"/>
    </row>
    <row r="302" spans="1:1" x14ac:dyDescent="0.35">
      <c r="A302" s="1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33D3-C897-4F0B-B59B-7499AB8BEDF1}">
  <dimension ref="A1:Q26"/>
  <sheetViews>
    <sheetView topLeftCell="H1" zoomScale="70" zoomScaleNormal="70" workbookViewId="0">
      <selection activeCell="F2" sqref="F2"/>
    </sheetView>
  </sheetViews>
  <sheetFormatPr defaultRowHeight="14.5" x14ac:dyDescent="0.35"/>
  <cols>
    <col min="1" max="1" width="10.81640625" bestFit="1" customWidth="1"/>
    <col min="2" max="2" width="15.453125" bestFit="1" customWidth="1"/>
    <col min="3" max="3" width="17.36328125" bestFit="1" customWidth="1"/>
    <col min="4" max="4" width="19.81640625" bestFit="1" customWidth="1"/>
    <col min="5" max="5" width="14.453125" bestFit="1" customWidth="1"/>
    <col min="6" max="6" width="17.7265625" bestFit="1" customWidth="1"/>
    <col min="7" max="7" width="19.453125" bestFit="1" customWidth="1"/>
    <col min="8" max="8" width="14.54296875" bestFit="1" customWidth="1"/>
    <col min="9" max="9" width="10.90625" customWidth="1"/>
    <col min="11" max="11" width="13" bestFit="1" customWidth="1"/>
    <col min="13" max="13" width="18.90625" bestFit="1" customWidth="1"/>
    <col min="14" max="14" width="8.6328125" customWidth="1"/>
  </cols>
  <sheetData>
    <row r="1" spans="1:17" x14ac:dyDescent="0.35">
      <c r="A1" s="7" t="s">
        <v>1614</v>
      </c>
      <c r="B1" s="7" t="s">
        <v>1617</v>
      </c>
      <c r="C1" s="7" t="s">
        <v>1710</v>
      </c>
      <c r="D1" s="7" t="s">
        <v>1711</v>
      </c>
      <c r="E1" s="7" t="s">
        <v>1712</v>
      </c>
      <c r="F1" s="7" t="s">
        <v>230</v>
      </c>
      <c r="G1" s="7" t="s">
        <v>233</v>
      </c>
      <c r="H1" s="7" t="s">
        <v>236</v>
      </c>
      <c r="I1" s="7" t="s">
        <v>229</v>
      </c>
      <c r="J1" s="7" t="s">
        <v>1713</v>
      </c>
      <c r="K1" s="7" t="s">
        <v>1714</v>
      </c>
    </row>
    <row r="2" spans="1:17" x14ac:dyDescent="0.35">
      <c r="A2" t="str">
        <f>tblOEE[Machine_ID]</f>
        <v>M001</v>
      </c>
      <c r="B2">
        <f>tblMachines[Scheduled_Hours]</f>
        <v>4800</v>
      </c>
      <c r="C2">
        <f>tblMachines[Planned_Downtime_Hours]</f>
        <v>324</v>
      </c>
      <c r="D2">
        <f>tblMachines[Unplanned_Downtime_Hours]</f>
        <v>351.84</v>
      </c>
      <c r="E2">
        <f>B2-C2-D2</f>
        <v>4124.16</v>
      </c>
      <c r="F2">
        <f>tblOEE[Average_Availability]</f>
        <v>0.86570000000000003</v>
      </c>
      <c r="G2">
        <f>tblOEE[Average_Performance]</f>
        <v>0.89089217137775656</v>
      </c>
      <c r="H2">
        <f>tblOEE[Average_Quality]</f>
        <v>0.98706315789473686</v>
      </c>
      <c r="I2">
        <f>F2*G2*H2</f>
        <v>0.76126787340862756</v>
      </c>
      <c r="J2">
        <f>1-I2</f>
        <v>0.23873212659137244</v>
      </c>
      <c r="K2" t="str">
        <f>IF(I2&lt;0.65,"Low OEE",IF(I2&lt;0.85,"Moderate OEE","High OEE"))</f>
        <v>Moderate OEE</v>
      </c>
      <c r="M2" s="1" t="s">
        <v>1717</v>
      </c>
      <c r="N2" s="1"/>
      <c r="P2" t="s">
        <v>1686</v>
      </c>
      <c r="Q2" s="1" t="s">
        <v>1715</v>
      </c>
    </row>
    <row r="3" spans="1:17" x14ac:dyDescent="0.35">
      <c r="A3" t="str">
        <f>tblOEE[Machine_ID]</f>
        <v>M002</v>
      </c>
      <c r="B3">
        <f>tblMachines[Scheduled_Hours]</f>
        <v>4800</v>
      </c>
      <c r="C3">
        <f>tblMachines[Planned_Downtime_Hours]</f>
        <v>425.28</v>
      </c>
      <c r="D3">
        <f>tblMachines[Unplanned_Downtime_Hours]</f>
        <v>358.56</v>
      </c>
      <c r="E3">
        <f t="shared" ref="E3:E26" si="0">B3-C3-D3</f>
        <v>4016.1600000000003</v>
      </c>
      <c r="F3">
        <f>tblOEE[Average_Availability]</f>
        <v>0.8367</v>
      </c>
      <c r="G3">
        <f>tblOEE[Average_Performance]</f>
        <v>0.89980774396695107</v>
      </c>
      <c r="H3">
        <f>tblOEE[Average_Quality]</f>
        <v>0.98745625000000004</v>
      </c>
      <c r="I3">
        <f t="shared" ref="I3:I26" si="1">F3*G3*H3</f>
        <v>0.74342533711008585</v>
      </c>
      <c r="J3">
        <f t="shared" ref="J3:J26" si="2">1-I3</f>
        <v>0.25657466288991415</v>
      </c>
      <c r="K3" t="str">
        <f t="shared" ref="K3:K26" si="3">IF(I3&lt;0.65,"Low OEE",IF(I3&lt;0.85,"Moderate OEE","High OEE"))</f>
        <v>Moderate OEE</v>
      </c>
      <c r="M3" t="s">
        <v>1718</v>
      </c>
      <c r="N3" t="s">
        <v>1666</v>
      </c>
    </row>
    <row r="4" spans="1:17" x14ac:dyDescent="0.35">
      <c r="A4" t="str">
        <f>tblOEE[Machine_ID]</f>
        <v>M003</v>
      </c>
      <c r="B4">
        <f>tblMachines[Scheduled_Hours]</f>
        <v>4800</v>
      </c>
      <c r="C4">
        <f>tblMachines[Planned_Downtime_Hours]</f>
        <v>432.96</v>
      </c>
      <c r="D4">
        <f>tblMachines[Unplanned_Downtime_Hours]</f>
        <v>364.8</v>
      </c>
      <c r="E4">
        <f t="shared" si="0"/>
        <v>4002.24</v>
      </c>
      <c r="F4">
        <f>tblOEE[Average_Availability]</f>
        <v>0.86950000000000005</v>
      </c>
      <c r="G4">
        <f>tblOEE[Average_Performance]</f>
        <v>0.8817486767024032</v>
      </c>
      <c r="H4">
        <f>tblOEE[Average_Quality]</f>
        <v>0.98556428571428578</v>
      </c>
      <c r="I4">
        <f t="shared" si="1"/>
        <v>0.75561289411597021</v>
      </c>
      <c r="J4">
        <f t="shared" si="2"/>
        <v>0.24438710588402979</v>
      </c>
      <c r="K4" t="str">
        <f t="shared" si="3"/>
        <v>Moderate OEE</v>
      </c>
      <c r="M4" s="7" t="s">
        <v>1719</v>
      </c>
      <c r="N4" s="7">
        <f>AVERAGE(F2:F26)</f>
        <v>0.86924400000000002</v>
      </c>
    </row>
    <row r="5" spans="1:17" x14ac:dyDescent="0.35">
      <c r="A5" t="str">
        <f>tblOEE[Machine_ID]</f>
        <v>M004</v>
      </c>
      <c r="B5">
        <f>tblMachines[Scheduled_Hours]</f>
        <v>4800</v>
      </c>
      <c r="C5">
        <f>tblMachines[Planned_Downtime_Hours]</f>
        <v>276.95999999999998</v>
      </c>
      <c r="D5">
        <f>tblMachines[Unplanned_Downtime_Hours]</f>
        <v>166.56</v>
      </c>
      <c r="E5">
        <f t="shared" si="0"/>
        <v>4356.4799999999996</v>
      </c>
      <c r="F5">
        <f>tblOEE[Average_Availability]</f>
        <v>0.8498</v>
      </c>
      <c r="G5">
        <f>tblOEE[Average_Performance]</f>
        <v>0.89109387201807644</v>
      </c>
      <c r="H5">
        <f>tblOEE[Average_Quality]</f>
        <v>0.98591428571428574</v>
      </c>
      <c r="I5">
        <f t="shared" si="1"/>
        <v>0.74658514314915003</v>
      </c>
      <c r="J5">
        <f t="shared" si="2"/>
        <v>0.25341485685084997</v>
      </c>
      <c r="K5" t="str">
        <f t="shared" si="3"/>
        <v>Moderate OEE</v>
      </c>
      <c r="M5" s="7" t="s">
        <v>1720</v>
      </c>
      <c r="N5" s="7">
        <f>AVERAGE(G2:G26)</f>
        <v>0.89676982770193558</v>
      </c>
    </row>
    <row r="6" spans="1:17" x14ac:dyDescent="0.35">
      <c r="A6" t="str">
        <f>tblOEE[Machine_ID]</f>
        <v>M005</v>
      </c>
      <c r="B6">
        <f>tblMachines[Scheduled_Hours]</f>
        <v>4800</v>
      </c>
      <c r="C6">
        <f>tblMachines[Planned_Downtime_Hours]</f>
        <v>327.84</v>
      </c>
      <c r="D6">
        <f>tblMachines[Unplanned_Downtime_Hours]</f>
        <v>274.56</v>
      </c>
      <c r="E6">
        <f t="shared" si="0"/>
        <v>4197.5999999999995</v>
      </c>
      <c r="F6">
        <f>tblOEE[Average_Availability]</f>
        <v>0.8538</v>
      </c>
      <c r="G6">
        <f>tblOEE[Average_Performance]</f>
        <v>0.88083076374703684</v>
      </c>
      <c r="H6">
        <f>tblOEE[Average_Quality]</f>
        <v>0.98434374999999996</v>
      </c>
      <c r="I6">
        <f t="shared" si="1"/>
        <v>0.74027897151379207</v>
      </c>
      <c r="J6">
        <f t="shared" si="2"/>
        <v>0.25972102848620793</v>
      </c>
      <c r="K6" t="str">
        <f t="shared" si="3"/>
        <v>Moderate OEE</v>
      </c>
      <c r="M6" s="7" t="s">
        <v>1721</v>
      </c>
      <c r="N6" s="7">
        <f>AVERAGE(H2:H26)</f>
        <v>0.98591305212331559</v>
      </c>
    </row>
    <row r="7" spans="1:17" x14ac:dyDescent="0.35">
      <c r="A7" t="str">
        <f>tblOEE[Machine_ID]</f>
        <v>M006</v>
      </c>
      <c r="B7">
        <f>tblMachines[Scheduled_Hours]</f>
        <v>4800</v>
      </c>
      <c r="C7">
        <f>tblMachines[Planned_Downtime_Hours]</f>
        <v>329.76</v>
      </c>
      <c r="D7">
        <f>tblMachines[Unplanned_Downtime_Hours]</f>
        <v>321.60000000000002</v>
      </c>
      <c r="E7">
        <f t="shared" si="0"/>
        <v>4148.6399999999994</v>
      </c>
      <c r="F7">
        <f>tblOEE[Average_Availability]</f>
        <v>0.84340000000000004</v>
      </c>
      <c r="G7">
        <f>tblOEE[Average_Performance]</f>
        <v>0.8991497732893835</v>
      </c>
      <c r="H7">
        <f>tblOEE[Average_Quality]</f>
        <v>0.98716538461538461</v>
      </c>
      <c r="I7">
        <f t="shared" si="1"/>
        <v>0.74860987909992072</v>
      </c>
      <c r="J7">
        <f t="shared" si="2"/>
        <v>0.25139012090007928</v>
      </c>
      <c r="K7" t="str">
        <f t="shared" si="3"/>
        <v>Moderate OEE</v>
      </c>
      <c r="M7" s="7" t="s">
        <v>482</v>
      </c>
      <c r="N7" s="7">
        <f>AVERAGE(I2:I26)</f>
        <v>0.76857549264692759</v>
      </c>
    </row>
    <row r="8" spans="1:17" x14ac:dyDescent="0.35">
      <c r="A8" t="str">
        <f>tblOEE[Machine_ID]</f>
        <v>M007</v>
      </c>
      <c r="B8">
        <f>tblMachines[Scheduled_Hours]</f>
        <v>4800</v>
      </c>
      <c r="C8">
        <f>tblMachines[Planned_Downtime_Hours]</f>
        <v>276.48</v>
      </c>
      <c r="D8">
        <f>tblMachines[Unplanned_Downtime_Hours]</f>
        <v>325.44</v>
      </c>
      <c r="E8">
        <f t="shared" si="0"/>
        <v>4198.0800000000008</v>
      </c>
      <c r="F8">
        <f>tblOEE[Average_Availability]</f>
        <v>0.88009999999999988</v>
      </c>
      <c r="G8">
        <f>tblOEE[Average_Performance]</f>
        <v>0.89206090414643291</v>
      </c>
      <c r="H8">
        <f>tblOEE[Average_Quality]</f>
        <v>0.98529</v>
      </c>
      <c r="I8">
        <f t="shared" si="1"/>
        <v>0.77355393952569074</v>
      </c>
      <c r="J8">
        <f t="shared" si="2"/>
        <v>0.22644606047430926</v>
      </c>
      <c r="K8" t="str">
        <f t="shared" si="3"/>
        <v>Moderate OEE</v>
      </c>
      <c r="M8" s="7" t="s">
        <v>1722</v>
      </c>
      <c r="N8" s="7">
        <f>MAX(I2:I26)</f>
        <v>0.82177924186852491</v>
      </c>
    </row>
    <row r="9" spans="1:17" x14ac:dyDescent="0.35">
      <c r="A9" t="str">
        <f>tblOEE[Machine_ID]</f>
        <v>M008</v>
      </c>
      <c r="B9">
        <f>tblMachines[Scheduled_Hours]</f>
        <v>4800</v>
      </c>
      <c r="C9">
        <f>tblMachines[Planned_Downtime_Hours]</f>
        <v>431.52</v>
      </c>
      <c r="D9">
        <f>tblMachines[Unplanned_Downtime_Hours]</f>
        <v>289.44</v>
      </c>
      <c r="E9">
        <f t="shared" si="0"/>
        <v>4079.0399999999995</v>
      </c>
      <c r="F9">
        <f>tblOEE[Average_Availability]</f>
        <v>0.90760000000000007</v>
      </c>
      <c r="G9">
        <f>tblOEE[Average_Performance]</f>
        <v>0.9166898758615778</v>
      </c>
      <c r="H9">
        <f>tblOEE[Average_Quality]</f>
        <v>0.98773</v>
      </c>
      <c r="I9">
        <f t="shared" si="1"/>
        <v>0.82177924186852491</v>
      </c>
      <c r="J9">
        <f t="shared" si="2"/>
        <v>0.17822075813147509</v>
      </c>
      <c r="K9" t="str">
        <f t="shared" si="3"/>
        <v>Moderate OEE</v>
      </c>
      <c r="M9" s="7" t="s">
        <v>1723</v>
      </c>
      <c r="N9">
        <f>MIN(I2:I26)</f>
        <v>0.74027897151379207</v>
      </c>
    </row>
    <row r="10" spans="1:17" x14ac:dyDescent="0.35">
      <c r="A10" t="str">
        <f>tblOEE[Machine_ID]</f>
        <v>M009</v>
      </c>
      <c r="B10">
        <f>tblMachines[Scheduled_Hours]</f>
        <v>4800</v>
      </c>
      <c r="C10">
        <f>tblMachines[Planned_Downtime_Hours]</f>
        <v>409.92</v>
      </c>
      <c r="D10">
        <f>tblMachines[Unplanned_Downtime_Hours]</f>
        <v>183.84</v>
      </c>
      <c r="E10">
        <f t="shared" si="0"/>
        <v>4206.24</v>
      </c>
      <c r="F10">
        <f>tblOEE[Average_Availability]</f>
        <v>0.87450000000000006</v>
      </c>
      <c r="G10">
        <f>tblOEE[Average_Performance]</f>
        <v>0.89300765311969543</v>
      </c>
      <c r="H10">
        <f>tblOEE[Average_Quality]</f>
        <v>0.97657142857142865</v>
      </c>
      <c r="I10">
        <f t="shared" si="1"/>
        <v>0.76263899671101365</v>
      </c>
      <c r="J10">
        <f t="shared" si="2"/>
        <v>0.23736100328898635</v>
      </c>
      <c r="K10" t="str">
        <f t="shared" si="3"/>
        <v>Moderate OEE</v>
      </c>
    </row>
    <row r="11" spans="1:17" x14ac:dyDescent="0.35">
      <c r="A11" t="str">
        <f>tblOEE[Machine_ID]</f>
        <v>M010</v>
      </c>
      <c r="B11">
        <f>tblMachines[Scheduled_Hours]</f>
        <v>4800</v>
      </c>
      <c r="C11">
        <f>tblMachines[Planned_Downtime_Hours]</f>
        <v>285.60000000000002</v>
      </c>
      <c r="D11">
        <f>tblMachines[Unplanned_Downtime_Hours]</f>
        <v>335.52</v>
      </c>
      <c r="E11">
        <f t="shared" si="0"/>
        <v>4178.8799999999992</v>
      </c>
      <c r="F11">
        <f>tblOEE[Average_Availability]</f>
        <v>0.88049999999999995</v>
      </c>
      <c r="G11">
        <f>tblOEE[Average_Performance]</f>
        <v>0.86753620851291013</v>
      </c>
      <c r="H11">
        <f>tblOEE[Average_Quality]</f>
        <v>0.98867499999999997</v>
      </c>
      <c r="I11">
        <f t="shared" si="1"/>
        <v>0.75521485331779703</v>
      </c>
      <c r="J11">
        <f t="shared" si="2"/>
        <v>0.24478514668220297</v>
      </c>
      <c r="K11" t="str">
        <f t="shared" si="3"/>
        <v>Moderate OEE</v>
      </c>
      <c r="M11" s="1" t="s">
        <v>1724</v>
      </c>
    </row>
    <row r="12" spans="1:17" x14ac:dyDescent="0.35">
      <c r="A12" t="str">
        <f>tblOEE[Machine_ID]</f>
        <v>M011</v>
      </c>
      <c r="B12">
        <f>tblMachines[Scheduled_Hours]</f>
        <v>4800</v>
      </c>
      <c r="C12">
        <f>tblMachines[Planned_Downtime_Hours]</f>
        <v>327.84</v>
      </c>
      <c r="D12">
        <f>tblMachines[Unplanned_Downtime_Hours]</f>
        <v>316.8</v>
      </c>
      <c r="E12">
        <f t="shared" si="0"/>
        <v>4155.3599999999997</v>
      </c>
      <c r="F12">
        <f>tblOEE[Average_Availability]</f>
        <v>0.87629999999999997</v>
      </c>
      <c r="G12">
        <f>tblOEE[Average_Performance]</f>
        <v>0.89317047730870047</v>
      </c>
      <c r="H12">
        <f>tblOEE[Average_Quality]</f>
        <v>0.98323333333333329</v>
      </c>
      <c r="I12">
        <f t="shared" si="1"/>
        <v>0.76956226591559407</v>
      </c>
      <c r="J12">
        <f t="shared" si="2"/>
        <v>0.23043773408440593</v>
      </c>
      <c r="K12" t="str">
        <f t="shared" si="3"/>
        <v>Moderate OEE</v>
      </c>
      <c r="M12" s="7" t="s">
        <v>1665</v>
      </c>
      <c r="N12" t="s">
        <v>1666</v>
      </c>
    </row>
    <row r="13" spans="1:17" x14ac:dyDescent="0.35">
      <c r="A13" t="str">
        <f>tblOEE[Machine_ID]</f>
        <v>M012</v>
      </c>
      <c r="B13">
        <f>tblMachines[Scheduled_Hours]</f>
        <v>4800</v>
      </c>
      <c r="C13">
        <f>tblMachines[Planned_Downtime_Hours]</f>
        <v>265.44</v>
      </c>
      <c r="D13">
        <f>tblMachines[Unplanned_Downtime_Hours]</f>
        <v>164.64</v>
      </c>
      <c r="E13">
        <f t="shared" si="0"/>
        <v>4369.92</v>
      </c>
      <c r="F13">
        <f>tblOEE[Average_Availability]</f>
        <v>0.87970000000000004</v>
      </c>
      <c r="G13">
        <f>tblOEE[Average_Performance]</f>
        <v>0.88822301586168029</v>
      </c>
      <c r="H13">
        <f>tblOEE[Average_Quality]</f>
        <v>0.98475000000000001</v>
      </c>
      <c r="I13">
        <f t="shared" si="1"/>
        <v>0.76945389780095408</v>
      </c>
      <c r="J13">
        <f t="shared" si="2"/>
        <v>0.23054610219904592</v>
      </c>
      <c r="K13" t="str">
        <f t="shared" si="3"/>
        <v>Moderate OEE</v>
      </c>
      <c r="M13" s="7" t="s">
        <v>1725</v>
      </c>
      <c r="N13" s="7" t="s">
        <v>1726</v>
      </c>
    </row>
    <row r="14" spans="1:17" x14ac:dyDescent="0.35">
      <c r="A14" t="str">
        <f>tblOEE[Machine_ID]</f>
        <v>M013</v>
      </c>
      <c r="B14">
        <f>tblMachines[Scheduled_Hours]</f>
        <v>4800</v>
      </c>
      <c r="C14">
        <f>tblMachines[Planned_Downtime_Hours]</f>
        <v>390.72</v>
      </c>
      <c r="D14">
        <f>tblMachines[Unplanned_Downtime_Hours]</f>
        <v>255.36</v>
      </c>
      <c r="E14">
        <f t="shared" si="0"/>
        <v>4153.92</v>
      </c>
      <c r="F14">
        <f>tblOEE[Average_Availability]</f>
        <v>0.86430000000000007</v>
      </c>
      <c r="G14">
        <f>tblOEE[Average_Performance]</f>
        <v>0.91872262497044033</v>
      </c>
      <c r="H14">
        <f>tblOEE[Average_Quality]</f>
        <v>0.98392500000000005</v>
      </c>
      <c r="I14">
        <f t="shared" si="1"/>
        <v>0.78128757942840332</v>
      </c>
      <c r="J14">
        <f t="shared" si="2"/>
        <v>0.21871242057159668</v>
      </c>
      <c r="K14" t="str">
        <f t="shared" si="3"/>
        <v>Moderate OEE</v>
      </c>
      <c r="M14" s="7" t="s">
        <v>1727</v>
      </c>
      <c r="N14" s="7">
        <f>COUNTIF(K2:K26,"High OEE")</f>
        <v>0</v>
      </c>
    </row>
    <row r="15" spans="1:17" x14ac:dyDescent="0.35">
      <c r="A15" t="str">
        <f>tblOEE[Machine_ID]</f>
        <v>M014</v>
      </c>
      <c r="B15">
        <f>tblMachines[Scheduled_Hours]</f>
        <v>4800</v>
      </c>
      <c r="C15">
        <f>tblMachines[Planned_Downtime_Hours]</f>
        <v>269.27999999999997</v>
      </c>
      <c r="D15">
        <f>tblMachines[Unplanned_Downtime_Hours]</f>
        <v>185.76</v>
      </c>
      <c r="E15">
        <f t="shared" si="0"/>
        <v>4344.96</v>
      </c>
      <c r="F15">
        <f>tblOEE[Average_Availability]</f>
        <v>0.85919999999999985</v>
      </c>
      <c r="G15">
        <f>tblOEE[Average_Performance]</f>
        <v>0.8875433512402825</v>
      </c>
      <c r="H15">
        <f>tblOEE[Average_Quality]</f>
        <v>0.98893000000000009</v>
      </c>
      <c r="I15">
        <f t="shared" si="1"/>
        <v>0.75413551725709149</v>
      </c>
      <c r="J15">
        <f t="shared" si="2"/>
        <v>0.24586448274290851</v>
      </c>
      <c r="K15" t="str">
        <f t="shared" si="3"/>
        <v>Moderate OEE</v>
      </c>
      <c r="M15" s="7" t="s">
        <v>1728</v>
      </c>
      <c r="N15" s="7">
        <f>COUNTIF(K2:K26,"Moderate OEE")</f>
        <v>25</v>
      </c>
    </row>
    <row r="16" spans="1:17" x14ac:dyDescent="0.35">
      <c r="A16" t="str">
        <f>tblOEE[Machine_ID]</f>
        <v>M015</v>
      </c>
      <c r="B16">
        <f>tblMachines[Scheduled_Hours]</f>
        <v>4800</v>
      </c>
      <c r="C16">
        <f>tblMachines[Planned_Downtime_Hours]</f>
        <v>476.64</v>
      </c>
      <c r="D16">
        <f>tblMachines[Unplanned_Downtime_Hours]</f>
        <v>225.12</v>
      </c>
      <c r="E16">
        <f t="shared" si="0"/>
        <v>4098.24</v>
      </c>
      <c r="F16">
        <f>tblOEE[Average_Availability]</f>
        <v>0.87180000000000002</v>
      </c>
      <c r="G16">
        <f>tblOEE[Average_Performance]</f>
        <v>0.90764077584886371</v>
      </c>
      <c r="H16">
        <f>tblOEE[Average_Quality]</f>
        <v>0.98881999999999992</v>
      </c>
      <c r="I16">
        <f t="shared" si="1"/>
        <v>0.78243470425169459</v>
      </c>
      <c r="J16">
        <f t="shared" si="2"/>
        <v>0.21756529574830541</v>
      </c>
      <c r="K16" t="str">
        <f t="shared" si="3"/>
        <v>Moderate OEE</v>
      </c>
      <c r="M16" s="7" t="s">
        <v>1729</v>
      </c>
      <c r="N16">
        <f>COUNTIF(K2:K26,"Low OEE")</f>
        <v>0</v>
      </c>
    </row>
    <row r="17" spans="1:17" x14ac:dyDescent="0.35">
      <c r="A17" t="str">
        <f>tblOEE[Machine_ID]</f>
        <v>M016</v>
      </c>
      <c r="B17">
        <f>tblMachines[Scheduled_Hours]</f>
        <v>4800</v>
      </c>
      <c r="C17">
        <f>tblMachines[Planned_Downtime_Hours]</f>
        <v>427.2</v>
      </c>
      <c r="D17">
        <f>tblMachines[Unplanned_Downtime_Hours]</f>
        <v>148.32</v>
      </c>
      <c r="E17">
        <f t="shared" si="0"/>
        <v>4224.4800000000005</v>
      </c>
      <c r="F17">
        <f>tblOEE[Average_Availability]</f>
        <v>0.87060000000000004</v>
      </c>
      <c r="G17">
        <f>tblOEE[Average_Performance]</f>
        <v>0.90652802331517679</v>
      </c>
      <c r="H17">
        <f>tblOEE[Average_Quality]</f>
        <v>0.98451818181818185</v>
      </c>
      <c r="I17">
        <f t="shared" si="1"/>
        <v>0.77700468550766366</v>
      </c>
      <c r="J17">
        <f t="shared" si="2"/>
        <v>0.22299531449233634</v>
      </c>
      <c r="K17" t="str">
        <f t="shared" si="3"/>
        <v>Moderate OEE</v>
      </c>
    </row>
    <row r="18" spans="1:17" x14ac:dyDescent="0.35">
      <c r="A18" t="str">
        <f>tblOEE[Machine_ID]</f>
        <v>M017</v>
      </c>
      <c r="B18">
        <f>tblMachines[Scheduled_Hours]</f>
        <v>4800</v>
      </c>
      <c r="C18">
        <f>tblMachines[Planned_Downtime_Hours]</f>
        <v>333.6</v>
      </c>
      <c r="D18">
        <f>tblMachines[Unplanned_Downtime_Hours]</f>
        <v>240</v>
      </c>
      <c r="E18">
        <f t="shared" si="0"/>
        <v>4226.3999999999996</v>
      </c>
      <c r="F18">
        <f>tblOEE[Average_Availability]</f>
        <v>0.86540000000000006</v>
      </c>
      <c r="G18">
        <f>tblOEE[Average_Performance]</f>
        <v>0.89278291185441983</v>
      </c>
      <c r="H18">
        <f>tblOEE[Average_Quality]</f>
        <v>0.98783750000000003</v>
      </c>
      <c r="I18">
        <f t="shared" si="1"/>
        <v>0.7632174101068524</v>
      </c>
      <c r="J18">
        <f t="shared" si="2"/>
        <v>0.2367825898931476</v>
      </c>
      <c r="K18" t="str">
        <f t="shared" si="3"/>
        <v>Moderate OEE</v>
      </c>
    </row>
    <row r="19" spans="1:17" x14ac:dyDescent="0.35">
      <c r="A19" t="str">
        <f>tblOEE[Machine_ID]</f>
        <v>M018</v>
      </c>
      <c r="B19">
        <f>tblMachines[Scheduled_Hours]</f>
        <v>4800</v>
      </c>
      <c r="C19">
        <f>tblMachines[Planned_Downtime_Hours]</f>
        <v>378.72</v>
      </c>
      <c r="D19">
        <f>tblMachines[Unplanned_Downtime_Hours]</f>
        <v>276</v>
      </c>
      <c r="E19">
        <f t="shared" si="0"/>
        <v>4145.28</v>
      </c>
      <c r="F19">
        <f>tblOEE[Average_Availability]</f>
        <v>0.86359999999999992</v>
      </c>
      <c r="G19">
        <f>tblOEE[Average_Performance]</f>
        <v>0.90476883259191621</v>
      </c>
      <c r="H19">
        <f>tblOEE[Average_Quality]</f>
        <v>0.97787500000000005</v>
      </c>
      <c r="I19">
        <f t="shared" si="1"/>
        <v>0.76407081002672017</v>
      </c>
      <c r="J19">
        <f t="shared" si="2"/>
        <v>0.23592918997327983</v>
      </c>
      <c r="K19" t="str">
        <f t="shared" si="3"/>
        <v>Moderate OEE</v>
      </c>
    </row>
    <row r="20" spans="1:17" x14ac:dyDescent="0.35">
      <c r="A20" t="str">
        <f>tblOEE[Machine_ID]</f>
        <v>M019</v>
      </c>
      <c r="B20">
        <f>tblMachines[Scheduled_Hours]</f>
        <v>4800</v>
      </c>
      <c r="C20">
        <f>tblMachines[Planned_Downtime_Hours]</f>
        <v>458.88</v>
      </c>
      <c r="D20">
        <f>tblMachines[Unplanned_Downtime_Hours]</f>
        <v>292.8</v>
      </c>
      <c r="E20">
        <f t="shared" si="0"/>
        <v>4048.3199999999997</v>
      </c>
      <c r="F20">
        <f>tblOEE[Average_Availability]</f>
        <v>0.84520000000000006</v>
      </c>
      <c r="G20">
        <f>tblOEE[Average_Performance]</f>
        <v>0.89469998530945538</v>
      </c>
      <c r="H20">
        <f>tblOEE[Average_Quality]</f>
        <v>0.98474166666666674</v>
      </c>
      <c r="I20">
        <f t="shared" si="1"/>
        <v>0.74466206939267277</v>
      </c>
      <c r="J20">
        <f t="shared" si="2"/>
        <v>0.25533793060732723</v>
      </c>
      <c r="K20" t="str">
        <f t="shared" si="3"/>
        <v>Moderate OEE</v>
      </c>
    </row>
    <row r="21" spans="1:17" x14ac:dyDescent="0.35">
      <c r="A21" t="str">
        <f>tblOEE[Machine_ID]</f>
        <v>M020</v>
      </c>
      <c r="B21">
        <f>tblMachines[Scheduled_Hours]</f>
        <v>4800</v>
      </c>
      <c r="C21">
        <f>tblMachines[Planned_Downtime_Hours]</f>
        <v>372.96</v>
      </c>
      <c r="D21">
        <f>tblMachines[Unplanned_Downtime_Hours]</f>
        <v>303.36</v>
      </c>
      <c r="E21">
        <f t="shared" si="0"/>
        <v>4123.68</v>
      </c>
      <c r="F21">
        <f>tblOEE[Average_Availability]</f>
        <v>0.83379999999999999</v>
      </c>
      <c r="G21">
        <f>tblOEE[Average_Performance]</f>
        <v>0.91335562903257284</v>
      </c>
      <c r="H21">
        <f>tblOEE[Average_Quality]</f>
        <v>0.98713076923076915</v>
      </c>
      <c r="I21">
        <f t="shared" si="1"/>
        <v>0.75175528456432572</v>
      </c>
      <c r="J21">
        <f t="shared" si="2"/>
        <v>0.24824471543567428</v>
      </c>
      <c r="K21" t="str">
        <f t="shared" si="3"/>
        <v>Moderate OEE</v>
      </c>
      <c r="P21" t="s">
        <v>1686</v>
      </c>
      <c r="Q21" s="1" t="s">
        <v>1716</v>
      </c>
    </row>
    <row r="22" spans="1:17" x14ac:dyDescent="0.35">
      <c r="A22" t="str">
        <f>tblOEE[Machine_ID]</f>
        <v>M021</v>
      </c>
      <c r="B22">
        <f>tblMachines[Scheduled_Hours]</f>
        <v>4800</v>
      </c>
      <c r="C22">
        <f>tblMachines[Planned_Downtime_Hours]</f>
        <v>281.76</v>
      </c>
      <c r="D22">
        <f>tblMachines[Unplanned_Downtime_Hours]</f>
        <v>344.64</v>
      </c>
      <c r="E22">
        <f t="shared" si="0"/>
        <v>4173.5999999999995</v>
      </c>
      <c r="F22">
        <f>tblOEE[Average_Availability]</f>
        <v>0.85910000000000009</v>
      </c>
      <c r="G22">
        <f>tblOEE[Average_Performance]</f>
        <v>0.88969479255789707</v>
      </c>
      <c r="H22">
        <f>tblOEE[Average_Quality]</f>
        <v>0.98740000000000006</v>
      </c>
      <c r="I22">
        <f t="shared" si="1"/>
        <v>0.75470615265327967</v>
      </c>
      <c r="J22">
        <f t="shared" si="2"/>
        <v>0.24529384734672033</v>
      </c>
      <c r="K22" t="str">
        <f t="shared" si="3"/>
        <v>Moderate OEE</v>
      </c>
    </row>
    <row r="23" spans="1:17" x14ac:dyDescent="0.35">
      <c r="A23" t="str">
        <f>tblOEE[Machine_ID]</f>
        <v>M022</v>
      </c>
      <c r="B23">
        <f>tblMachines[Scheduled_Hours]</f>
        <v>4800</v>
      </c>
      <c r="C23">
        <f>tblMachines[Planned_Downtime_Hours]</f>
        <v>330.72</v>
      </c>
      <c r="D23">
        <f>tblMachines[Unplanned_Downtime_Hours]</f>
        <v>195.84</v>
      </c>
      <c r="E23">
        <f t="shared" si="0"/>
        <v>4273.4399999999996</v>
      </c>
      <c r="F23">
        <f>tblOEE[Average_Availability]</f>
        <v>0.91039999999999999</v>
      </c>
      <c r="G23">
        <f>tblOEE[Average_Performance]</f>
        <v>0.9075473060897401</v>
      </c>
      <c r="H23">
        <f>tblOEE[Average_Quality]</f>
        <v>0.98617999999999995</v>
      </c>
      <c r="I23">
        <f t="shared" si="1"/>
        <v>0.81481255411174547</v>
      </c>
      <c r="J23">
        <f t="shared" si="2"/>
        <v>0.18518744588825453</v>
      </c>
      <c r="K23" t="str">
        <f t="shared" si="3"/>
        <v>Moderate OEE</v>
      </c>
    </row>
    <row r="24" spans="1:17" x14ac:dyDescent="0.35">
      <c r="A24" t="str">
        <f>tblOEE[Machine_ID]</f>
        <v>M023</v>
      </c>
      <c r="B24">
        <f>tblMachines[Scheduled_Hours]</f>
        <v>4800</v>
      </c>
      <c r="C24">
        <f>tblMachines[Planned_Downtime_Hours]</f>
        <v>442.56</v>
      </c>
      <c r="D24">
        <f>tblMachines[Unplanned_Downtime_Hours]</f>
        <v>172.8</v>
      </c>
      <c r="E24">
        <f t="shared" si="0"/>
        <v>4184.6399999999994</v>
      </c>
      <c r="F24">
        <f>tblOEE[Average_Availability]</f>
        <v>0.9052</v>
      </c>
      <c r="G24">
        <f>tblOEE[Average_Performance]</f>
        <v>0.90983513132067551</v>
      </c>
      <c r="H24">
        <f>tblOEE[Average_Quality]</f>
        <v>0.98988750000000003</v>
      </c>
      <c r="I24">
        <f t="shared" si="1"/>
        <v>0.81525428020216262</v>
      </c>
      <c r="J24">
        <f t="shared" si="2"/>
        <v>0.18474571979783738</v>
      </c>
      <c r="K24" t="str">
        <f t="shared" si="3"/>
        <v>Moderate OEE</v>
      </c>
    </row>
    <row r="25" spans="1:17" x14ac:dyDescent="0.35">
      <c r="A25" t="str">
        <f>tblOEE[Machine_ID]</f>
        <v>M024</v>
      </c>
      <c r="B25">
        <f>tblMachines[Scheduled_Hours]</f>
        <v>4800</v>
      </c>
      <c r="C25">
        <f>tblMachines[Planned_Downtime_Hours]</f>
        <v>394.56</v>
      </c>
      <c r="D25">
        <f>tblMachines[Unplanned_Downtime_Hours]</f>
        <v>348.48</v>
      </c>
      <c r="E25">
        <f t="shared" si="0"/>
        <v>4056.9599999999996</v>
      </c>
      <c r="F25">
        <f>tblOEE[Average_Availability]</f>
        <v>0.87459999999999993</v>
      </c>
      <c r="G25">
        <f>tblOEE[Average_Performance]</f>
        <v>0.89128855910433435</v>
      </c>
      <c r="H25">
        <f>tblOEE[Average_Quality]</f>
        <v>0.9866666666666668</v>
      </c>
      <c r="I25">
        <f t="shared" si="1"/>
        <v>0.76912736080874877</v>
      </c>
      <c r="J25">
        <f t="shared" si="2"/>
        <v>0.23087263919125123</v>
      </c>
      <c r="K25" t="str">
        <f t="shared" si="3"/>
        <v>Moderate OEE</v>
      </c>
    </row>
    <row r="26" spans="1:17" x14ac:dyDescent="0.35">
      <c r="A26" t="str">
        <f>tblOEE[Machine_ID]</f>
        <v>M025</v>
      </c>
      <c r="B26">
        <f>tblMachines[Scheduled_Hours]</f>
        <v>4800</v>
      </c>
      <c r="C26">
        <f>tblMachines[Planned_Downtime_Hours]</f>
        <v>396</v>
      </c>
      <c r="D26">
        <f>tblMachines[Unplanned_Downtime_Hours]</f>
        <v>181.44</v>
      </c>
      <c r="E26">
        <f t="shared" si="0"/>
        <v>4222.5600000000004</v>
      </c>
      <c r="F26">
        <f>tblOEE[Average_Availability]</f>
        <v>0.89029999999999987</v>
      </c>
      <c r="G26">
        <f>tblOEE[Average_Performance]</f>
        <v>0.9006266334000087</v>
      </c>
      <c r="H26">
        <f>tblOEE[Average_Quality]</f>
        <v>0.99015714285714285</v>
      </c>
      <c r="I26">
        <f t="shared" si="1"/>
        <v>0.79393561432470849</v>
      </c>
      <c r="J26">
        <f t="shared" si="2"/>
        <v>0.20606438567529151</v>
      </c>
      <c r="K26" t="str">
        <f t="shared" si="3"/>
        <v>Moderate OEE</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85B8B-9E0F-466A-BFE7-74D3F23BF9A1}">
  <dimension ref="A1:AB43"/>
  <sheetViews>
    <sheetView topLeftCell="T21" zoomScale="80" zoomScaleNormal="80" workbookViewId="0">
      <selection activeCell="Y30" sqref="Y30:Y43"/>
    </sheetView>
  </sheetViews>
  <sheetFormatPr defaultRowHeight="14.5" x14ac:dyDescent="0.35"/>
  <cols>
    <col min="1" max="1" width="10.81640625" bestFit="1" customWidth="1"/>
    <col min="2" max="3" width="14.453125" bestFit="1" customWidth="1"/>
    <col min="4" max="4" width="23.6328125" bestFit="1" customWidth="1"/>
    <col min="5" max="5" width="9.1796875" bestFit="1" customWidth="1"/>
    <col min="6" max="6" width="9.81640625" bestFit="1" customWidth="1"/>
    <col min="7" max="7" width="11.54296875" bestFit="1" customWidth="1"/>
    <col min="8" max="8" width="6.7265625" bestFit="1" customWidth="1"/>
    <col min="9" max="9" width="10.453125" customWidth="1"/>
    <col min="10" max="10" width="14" bestFit="1" customWidth="1"/>
    <col min="11" max="11" width="9.54296875" bestFit="1" customWidth="1"/>
    <col min="12" max="12" width="18.08984375" bestFit="1" customWidth="1"/>
    <col min="13" max="13" width="20.36328125" bestFit="1" customWidth="1"/>
    <col min="15" max="15" width="21.453125" bestFit="1" customWidth="1"/>
    <col min="21" max="21" width="12.81640625" customWidth="1"/>
    <col min="22" max="22" width="8" bestFit="1" customWidth="1"/>
    <col min="23" max="24" width="11.6328125" bestFit="1" customWidth="1"/>
    <col min="25" max="25" width="8.1796875" bestFit="1" customWidth="1"/>
    <col min="26" max="26" width="9.1796875" bestFit="1" customWidth="1"/>
    <col min="27" max="27" width="8.90625" customWidth="1"/>
    <col min="28" max="28" width="17" bestFit="1" customWidth="1"/>
  </cols>
  <sheetData>
    <row r="1" spans="1:28" x14ac:dyDescent="0.35">
      <c r="A1" s="7" t="s">
        <v>1614</v>
      </c>
      <c r="B1" s="7" t="s">
        <v>1712</v>
      </c>
      <c r="C1" s="7" t="s">
        <v>1730</v>
      </c>
      <c r="D1" s="7" t="s">
        <v>1701</v>
      </c>
      <c r="E1" s="7" t="s">
        <v>1731</v>
      </c>
      <c r="F1" s="7" t="s">
        <v>230</v>
      </c>
      <c r="G1" s="7" t="s">
        <v>233</v>
      </c>
      <c r="H1" s="7" t="s">
        <v>236</v>
      </c>
      <c r="I1" s="7" t="s">
        <v>229</v>
      </c>
      <c r="J1" s="7" t="s">
        <v>1627</v>
      </c>
      <c r="K1" s="7" t="s">
        <v>1732</v>
      </c>
      <c r="L1" s="7" t="s">
        <v>1733</v>
      </c>
      <c r="M1" s="7" t="s">
        <v>1734</v>
      </c>
    </row>
    <row r="2" spans="1:28" x14ac:dyDescent="0.35">
      <c r="A2" s="12" t="str">
        <f>'10_machine_capacity'!A17</f>
        <v>M007</v>
      </c>
      <c r="B2" s="12">
        <f>'10_machine_capacity'!E17</f>
        <v>4224.4800000000005</v>
      </c>
      <c r="C2">
        <f>'10_machine_capacity'!G17</f>
        <v>4175.734833333333</v>
      </c>
      <c r="D2">
        <f>'10_machine_capacity'!H17</f>
        <v>48.745166666667501</v>
      </c>
      <c r="E2">
        <f>'10_machine_capacity'!I17</f>
        <v>0.98846126229342601</v>
      </c>
      <c r="F2">
        <f>'11_oee_analysis'!F17</f>
        <v>0.87060000000000004</v>
      </c>
      <c r="G2">
        <f>'11_oee_analysis'!G17</f>
        <v>0.90652802331517679</v>
      </c>
      <c r="H2">
        <f>'11_oee_analysis'!H17</f>
        <v>0.98451818181818185</v>
      </c>
      <c r="I2">
        <f>'11_oee_analysis'!I17</f>
        <v>0.77700468550766366</v>
      </c>
      <c r="J2" t="str">
        <f>'10_machine_capacity'!J17</f>
        <v>High Utilization</v>
      </c>
      <c r="K2" t="str">
        <f t="shared" ref="K2:K26" si="0">IF(D2&lt;0,"Yes","No")</f>
        <v>No</v>
      </c>
      <c r="L2" t="str">
        <f t="shared" ref="L2:L26" si="1">IF(MIN(F2:H2)=F2,"Availability",IF(MIN(F2:H2)=G2,"Performance","Quality"))</f>
        <v>Availability</v>
      </c>
      <c r="M2" t="str">
        <f t="shared" ref="M2:M26" si="2">IF(K2="No","No Bottleneck",IF(E2&gt;1.02,"Critical Bottleneck",IF(I2&lt;0.75,"High Priority Bottleneck","Bottleneck")))</f>
        <v>No Bottleneck</v>
      </c>
      <c r="O2" s="1" t="s">
        <v>1735</v>
      </c>
      <c r="V2" s="9" t="s">
        <v>1741</v>
      </c>
    </row>
    <row r="3" spans="1:28" x14ac:dyDescent="0.35">
      <c r="A3" s="12" t="str">
        <f>'10_machine_capacity'!A5</f>
        <v>M008</v>
      </c>
      <c r="B3" s="12">
        <f>'10_machine_capacity'!E5</f>
        <v>4356.4799999999996</v>
      </c>
      <c r="C3">
        <f>'10_machine_capacity'!G5</f>
        <v>4175.7929999999997</v>
      </c>
      <c r="D3">
        <f>'10_machine_capacity'!H5</f>
        <v>180.6869999999999</v>
      </c>
      <c r="E3">
        <f>'10_machine_capacity'!I5</f>
        <v>0.95852454275011023</v>
      </c>
      <c r="F3">
        <f>'11_oee_analysis'!F5</f>
        <v>0.8498</v>
      </c>
      <c r="G3">
        <f>'11_oee_analysis'!G5</f>
        <v>0.89109387201807644</v>
      </c>
      <c r="H3">
        <f>'11_oee_analysis'!H5</f>
        <v>0.98591428571428574</v>
      </c>
      <c r="I3">
        <f>'11_oee_analysis'!I5</f>
        <v>0.74658514314915003</v>
      </c>
      <c r="J3" t="str">
        <f>'10_machine_capacity'!J5</f>
        <v>High Utilization</v>
      </c>
      <c r="K3" t="str">
        <f t="shared" si="0"/>
        <v>No</v>
      </c>
      <c r="L3" t="str">
        <f t="shared" si="1"/>
        <v>Availability</v>
      </c>
      <c r="M3" t="str">
        <f t="shared" si="2"/>
        <v>No Bottleneck</v>
      </c>
      <c r="O3" t="s">
        <v>1665</v>
      </c>
      <c r="P3" t="s">
        <v>1666</v>
      </c>
      <c r="V3" t="s">
        <v>1680</v>
      </c>
      <c r="X3" t="s">
        <v>1749</v>
      </c>
    </row>
    <row r="4" spans="1:28" x14ac:dyDescent="0.35">
      <c r="A4" s="12" t="str">
        <f>'10_machine_capacity'!A6</f>
        <v>M009</v>
      </c>
      <c r="B4" s="12">
        <f>'10_machine_capacity'!E6</f>
        <v>4197.5999999999995</v>
      </c>
      <c r="C4">
        <f>'10_machine_capacity'!G6</f>
        <v>4175.8908333333329</v>
      </c>
      <c r="D4">
        <f>'10_machine_capacity'!H6</f>
        <v>21.709166666666533</v>
      </c>
      <c r="E4">
        <f>'10_machine_capacity'!I6</f>
        <v>0.99482819547678036</v>
      </c>
      <c r="F4">
        <f>'11_oee_analysis'!F6</f>
        <v>0.8538</v>
      </c>
      <c r="G4">
        <f>'11_oee_analysis'!G6</f>
        <v>0.88083076374703684</v>
      </c>
      <c r="H4">
        <f>'11_oee_analysis'!H6</f>
        <v>0.98434374999999996</v>
      </c>
      <c r="I4">
        <f>'11_oee_analysis'!I6</f>
        <v>0.74027897151379207</v>
      </c>
      <c r="J4" t="str">
        <f>'10_machine_capacity'!J6</f>
        <v>High Utilization</v>
      </c>
      <c r="K4" t="str">
        <f t="shared" si="0"/>
        <v>No</v>
      </c>
      <c r="L4" t="str">
        <f t="shared" si="1"/>
        <v>Availability</v>
      </c>
      <c r="M4" t="str">
        <f t="shared" si="2"/>
        <v>No Bottleneck</v>
      </c>
      <c r="O4" s="7" t="s">
        <v>1736</v>
      </c>
      <c r="P4" s="7">
        <f>COUNTA(A2:A26)</f>
        <v>25</v>
      </c>
      <c r="V4" s="10" t="s">
        <v>120</v>
      </c>
      <c r="W4" s="11" t="s">
        <v>1744</v>
      </c>
      <c r="X4" s="11" t="s">
        <v>1745</v>
      </c>
      <c r="Y4" s="11" t="s">
        <v>1746</v>
      </c>
      <c r="Z4" s="11" t="s">
        <v>1731</v>
      </c>
      <c r="AA4" s="11" t="s">
        <v>229</v>
      </c>
      <c r="AB4" s="10" t="s">
        <v>1747</v>
      </c>
    </row>
    <row r="5" spans="1:28" x14ac:dyDescent="0.35">
      <c r="A5" s="12" t="str">
        <f>'10_machine_capacity'!A18</f>
        <v>M010</v>
      </c>
      <c r="B5" s="12">
        <f>'10_machine_capacity'!E18</f>
        <v>4226.3999999999996</v>
      </c>
      <c r="C5">
        <f>'10_machine_capacity'!G18</f>
        <v>4175.8618333333334</v>
      </c>
      <c r="D5">
        <f>'10_machine_capacity'!H18</f>
        <v>50.538166666666257</v>
      </c>
      <c r="E5">
        <f>'10_machine_capacity'!I18</f>
        <v>0.98804226607356938</v>
      </c>
      <c r="F5">
        <f>'11_oee_analysis'!F18</f>
        <v>0.86540000000000006</v>
      </c>
      <c r="G5">
        <f>'11_oee_analysis'!G18</f>
        <v>0.89278291185441983</v>
      </c>
      <c r="H5">
        <f>'11_oee_analysis'!H18</f>
        <v>0.98783750000000003</v>
      </c>
      <c r="I5">
        <f>'11_oee_analysis'!I18</f>
        <v>0.7632174101068524</v>
      </c>
      <c r="J5" t="str">
        <f>'10_machine_capacity'!J18</f>
        <v>High Utilization</v>
      </c>
      <c r="K5" t="str">
        <f t="shared" si="0"/>
        <v>No</v>
      </c>
      <c r="L5" t="str">
        <f t="shared" si="1"/>
        <v>Availability</v>
      </c>
      <c r="M5" t="str">
        <f t="shared" si="2"/>
        <v>No Bottleneck</v>
      </c>
      <c r="O5" s="7" t="s">
        <v>490</v>
      </c>
      <c r="P5" s="7">
        <f>COUNTIF(K2:K26,"Yes")</f>
        <v>13</v>
      </c>
      <c r="V5" s="12" t="s">
        <v>601</v>
      </c>
      <c r="W5">
        <v>4174.7963333333337</v>
      </c>
      <c r="X5">
        <v>0.87629999999999997</v>
      </c>
      <c r="Y5">
        <v>-19.436333333334005</v>
      </c>
      <c r="Z5">
        <v>1.0046774126269045</v>
      </c>
      <c r="AA5">
        <v>0.76956226591559407</v>
      </c>
      <c r="AB5" t="s">
        <v>230</v>
      </c>
    </row>
    <row r="6" spans="1:28" x14ac:dyDescent="0.35">
      <c r="A6" s="12" t="str">
        <f>'10_machine_capacity'!A10</f>
        <v>M011</v>
      </c>
      <c r="B6" s="12">
        <f>'10_machine_capacity'!E10</f>
        <v>4206.24</v>
      </c>
      <c r="C6">
        <f>'10_machine_capacity'!G10</f>
        <v>4175.7129999999997</v>
      </c>
      <c r="D6">
        <f>'10_machine_capacity'!H10</f>
        <v>30.527000000000044</v>
      </c>
      <c r="E6">
        <f>'10_machine_capacity'!I10</f>
        <v>0.99274244931340105</v>
      </c>
      <c r="F6">
        <f>'11_oee_analysis'!F10</f>
        <v>0.87450000000000006</v>
      </c>
      <c r="G6">
        <f>'11_oee_analysis'!G10</f>
        <v>0.89300765311969543</v>
      </c>
      <c r="H6">
        <f>'11_oee_analysis'!H10</f>
        <v>0.97657142857142865</v>
      </c>
      <c r="I6">
        <f>'11_oee_analysis'!I10</f>
        <v>0.76263899671101365</v>
      </c>
      <c r="J6" t="str">
        <f>'10_machine_capacity'!J10</f>
        <v>High Utilization</v>
      </c>
      <c r="K6" t="str">
        <f t="shared" si="0"/>
        <v>No</v>
      </c>
      <c r="L6" t="str">
        <f t="shared" si="1"/>
        <v>Availability</v>
      </c>
      <c r="M6" t="str">
        <f t="shared" si="2"/>
        <v>No Bottleneck</v>
      </c>
      <c r="O6" s="7" t="s">
        <v>1737</v>
      </c>
      <c r="P6" s="7">
        <f>COUNTIF(M3:M26,"Critical Bottleneck")</f>
        <v>5</v>
      </c>
      <c r="V6" s="12" t="s">
        <v>559</v>
      </c>
      <c r="W6">
        <v>4174.623333333333</v>
      </c>
      <c r="X6">
        <v>0.8367</v>
      </c>
      <c r="Y6">
        <v>-158.46333333333268</v>
      </c>
      <c r="Z6">
        <v>1.0394564293587238</v>
      </c>
      <c r="AA6">
        <v>0.74342533711008585</v>
      </c>
      <c r="AB6" t="s">
        <v>230</v>
      </c>
    </row>
    <row r="7" spans="1:28" x14ac:dyDescent="0.35">
      <c r="A7" s="16" t="str">
        <f>'10_machine_capacity'!A26</f>
        <v>M012</v>
      </c>
      <c r="B7" s="16">
        <f>'10_machine_capacity'!E26</f>
        <v>4222.5600000000004</v>
      </c>
      <c r="C7" s="5">
        <f>'10_machine_capacity'!G26</f>
        <v>4175.9561666666668</v>
      </c>
      <c r="D7" s="5">
        <f>'10_machine_capacity'!H26</f>
        <v>46.603833333333569</v>
      </c>
      <c r="E7" s="5">
        <f>'10_machine_capacity'!I26</f>
        <v>0.988963132949364</v>
      </c>
      <c r="F7" s="5">
        <f>'11_oee_analysis'!F26</f>
        <v>0.89029999999999987</v>
      </c>
      <c r="G7" s="5">
        <f>'11_oee_analysis'!G26</f>
        <v>0.9006266334000087</v>
      </c>
      <c r="H7" s="5">
        <f>'11_oee_analysis'!H26</f>
        <v>0.99015714285714285</v>
      </c>
      <c r="I7" s="5">
        <f>'11_oee_analysis'!I26</f>
        <v>0.79393561432470849</v>
      </c>
      <c r="J7" s="5" t="str">
        <f>'10_machine_capacity'!J26</f>
        <v>High Utilization</v>
      </c>
      <c r="K7" s="5" t="str">
        <f t="shared" si="0"/>
        <v>No</v>
      </c>
      <c r="L7" s="5" t="str">
        <f t="shared" si="1"/>
        <v>Availability</v>
      </c>
      <c r="M7" s="5" t="str">
        <f t="shared" si="2"/>
        <v>No Bottleneck</v>
      </c>
      <c r="O7" s="7" t="s">
        <v>1738</v>
      </c>
      <c r="P7" s="7">
        <f>AVERAGE(E2:E26)</f>
        <v>1.0012167812195549</v>
      </c>
      <c r="V7" s="12" t="s">
        <v>677</v>
      </c>
      <c r="W7">
        <v>4174.929000000001</v>
      </c>
      <c r="X7">
        <v>0.85910000000000009</v>
      </c>
      <c r="Y7">
        <v>-1.3290000000015425</v>
      </c>
      <c r="Z7">
        <v>1.0003184301322603</v>
      </c>
      <c r="AA7">
        <v>0.75470615265327967</v>
      </c>
      <c r="AB7" t="s">
        <v>230</v>
      </c>
    </row>
    <row r="8" spans="1:28" x14ac:dyDescent="0.35">
      <c r="A8" s="12" t="str">
        <f>'10_machine_capacity'!A24</f>
        <v>M015</v>
      </c>
      <c r="B8" s="12">
        <f>'10_machine_capacity'!E24</f>
        <v>4184.6399999999994</v>
      </c>
      <c r="C8">
        <f>'10_machine_capacity'!G24</f>
        <v>4175.3556666666673</v>
      </c>
      <c r="D8">
        <f>'10_machine_capacity'!H24</f>
        <v>9.2843333333321425</v>
      </c>
      <c r="E8">
        <f>'10_machine_capacity'!I24</f>
        <v>0.99778133045295836</v>
      </c>
      <c r="F8">
        <f>'11_oee_analysis'!F24</f>
        <v>0.9052</v>
      </c>
      <c r="G8">
        <f>'11_oee_analysis'!G24</f>
        <v>0.90983513132067551</v>
      </c>
      <c r="H8">
        <f>'11_oee_analysis'!H24</f>
        <v>0.98988750000000003</v>
      </c>
      <c r="I8">
        <f>'11_oee_analysis'!I24</f>
        <v>0.81525428020216262</v>
      </c>
      <c r="J8" t="str">
        <f>'10_machine_capacity'!J24</f>
        <v>High Utilization</v>
      </c>
      <c r="K8" t="str">
        <f t="shared" si="0"/>
        <v>No</v>
      </c>
      <c r="L8" t="str">
        <f t="shared" si="1"/>
        <v>Availability</v>
      </c>
      <c r="M8" t="str">
        <f t="shared" si="2"/>
        <v>No Bottleneck</v>
      </c>
      <c r="O8" s="7" t="s">
        <v>482</v>
      </c>
      <c r="P8" s="7">
        <f>AVERAGE(I7:I26)</f>
        <v>0.77123310545923585</v>
      </c>
      <c r="V8" s="12" t="s">
        <v>590</v>
      </c>
      <c r="W8">
        <v>4174.7338333333337</v>
      </c>
      <c r="X8">
        <v>0.90760000000000007</v>
      </c>
      <c r="Y8">
        <v>-95.693833333334169</v>
      </c>
      <c r="Z8">
        <v>1.0234598908893597</v>
      </c>
      <c r="AA8">
        <v>0.82177924186852491</v>
      </c>
      <c r="AB8" t="s">
        <v>230</v>
      </c>
    </row>
    <row r="9" spans="1:28" x14ac:dyDescent="0.35">
      <c r="A9" s="12" t="str">
        <f>'10_machine_capacity'!A11</f>
        <v>M016</v>
      </c>
      <c r="B9" s="12">
        <f>'10_machine_capacity'!E11</f>
        <v>4178.8799999999992</v>
      </c>
      <c r="C9">
        <f>'10_machine_capacity'!G11</f>
        <v>4174.2214999999997</v>
      </c>
      <c r="D9">
        <f>'10_machine_capacity'!H11</f>
        <v>4.6584999999995489</v>
      </c>
      <c r="E9">
        <f>'10_machine_capacity'!I11</f>
        <v>0.99888522762079801</v>
      </c>
      <c r="F9">
        <f>'11_oee_analysis'!F11</f>
        <v>0.88049999999999995</v>
      </c>
      <c r="G9">
        <f>'11_oee_analysis'!G11</f>
        <v>0.86753620851291013</v>
      </c>
      <c r="H9">
        <f>'11_oee_analysis'!H11</f>
        <v>0.98867499999999997</v>
      </c>
      <c r="I9">
        <f>'11_oee_analysis'!I11</f>
        <v>0.75521485331779703</v>
      </c>
      <c r="J9" t="str">
        <f>'10_machine_capacity'!J11</f>
        <v>High Utilization</v>
      </c>
      <c r="K9" t="str">
        <f t="shared" si="0"/>
        <v>No</v>
      </c>
      <c r="L9" t="str">
        <f t="shared" si="1"/>
        <v>Performance</v>
      </c>
      <c r="M9" t="str">
        <f t="shared" si="2"/>
        <v>No Bottleneck</v>
      </c>
      <c r="O9" s="7" t="s">
        <v>1739</v>
      </c>
      <c r="P9" s="7">
        <f>-SUMIF(D7:D26,"&lt;0",D7:D26)</f>
        <v>949.90416666667124</v>
      </c>
      <c r="V9" s="12" t="s">
        <v>622</v>
      </c>
      <c r="W9">
        <v>4174.9475000000002</v>
      </c>
      <c r="X9">
        <v>0.87180000000000002</v>
      </c>
      <c r="Y9">
        <v>-76.707500000000437</v>
      </c>
      <c r="Z9">
        <v>1.0187171810338098</v>
      </c>
      <c r="AA9">
        <v>0.78243470425169459</v>
      </c>
      <c r="AB9" t="s">
        <v>230</v>
      </c>
    </row>
    <row r="10" spans="1:28" x14ac:dyDescent="0.35">
      <c r="A10" s="12" t="str">
        <f>'10_machine_capacity'!A13</f>
        <v>M022</v>
      </c>
      <c r="B10" s="12">
        <f>'10_machine_capacity'!E13</f>
        <v>4369.92</v>
      </c>
      <c r="C10">
        <f>'10_machine_capacity'!G13</f>
        <v>4175.3734999999997</v>
      </c>
      <c r="D10">
        <f>'10_machine_capacity'!H13</f>
        <v>194.54650000000038</v>
      </c>
      <c r="E10">
        <f>'10_machine_capacity'!I13</f>
        <v>0.95548053511277087</v>
      </c>
      <c r="F10">
        <f>'11_oee_analysis'!F13</f>
        <v>0.87970000000000004</v>
      </c>
      <c r="G10">
        <f>'11_oee_analysis'!G13</f>
        <v>0.88822301586168029</v>
      </c>
      <c r="H10">
        <f>'11_oee_analysis'!H13</f>
        <v>0.98475000000000001</v>
      </c>
      <c r="I10">
        <f>'11_oee_analysis'!I13</f>
        <v>0.76945389780095408</v>
      </c>
      <c r="J10" t="str">
        <f>'10_machine_capacity'!J13</f>
        <v>High Utilization</v>
      </c>
      <c r="K10" t="str">
        <f t="shared" si="0"/>
        <v>No</v>
      </c>
      <c r="L10" t="str">
        <f t="shared" si="1"/>
        <v>Availability</v>
      </c>
      <c r="M10" t="str">
        <f t="shared" si="2"/>
        <v>No Bottleneck</v>
      </c>
      <c r="O10" s="7" t="s">
        <v>1740</v>
      </c>
      <c r="P10">
        <f>MIN(D7:D26)</f>
        <v>-172.94766666666783</v>
      </c>
      <c r="V10" s="12" t="s">
        <v>649</v>
      </c>
      <c r="W10">
        <v>4174.148000000001</v>
      </c>
      <c r="X10">
        <v>0.84520000000000006</v>
      </c>
      <c r="Y10">
        <v>-125.82800000000134</v>
      </c>
      <c r="Z10">
        <v>1.0310815350565177</v>
      </c>
      <c r="AA10">
        <v>0.74466206939267277</v>
      </c>
      <c r="AB10" t="s">
        <v>230</v>
      </c>
    </row>
    <row r="11" spans="1:28" x14ac:dyDescent="0.35">
      <c r="A11" s="12" t="str">
        <f>'10_machine_capacity'!A15</f>
        <v>M023</v>
      </c>
      <c r="B11" s="12">
        <f>'10_machine_capacity'!E15</f>
        <v>4344.96</v>
      </c>
      <c r="C11">
        <f>'10_machine_capacity'!G15</f>
        <v>4175.6196666666665</v>
      </c>
      <c r="D11">
        <f>'10_machine_capacity'!H15</f>
        <v>169.34033333333355</v>
      </c>
      <c r="E11">
        <f>'10_machine_capacity'!I15</f>
        <v>0.9610260316934256</v>
      </c>
      <c r="F11">
        <f>'11_oee_analysis'!F15</f>
        <v>0.85919999999999985</v>
      </c>
      <c r="G11">
        <f>'11_oee_analysis'!G15</f>
        <v>0.8875433512402825</v>
      </c>
      <c r="H11">
        <f>'11_oee_analysis'!H15</f>
        <v>0.98893000000000009</v>
      </c>
      <c r="I11">
        <f>'11_oee_analysis'!I15</f>
        <v>0.75413551725709149</v>
      </c>
      <c r="J11" t="str">
        <f>'10_machine_capacity'!J15</f>
        <v>High Utilization</v>
      </c>
      <c r="K11" t="str">
        <f t="shared" si="0"/>
        <v>No</v>
      </c>
      <c r="L11" t="str">
        <f t="shared" si="1"/>
        <v>Availability</v>
      </c>
      <c r="M11" t="str">
        <f t="shared" si="2"/>
        <v>No Bottleneck</v>
      </c>
      <c r="V11" s="12" t="s">
        <v>578</v>
      </c>
      <c r="W11">
        <v>4175.751666666667</v>
      </c>
      <c r="X11">
        <v>0.84340000000000004</v>
      </c>
      <c r="Y11">
        <v>-27.111666666667588</v>
      </c>
      <c r="Z11">
        <v>1.0065350733413041</v>
      </c>
      <c r="AA11">
        <v>0.74860987909992072</v>
      </c>
      <c r="AB11" t="s">
        <v>230</v>
      </c>
    </row>
    <row r="12" spans="1:28" x14ac:dyDescent="0.35">
      <c r="A12" s="12" t="str">
        <f>'10_machine_capacity'!A8</f>
        <v>M024</v>
      </c>
      <c r="B12" s="12">
        <f>'10_machine_capacity'!E8</f>
        <v>4198.0800000000008</v>
      </c>
      <c r="C12">
        <f>'10_machine_capacity'!G8</f>
        <v>4175.5265000000009</v>
      </c>
      <c r="D12">
        <f>'10_machine_capacity'!H8</f>
        <v>22.553499999999985</v>
      </c>
      <c r="E12">
        <f>'10_machine_capacity'!I8</f>
        <v>0.9946276631221892</v>
      </c>
      <c r="F12">
        <f>'11_oee_analysis'!F8</f>
        <v>0.88009999999999988</v>
      </c>
      <c r="G12">
        <f>'11_oee_analysis'!G8</f>
        <v>0.89206090414643291</v>
      </c>
      <c r="H12">
        <f>'11_oee_analysis'!H8</f>
        <v>0.98529</v>
      </c>
      <c r="I12">
        <f>'11_oee_analysis'!I8</f>
        <v>0.77355393952569074</v>
      </c>
      <c r="J12" t="str">
        <f>'10_machine_capacity'!J8</f>
        <v>High Utilization</v>
      </c>
      <c r="K12" t="str">
        <f t="shared" si="0"/>
        <v>No</v>
      </c>
      <c r="L12" t="str">
        <f t="shared" si="1"/>
        <v>Availability</v>
      </c>
      <c r="M12" t="str">
        <f t="shared" si="2"/>
        <v>No Bottleneck</v>
      </c>
      <c r="V12" s="12" t="s">
        <v>552</v>
      </c>
      <c r="W12">
        <v>4175.4780000000001</v>
      </c>
      <c r="X12">
        <v>0.86570000000000003</v>
      </c>
      <c r="Y12">
        <v>-51.318000000000211</v>
      </c>
      <c r="Z12">
        <v>1.0124432611731844</v>
      </c>
      <c r="AA12">
        <v>0.76126787340862756</v>
      </c>
      <c r="AB12" t="s">
        <v>230</v>
      </c>
    </row>
    <row r="13" spans="1:28" x14ac:dyDescent="0.35">
      <c r="A13" s="12" t="str">
        <f>'10_machine_capacity'!A23</f>
        <v>M025</v>
      </c>
      <c r="B13" s="12">
        <f>'10_machine_capacity'!E23</f>
        <v>4273.4399999999996</v>
      </c>
      <c r="C13">
        <f>'10_machine_capacity'!G23</f>
        <v>4175.7816666666668</v>
      </c>
      <c r="D13">
        <f>'10_machine_capacity'!H23</f>
        <v>97.658333333332848</v>
      </c>
      <c r="E13">
        <f>'10_machine_capacity'!I23</f>
        <v>0.97714760629999886</v>
      </c>
      <c r="F13">
        <f>'11_oee_analysis'!F23</f>
        <v>0.91039999999999999</v>
      </c>
      <c r="G13">
        <f>'11_oee_analysis'!G23</f>
        <v>0.9075473060897401</v>
      </c>
      <c r="H13">
        <f>'11_oee_analysis'!H23</f>
        <v>0.98617999999999995</v>
      </c>
      <c r="I13">
        <f>'11_oee_analysis'!I23</f>
        <v>0.81481255411174547</v>
      </c>
      <c r="J13" t="str">
        <f>'10_machine_capacity'!J23</f>
        <v>High Utilization</v>
      </c>
      <c r="K13" t="str">
        <f t="shared" si="0"/>
        <v>No</v>
      </c>
      <c r="L13" t="str">
        <f t="shared" si="1"/>
        <v>Performance</v>
      </c>
      <c r="M13" t="str">
        <f t="shared" si="2"/>
        <v>No Bottleneck</v>
      </c>
      <c r="O13" t="s">
        <v>1686</v>
      </c>
      <c r="P13" s="1" t="s">
        <v>1742</v>
      </c>
      <c r="V13" s="12" t="s">
        <v>614</v>
      </c>
      <c r="W13">
        <v>4174.9915000000001</v>
      </c>
      <c r="X13">
        <v>0.86430000000000007</v>
      </c>
      <c r="Y13">
        <v>-21.071500000000015</v>
      </c>
      <c r="Z13">
        <v>1.0050726783375703</v>
      </c>
      <c r="AA13">
        <v>0.78128757942840332</v>
      </c>
      <c r="AB13" t="s">
        <v>230</v>
      </c>
    </row>
    <row r="14" spans="1:28" x14ac:dyDescent="0.35">
      <c r="A14" s="12" t="str">
        <f>'10_machine_capacity'!A12</f>
        <v>M001</v>
      </c>
      <c r="B14" s="12">
        <f>'10_machine_capacity'!E12</f>
        <v>4155.3599999999997</v>
      </c>
      <c r="C14">
        <f>'10_machine_capacity'!G12</f>
        <v>4174.7963333333337</v>
      </c>
      <c r="D14">
        <f>'10_machine_capacity'!H12</f>
        <v>-19.436333333334005</v>
      </c>
      <c r="E14">
        <f>'10_machine_capacity'!I12</f>
        <v>1.0046774126269045</v>
      </c>
      <c r="F14">
        <f>'11_oee_analysis'!F12</f>
        <v>0.87629999999999997</v>
      </c>
      <c r="G14">
        <f>'11_oee_analysis'!G12</f>
        <v>0.89317047730870047</v>
      </c>
      <c r="H14">
        <f>'11_oee_analysis'!H12</f>
        <v>0.98323333333333329</v>
      </c>
      <c r="I14">
        <f>'11_oee_analysis'!I12</f>
        <v>0.76956226591559407</v>
      </c>
      <c r="J14" t="str">
        <f>'10_machine_capacity'!J12</f>
        <v>Capacity Shortage</v>
      </c>
      <c r="K14" t="str">
        <f t="shared" si="0"/>
        <v>Yes</v>
      </c>
      <c r="L14" t="str">
        <f t="shared" si="1"/>
        <v>Availability</v>
      </c>
      <c r="M14" t="str">
        <f t="shared" si="2"/>
        <v>Bottleneck</v>
      </c>
      <c r="V14" s="12" t="s">
        <v>632</v>
      </c>
      <c r="W14">
        <v>4175.2153333333326</v>
      </c>
      <c r="X14">
        <v>0.86359999999999992</v>
      </c>
      <c r="Y14">
        <v>-29.935333333332892</v>
      </c>
      <c r="Z14">
        <v>1.0072215467551848</v>
      </c>
      <c r="AA14">
        <v>0.76407081002672017</v>
      </c>
      <c r="AB14" t="s">
        <v>230</v>
      </c>
    </row>
    <row r="15" spans="1:28" x14ac:dyDescent="0.35">
      <c r="A15" s="12" t="str">
        <f>'10_machine_capacity'!A3</f>
        <v>M002</v>
      </c>
      <c r="B15" s="12">
        <f>'10_machine_capacity'!E3</f>
        <v>4016.1600000000003</v>
      </c>
      <c r="C15">
        <f>'10_machine_capacity'!G3</f>
        <v>4174.623333333333</v>
      </c>
      <c r="D15">
        <f>'10_machine_capacity'!H3</f>
        <v>-158.46333333333268</v>
      </c>
      <c r="E15">
        <f>'10_machine_capacity'!I3</f>
        <v>1.0394564293587238</v>
      </c>
      <c r="F15">
        <f>'11_oee_analysis'!F3</f>
        <v>0.8367</v>
      </c>
      <c r="G15">
        <f>'11_oee_analysis'!G3</f>
        <v>0.89980774396695107</v>
      </c>
      <c r="H15">
        <f>'11_oee_analysis'!H3</f>
        <v>0.98745625000000004</v>
      </c>
      <c r="I15">
        <f>'11_oee_analysis'!I3</f>
        <v>0.74342533711008585</v>
      </c>
      <c r="J15" t="str">
        <f>'10_machine_capacity'!J3</f>
        <v>Capacity Shortage</v>
      </c>
      <c r="K15" t="str">
        <f t="shared" si="0"/>
        <v>Yes</v>
      </c>
      <c r="L15" t="str">
        <f t="shared" si="1"/>
        <v>Availability</v>
      </c>
      <c r="M15" t="str">
        <f t="shared" si="2"/>
        <v>Critical Bottleneck</v>
      </c>
      <c r="V15" s="12" t="s">
        <v>784</v>
      </c>
      <c r="W15">
        <v>4175.5071666666663</v>
      </c>
      <c r="X15">
        <v>0.87459999999999993</v>
      </c>
      <c r="Y15">
        <v>-118.54716666666673</v>
      </c>
      <c r="Z15">
        <v>1.0292206890545301</v>
      </c>
      <c r="AA15">
        <v>0.76912736080874877</v>
      </c>
      <c r="AB15" t="s">
        <v>230</v>
      </c>
    </row>
    <row r="16" spans="1:28" x14ac:dyDescent="0.35">
      <c r="A16" s="12" t="str">
        <f>'10_machine_capacity'!A22</f>
        <v>M003</v>
      </c>
      <c r="B16" s="12">
        <f>'10_machine_capacity'!E22</f>
        <v>4173.5999999999995</v>
      </c>
      <c r="C16">
        <f>'10_machine_capacity'!G22</f>
        <v>4174.929000000001</v>
      </c>
      <c r="D16">
        <f>'10_machine_capacity'!H22</f>
        <v>-1.3290000000015425</v>
      </c>
      <c r="E16">
        <f>'10_machine_capacity'!I22</f>
        <v>1.0003184301322603</v>
      </c>
      <c r="F16">
        <f>'11_oee_analysis'!F22</f>
        <v>0.85910000000000009</v>
      </c>
      <c r="G16">
        <f>'11_oee_analysis'!G22</f>
        <v>0.88969479255789707</v>
      </c>
      <c r="H16">
        <f>'11_oee_analysis'!H22</f>
        <v>0.98740000000000006</v>
      </c>
      <c r="I16">
        <f>'11_oee_analysis'!I22</f>
        <v>0.75470615265327967</v>
      </c>
      <c r="J16" t="str">
        <f>'10_machine_capacity'!J22</f>
        <v>Capacity Shortage</v>
      </c>
      <c r="K16" t="str">
        <f t="shared" si="0"/>
        <v>Yes</v>
      </c>
      <c r="L16" t="str">
        <f t="shared" si="1"/>
        <v>Availability</v>
      </c>
      <c r="M16" t="str">
        <f t="shared" si="2"/>
        <v>Bottleneck</v>
      </c>
      <c r="V16" s="12" t="s">
        <v>563</v>
      </c>
      <c r="W16">
        <v>4175.1876666666676</v>
      </c>
      <c r="X16">
        <v>0.86950000000000005</v>
      </c>
      <c r="Y16">
        <v>-172.94766666666783</v>
      </c>
      <c r="Z16">
        <v>1.0432127175448418</v>
      </c>
      <c r="AA16">
        <v>0.75561289411597021</v>
      </c>
      <c r="AB16" t="s">
        <v>230</v>
      </c>
    </row>
    <row r="17" spans="1:28" x14ac:dyDescent="0.35">
      <c r="A17" s="12" t="str">
        <f>'10_machine_capacity'!A9</f>
        <v>M004</v>
      </c>
      <c r="B17" s="12">
        <f>'10_machine_capacity'!E9</f>
        <v>4079.0399999999995</v>
      </c>
      <c r="C17">
        <f>'10_machine_capacity'!G9</f>
        <v>4174.7338333333337</v>
      </c>
      <c r="D17">
        <f>'10_machine_capacity'!H9</f>
        <v>-95.693833333334169</v>
      </c>
      <c r="E17">
        <f>'10_machine_capacity'!I9</f>
        <v>1.0234598908893597</v>
      </c>
      <c r="F17">
        <f>'11_oee_analysis'!F9</f>
        <v>0.90760000000000007</v>
      </c>
      <c r="G17">
        <f>'11_oee_analysis'!G9</f>
        <v>0.9166898758615778</v>
      </c>
      <c r="H17">
        <f>'11_oee_analysis'!H9</f>
        <v>0.98773</v>
      </c>
      <c r="I17">
        <f>'11_oee_analysis'!I9</f>
        <v>0.82177924186852491</v>
      </c>
      <c r="J17" t="str">
        <f>'10_machine_capacity'!J9</f>
        <v>Capacity Shortage</v>
      </c>
      <c r="K17" t="str">
        <f t="shared" si="0"/>
        <v>Yes</v>
      </c>
      <c r="L17" t="str">
        <f t="shared" si="1"/>
        <v>Availability</v>
      </c>
      <c r="M17" t="str">
        <f t="shared" si="2"/>
        <v>Critical Bottleneck</v>
      </c>
      <c r="V17" s="12" t="s">
        <v>656</v>
      </c>
      <c r="W17">
        <v>4175.1948333333321</v>
      </c>
      <c r="X17">
        <v>0.83379999999999999</v>
      </c>
      <c r="Y17">
        <v>-51.514833333331808</v>
      </c>
      <c r="Z17">
        <v>1.0124924420258923</v>
      </c>
      <c r="AA17">
        <v>0.75175528456432572</v>
      </c>
      <c r="AB17" t="s">
        <v>230</v>
      </c>
    </row>
    <row r="18" spans="1:28" x14ac:dyDescent="0.35">
      <c r="A18" s="12" t="str">
        <f>'10_machine_capacity'!A16</f>
        <v>M005</v>
      </c>
      <c r="B18" s="12">
        <f>'10_machine_capacity'!E16</f>
        <v>4098.24</v>
      </c>
      <c r="C18">
        <f>'10_machine_capacity'!G16</f>
        <v>4174.9475000000002</v>
      </c>
      <c r="D18">
        <f>'10_machine_capacity'!H16</f>
        <v>-76.707500000000437</v>
      </c>
      <c r="E18">
        <f>'10_machine_capacity'!I16</f>
        <v>1.0187171810338098</v>
      </c>
      <c r="F18">
        <f>'11_oee_analysis'!F16</f>
        <v>0.87180000000000002</v>
      </c>
      <c r="G18">
        <f>'11_oee_analysis'!G16</f>
        <v>0.90764077584886371</v>
      </c>
      <c r="H18">
        <f>'11_oee_analysis'!H16</f>
        <v>0.98881999999999992</v>
      </c>
      <c r="I18">
        <f>'11_oee_analysis'!I16</f>
        <v>0.78243470425169459</v>
      </c>
      <c r="J18" t="str">
        <f>'10_machine_capacity'!J16</f>
        <v>Capacity Shortage</v>
      </c>
      <c r="K18" t="str">
        <f t="shared" si="0"/>
        <v>Yes</v>
      </c>
      <c r="L18" t="str">
        <f t="shared" si="1"/>
        <v>Availability</v>
      </c>
      <c r="M18" t="str">
        <f t="shared" si="2"/>
        <v>Bottleneck</v>
      </c>
    </row>
    <row r="19" spans="1:28" x14ac:dyDescent="0.35">
      <c r="A19" s="12" t="str">
        <f>'10_machine_capacity'!A20</f>
        <v>M006</v>
      </c>
      <c r="B19" s="12">
        <f>'10_machine_capacity'!E20</f>
        <v>4048.3199999999997</v>
      </c>
      <c r="C19">
        <f>'10_machine_capacity'!G20</f>
        <v>4174.148000000001</v>
      </c>
      <c r="D19">
        <f>'10_machine_capacity'!H20</f>
        <v>-125.82800000000134</v>
      </c>
      <c r="E19">
        <f>'10_machine_capacity'!I20</f>
        <v>1.0310815350565177</v>
      </c>
      <c r="F19">
        <f>'11_oee_analysis'!F20</f>
        <v>0.84520000000000006</v>
      </c>
      <c r="G19">
        <f>'11_oee_analysis'!G20</f>
        <v>0.89469998530945538</v>
      </c>
      <c r="H19">
        <f>'11_oee_analysis'!H20</f>
        <v>0.98474166666666674</v>
      </c>
      <c r="I19">
        <f>'11_oee_analysis'!I20</f>
        <v>0.74466206939267277</v>
      </c>
      <c r="J19" t="str">
        <f>'10_machine_capacity'!J20</f>
        <v>Capacity Shortage</v>
      </c>
      <c r="K19" t="str">
        <f t="shared" si="0"/>
        <v>Yes</v>
      </c>
      <c r="L19" t="str">
        <f t="shared" si="1"/>
        <v>Availability</v>
      </c>
      <c r="M19" t="str">
        <f t="shared" si="2"/>
        <v>Critical Bottleneck</v>
      </c>
    </row>
    <row r="20" spans="1:28" x14ac:dyDescent="0.35">
      <c r="A20" s="17" t="str">
        <f>'10_machine_capacity'!A7</f>
        <v>M013</v>
      </c>
      <c r="B20" s="17">
        <f>'10_machine_capacity'!E7</f>
        <v>4148.6399999999994</v>
      </c>
      <c r="C20">
        <f>'10_machine_capacity'!G7</f>
        <v>4175.751666666667</v>
      </c>
      <c r="D20">
        <f>'10_machine_capacity'!H7</f>
        <v>-27.111666666667588</v>
      </c>
      <c r="E20">
        <f>'10_machine_capacity'!I7</f>
        <v>1.0065350733413041</v>
      </c>
      <c r="F20">
        <f>'11_oee_analysis'!F7</f>
        <v>0.84340000000000004</v>
      </c>
      <c r="G20">
        <f>'11_oee_analysis'!G7</f>
        <v>0.8991497732893835</v>
      </c>
      <c r="H20">
        <f>'11_oee_analysis'!H7</f>
        <v>0.98716538461538461</v>
      </c>
      <c r="I20">
        <f>'11_oee_analysis'!I7</f>
        <v>0.74860987909992072</v>
      </c>
      <c r="J20" t="str">
        <f>'10_machine_capacity'!J7</f>
        <v>Capacity Shortage</v>
      </c>
      <c r="K20" t="str">
        <f t="shared" si="0"/>
        <v>Yes</v>
      </c>
      <c r="L20" t="str">
        <f t="shared" si="1"/>
        <v>Availability</v>
      </c>
      <c r="M20" t="str">
        <f t="shared" si="2"/>
        <v>High Priority Bottleneck</v>
      </c>
      <c r="V20" t="s">
        <v>1680</v>
      </c>
      <c r="X20" s="17" t="s">
        <v>1748</v>
      </c>
    </row>
    <row r="21" spans="1:28" x14ac:dyDescent="0.35">
      <c r="A21" s="12" t="str">
        <f>'10_machine_capacity'!A2</f>
        <v>M014</v>
      </c>
      <c r="B21" s="12">
        <f>'10_machine_capacity'!E2</f>
        <v>4124.16</v>
      </c>
      <c r="C21">
        <f>'10_machine_capacity'!G2</f>
        <v>4175.4780000000001</v>
      </c>
      <c r="D21">
        <f>'10_machine_capacity'!H2</f>
        <v>-51.318000000000211</v>
      </c>
      <c r="E21">
        <f>'10_machine_capacity'!I2</f>
        <v>1.0124432611731844</v>
      </c>
      <c r="F21">
        <f>'11_oee_analysis'!F2</f>
        <v>0.86570000000000003</v>
      </c>
      <c r="G21">
        <f>'11_oee_analysis'!G2</f>
        <v>0.89089217137775656</v>
      </c>
      <c r="H21">
        <f>'11_oee_analysis'!H2</f>
        <v>0.98706315789473686</v>
      </c>
      <c r="I21">
        <f>'11_oee_analysis'!I2</f>
        <v>0.76126787340862756</v>
      </c>
      <c r="J21" t="str">
        <f>'10_machine_capacity'!J2</f>
        <v>Capacity Shortage</v>
      </c>
      <c r="K21" t="str">
        <f t="shared" si="0"/>
        <v>Yes</v>
      </c>
      <c r="L21" t="str">
        <f t="shared" si="1"/>
        <v>Availability</v>
      </c>
      <c r="M21" t="str">
        <f t="shared" si="2"/>
        <v>Bottleneck</v>
      </c>
      <c r="V21" s="10" t="s">
        <v>120</v>
      </c>
      <c r="W21" s="11" t="s">
        <v>1744</v>
      </c>
      <c r="X21" s="11" t="s">
        <v>1745</v>
      </c>
      <c r="Y21" s="11" t="s">
        <v>1746</v>
      </c>
      <c r="Z21" s="11" t="s">
        <v>1731</v>
      </c>
      <c r="AA21" s="11" t="s">
        <v>229</v>
      </c>
      <c r="AB21" s="10" t="s">
        <v>1747</v>
      </c>
    </row>
    <row r="22" spans="1:28" x14ac:dyDescent="0.35">
      <c r="A22" s="12" t="str">
        <f>'10_machine_capacity'!A14</f>
        <v>M017</v>
      </c>
      <c r="B22" s="12">
        <f>'10_machine_capacity'!E14</f>
        <v>4153.92</v>
      </c>
      <c r="C22">
        <f>'10_machine_capacity'!G14</f>
        <v>4174.9915000000001</v>
      </c>
      <c r="D22">
        <f>'10_machine_capacity'!H14</f>
        <v>-21.071500000000015</v>
      </c>
      <c r="E22">
        <f>'10_machine_capacity'!I14</f>
        <v>1.0050726783375703</v>
      </c>
      <c r="F22">
        <f>'11_oee_analysis'!F14</f>
        <v>0.86430000000000007</v>
      </c>
      <c r="G22">
        <f>'11_oee_analysis'!G14</f>
        <v>0.91872262497044033</v>
      </c>
      <c r="H22">
        <f>'11_oee_analysis'!H14</f>
        <v>0.98392500000000005</v>
      </c>
      <c r="I22">
        <f>'11_oee_analysis'!I14</f>
        <v>0.78128757942840332</v>
      </c>
      <c r="J22" t="str">
        <f>'10_machine_capacity'!J14</f>
        <v>Capacity Shortage</v>
      </c>
      <c r="K22" t="str">
        <f t="shared" si="0"/>
        <v>Yes</v>
      </c>
      <c r="L22" t="str">
        <f t="shared" si="1"/>
        <v>Availability</v>
      </c>
      <c r="M22" t="str">
        <f t="shared" si="2"/>
        <v>Bottleneck</v>
      </c>
      <c r="V22" t="s">
        <v>559</v>
      </c>
      <c r="W22">
        <v>4174.623333333333</v>
      </c>
      <c r="X22">
        <v>4016.1600000000003</v>
      </c>
      <c r="Y22">
        <v>-158.46333333333268</v>
      </c>
      <c r="Z22">
        <v>1.0394564293587238</v>
      </c>
      <c r="AA22">
        <v>0.74342533711008585</v>
      </c>
      <c r="AB22" t="str">
        <f t="shared" ref="AB22:AB27" si="3">IF(MIN(V22:X22)=V22,"Availability",IF(MIN(V22:X22)=W22,"Performance","Quality"))</f>
        <v>Quality</v>
      </c>
    </row>
    <row r="23" spans="1:28" x14ac:dyDescent="0.35">
      <c r="A23" s="12" t="str">
        <f>'10_machine_capacity'!A19</f>
        <v>M018</v>
      </c>
      <c r="B23" s="12">
        <f>'10_machine_capacity'!E19</f>
        <v>4145.28</v>
      </c>
      <c r="C23">
        <f>'10_machine_capacity'!G19</f>
        <v>4175.2153333333326</v>
      </c>
      <c r="D23">
        <f>'10_machine_capacity'!H19</f>
        <v>-29.935333333332892</v>
      </c>
      <c r="E23">
        <f>'10_machine_capacity'!I19</f>
        <v>1.0072215467551848</v>
      </c>
      <c r="F23">
        <f>'11_oee_analysis'!F19</f>
        <v>0.86359999999999992</v>
      </c>
      <c r="G23">
        <f>'11_oee_analysis'!G19</f>
        <v>0.90476883259191621</v>
      </c>
      <c r="H23">
        <f>'11_oee_analysis'!H19</f>
        <v>0.97787500000000005</v>
      </c>
      <c r="I23">
        <f>'11_oee_analysis'!I19</f>
        <v>0.76407081002672017</v>
      </c>
      <c r="J23" t="str">
        <f>'10_machine_capacity'!J19</f>
        <v>Capacity Shortage</v>
      </c>
      <c r="K23" t="str">
        <f t="shared" si="0"/>
        <v>Yes</v>
      </c>
      <c r="L23" t="str">
        <f t="shared" si="1"/>
        <v>Availability</v>
      </c>
      <c r="M23" t="str">
        <f t="shared" si="2"/>
        <v>Bottleneck</v>
      </c>
      <c r="V23" t="s">
        <v>590</v>
      </c>
      <c r="W23">
        <v>4174.7338333333337</v>
      </c>
      <c r="X23">
        <v>4079.0399999999995</v>
      </c>
      <c r="Y23">
        <v>-95.693833333334169</v>
      </c>
      <c r="Z23">
        <v>1.0234598908893597</v>
      </c>
      <c r="AA23">
        <v>0.82177924186852491</v>
      </c>
      <c r="AB23" t="str">
        <f t="shared" si="3"/>
        <v>Quality</v>
      </c>
    </row>
    <row r="24" spans="1:28" x14ac:dyDescent="0.35">
      <c r="A24" s="12" t="str">
        <f>'10_machine_capacity'!A25</f>
        <v>M019</v>
      </c>
      <c r="B24" s="12">
        <f>'10_machine_capacity'!E25</f>
        <v>4056.9599999999996</v>
      </c>
      <c r="C24">
        <f>'10_machine_capacity'!G25</f>
        <v>4175.5071666666663</v>
      </c>
      <c r="D24">
        <f>'10_machine_capacity'!H25</f>
        <v>-118.54716666666673</v>
      </c>
      <c r="E24">
        <f>'10_machine_capacity'!I25</f>
        <v>1.0292206890545301</v>
      </c>
      <c r="F24">
        <f>'11_oee_analysis'!F25</f>
        <v>0.87459999999999993</v>
      </c>
      <c r="G24">
        <f>'11_oee_analysis'!G25</f>
        <v>0.89128855910433435</v>
      </c>
      <c r="H24">
        <f>'11_oee_analysis'!H25</f>
        <v>0.9866666666666668</v>
      </c>
      <c r="I24">
        <f>'11_oee_analysis'!I25</f>
        <v>0.76912736080874877</v>
      </c>
      <c r="J24" t="str">
        <f>'10_machine_capacity'!J25</f>
        <v>Capacity Shortage</v>
      </c>
      <c r="K24" t="str">
        <f t="shared" si="0"/>
        <v>Yes</v>
      </c>
      <c r="L24" t="str">
        <f t="shared" si="1"/>
        <v>Availability</v>
      </c>
      <c r="M24" t="str">
        <f t="shared" si="2"/>
        <v>Critical Bottleneck</v>
      </c>
      <c r="V24" t="s">
        <v>649</v>
      </c>
      <c r="W24">
        <v>4174.148000000001</v>
      </c>
      <c r="X24">
        <v>4048.3199999999997</v>
      </c>
      <c r="Y24">
        <v>-125.82800000000134</v>
      </c>
      <c r="Z24">
        <v>1.0310815350565177</v>
      </c>
      <c r="AA24">
        <v>0.74466206939267277</v>
      </c>
      <c r="AB24" t="str">
        <f t="shared" si="3"/>
        <v>Quality</v>
      </c>
    </row>
    <row r="25" spans="1:28" x14ac:dyDescent="0.35">
      <c r="A25" s="12" t="str">
        <f>'10_machine_capacity'!A4</f>
        <v>M020</v>
      </c>
      <c r="B25" s="12">
        <f>'10_machine_capacity'!E4</f>
        <v>4002.24</v>
      </c>
      <c r="C25">
        <f>'10_machine_capacity'!G4</f>
        <v>4175.1876666666676</v>
      </c>
      <c r="D25">
        <f>'10_machine_capacity'!H4</f>
        <v>-172.94766666666783</v>
      </c>
      <c r="E25">
        <f>'10_machine_capacity'!I4</f>
        <v>1.0432127175448418</v>
      </c>
      <c r="F25">
        <f>'11_oee_analysis'!F4</f>
        <v>0.86950000000000005</v>
      </c>
      <c r="G25">
        <f>'11_oee_analysis'!G4</f>
        <v>0.8817486767024032</v>
      </c>
      <c r="H25">
        <f>'11_oee_analysis'!H4</f>
        <v>0.98556428571428578</v>
      </c>
      <c r="I25">
        <f>'11_oee_analysis'!I4</f>
        <v>0.75561289411597021</v>
      </c>
      <c r="J25" t="str">
        <f>'10_machine_capacity'!J4</f>
        <v>Capacity Shortage</v>
      </c>
      <c r="K25" t="str">
        <f t="shared" si="0"/>
        <v>Yes</v>
      </c>
      <c r="L25" t="str">
        <f t="shared" si="1"/>
        <v>Availability</v>
      </c>
      <c r="M25" t="str">
        <f t="shared" si="2"/>
        <v>Critical Bottleneck</v>
      </c>
      <c r="V25" t="s">
        <v>784</v>
      </c>
      <c r="W25">
        <v>4175.5071666666663</v>
      </c>
      <c r="X25">
        <v>4056.9599999999996</v>
      </c>
      <c r="Y25">
        <v>-118.54716666666673</v>
      </c>
      <c r="Z25">
        <v>1.0292206890545301</v>
      </c>
      <c r="AA25">
        <v>0.76912736080874877</v>
      </c>
      <c r="AB25" t="str">
        <f t="shared" si="3"/>
        <v>Quality</v>
      </c>
    </row>
    <row r="26" spans="1:28" x14ac:dyDescent="0.35">
      <c r="A26" s="12" t="str">
        <f>'10_machine_capacity'!A21</f>
        <v>M021</v>
      </c>
      <c r="B26" s="12">
        <f>'10_machine_capacity'!E21</f>
        <v>4123.68</v>
      </c>
      <c r="C26">
        <f>'10_machine_capacity'!G21</f>
        <v>4175.1948333333321</v>
      </c>
      <c r="D26">
        <f>'10_machine_capacity'!H21</f>
        <v>-51.514833333331808</v>
      </c>
      <c r="E26">
        <f>'10_machine_capacity'!I21</f>
        <v>1.0124924420258923</v>
      </c>
      <c r="F26">
        <f>'11_oee_analysis'!F21</f>
        <v>0.83379999999999999</v>
      </c>
      <c r="G26">
        <f>'11_oee_analysis'!G21</f>
        <v>0.91335562903257284</v>
      </c>
      <c r="H26">
        <f>'11_oee_analysis'!H21</f>
        <v>0.98713076923076915</v>
      </c>
      <c r="I26">
        <f>'11_oee_analysis'!I21</f>
        <v>0.75175528456432572</v>
      </c>
      <c r="J26" t="str">
        <f>'10_machine_capacity'!J21</f>
        <v>Capacity Shortage</v>
      </c>
      <c r="K26" t="str">
        <f t="shared" si="0"/>
        <v>Yes</v>
      </c>
      <c r="L26" t="str">
        <f t="shared" si="1"/>
        <v>Availability</v>
      </c>
      <c r="M26" t="str">
        <f t="shared" si="2"/>
        <v>Bottleneck</v>
      </c>
      <c r="V26" t="s">
        <v>563</v>
      </c>
      <c r="W26">
        <v>4175.1876666666676</v>
      </c>
      <c r="X26">
        <v>4002.24</v>
      </c>
      <c r="Y26">
        <v>-172.94766666666783</v>
      </c>
      <c r="Z26">
        <v>1.0432127175448418</v>
      </c>
      <c r="AA26">
        <v>0.75561289411597021</v>
      </c>
      <c r="AB26" t="str">
        <f t="shared" si="3"/>
        <v>Quality</v>
      </c>
    </row>
    <row r="27" spans="1:28" x14ac:dyDescent="0.35">
      <c r="A27" s="12"/>
      <c r="V27" t="s">
        <v>578</v>
      </c>
      <c r="W27">
        <v>4148.6399999999994</v>
      </c>
      <c r="X27">
        <v>4175.751666666667</v>
      </c>
      <c r="Y27">
        <v>-27.111666666667588</v>
      </c>
      <c r="Z27">
        <v>1.0065350733413041</v>
      </c>
      <c r="AA27">
        <v>0.74860987909992072</v>
      </c>
      <c r="AB27" s="5" t="str">
        <f t="shared" si="3"/>
        <v>Performance</v>
      </c>
    </row>
    <row r="30" spans="1:28" x14ac:dyDescent="0.35">
      <c r="X30" s="10" t="s">
        <v>120</v>
      </c>
      <c r="Y30" s="11" t="s">
        <v>1731</v>
      </c>
      <c r="Z30" s="11" t="s">
        <v>1746</v>
      </c>
    </row>
    <row r="31" spans="1:28" x14ac:dyDescent="0.35">
      <c r="X31" s="12" t="s">
        <v>601</v>
      </c>
      <c r="Y31">
        <v>1.0046774126269045</v>
      </c>
      <c r="Z31">
        <v>-19.436333333334005</v>
      </c>
    </row>
    <row r="32" spans="1:28" x14ac:dyDescent="0.35">
      <c r="O32" t="s">
        <v>1686</v>
      </c>
      <c r="P32" s="1" t="s">
        <v>1743</v>
      </c>
      <c r="X32" s="12" t="s">
        <v>559</v>
      </c>
      <c r="Y32">
        <v>1.0394564293587238</v>
      </c>
      <c r="Z32">
        <v>-158.46333333333268</v>
      </c>
    </row>
    <row r="33" spans="24:26" x14ac:dyDescent="0.35">
      <c r="X33" s="12" t="s">
        <v>677</v>
      </c>
      <c r="Y33">
        <v>1.0003184301322603</v>
      </c>
      <c r="Z33">
        <v>-1.3290000000015425</v>
      </c>
    </row>
    <row r="34" spans="24:26" x14ac:dyDescent="0.35">
      <c r="X34" s="12" t="s">
        <v>590</v>
      </c>
      <c r="Y34">
        <v>1.0234598908893597</v>
      </c>
      <c r="Z34">
        <v>-95.693833333334169</v>
      </c>
    </row>
    <row r="35" spans="24:26" x14ac:dyDescent="0.35">
      <c r="X35" s="12" t="s">
        <v>622</v>
      </c>
      <c r="Y35">
        <v>1.0187171810338098</v>
      </c>
      <c r="Z35">
        <v>-76.707500000000437</v>
      </c>
    </row>
    <row r="36" spans="24:26" x14ac:dyDescent="0.35">
      <c r="X36" s="12" t="s">
        <v>649</v>
      </c>
      <c r="Y36">
        <v>1.0310815350565177</v>
      </c>
      <c r="Z36">
        <v>-125.82800000000134</v>
      </c>
    </row>
    <row r="37" spans="24:26" x14ac:dyDescent="0.35">
      <c r="X37" s="12" t="s">
        <v>578</v>
      </c>
      <c r="Y37">
        <v>1.0065350733413041</v>
      </c>
      <c r="Z37">
        <v>-27.111666666667588</v>
      </c>
    </row>
    <row r="38" spans="24:26" x14ac:dyDescent="0.35">
      <c r="X38" s="12" t="s">
        <v>552</v>
      </c>
      <c r="Y38">
        <v>1.0124432611731844</v>
      </c>
      <c r="Z38">
        <v>-51.318000000000211</v>
      </c>
    </row>
    <row r="39" spans="24:26" x14ac:dyDescent="0.35">
      <c r="X39" s="12" t="s">
        <v>614</v>
      </c>
      <c r="Y39">
        <v>1.0050726783375703</v>
      </c>
      <c r="Z39">
        <v>-21.071500000000015</v>
      </c>
    </row>
    <row r="40" spans="24:26" x14ac:dyDescent="0.35">
      <c r="X40" s="12" t="s">
        <v>632</v>
      </c>
      <c r="Y40">
        <v>1.0072215467551848</v>
      </c>
      <c r="Z40">
        <v>-29.935333333332892</v>
      </c>
    </row>
    <row r="41" spans="24:26" x14ac:dyDescent="0.35">
      <c r="X41" s="12" t="s">
        <v>784</v>
      </c>
      <c r="Y41">
        <v>1.0292206890545301</v>
      </c>
      <c r="Z41">
        <v>-118.54716666666673</v>
      </c>
    </row>
    <row r="42" spans="24:26" x14ac:dyDescent="0.35">
      <c r="X42" s="12" t="s">
        <v>563</v>
      </c>
      <c r="Y42">
        <v>1.0432127175448418</v>
      </c>
      <c r="Z42">
        <v>-172.94766666666783</v>
      </c>
    </row>
    <row r="43" spans="24:26" x14ac:dyDescent="0.35">
      <c r="X43" s="12" t="s">
        <v>656</v>
      </c>
      <c r="Y43">
        <v>1.0124924420258923</v>
      </c>
      <c r="Z43">
        <v>-51.514833333331808</v>
      </c>
    </row>
  </sheetData>
  <autoFilter ref="A1:M1" xr:uid="{37485B8B-9E0F-466A-BFE7-74D3F23BF9A1}">
    <sortState xmlns:xlrd2="http://schemas.microsoft.com/office/spreadsheetml/2017/richdata2" ref="A2:M26">
      <sortCondition ref="K1"/>
    </sortState>
  </autoFilter>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F975-BAFF-430E-8752-E2B3740F9C56}">
  <dimension ref="A1:AB501"/>
  <sheetViews>
    <sheetView topLeftCell="T20" zoomScale="68" zoomScaleNormal="60" workbookViewId="0">
      <selection activeCell="U48" sqref="U48:X49"/>
    </sheetView>
  </sheetViews>
  <sheetFormatPr defaultRowHeight="14.5" x14ac:dyDescent="0.35"/>
  <cols>
    <col min="1" max="1" width="13.54296875" bestFit="1" customWidth="1"/>
    <col min="2" max="2" width="16.81640625" bestFit="1" customWidth="1"/>
    <col min="3" max="3" width="13.08984375" bestFit="1" customWidth="1"/>
    <col min="4" max="4" width="16" bestFit="1" customWidth="1"/>
    <col min="5" max="5" width="11.54296875" bestFit="1" customWidth="1"/>
    <col min="6" max="6" width="12.54296875" bestFit="1" customWidth="1"/>
    <col min="7" max="7" width="11.26953125" bestFit="1" customWidth="1"/>
    <col min="8" max="8" width="20" bestFit="1" customWidth="1"/>
    <col min="9" max="9" width="18.453125" bestFit="1" customWidth="1"/>
    <col min="10" max="10" width="22.54296875" bestFit="1" customWidth="1"/>
    <col min="11" max="11" width="28.90625" bestFit="1" customWidth="1"/>
    <col min="12" max="12" width="16.81640625" bestFit="1" customWidth="1"/>
    <col min="13" max="13" width="12" bestFit="1" customWidth="1"/>
    <col min="14" max="14" width="27" bestFit="1" customWidth="1"/>
    <col min="15" max="15" width="8.81640625" bestFit="1" customWidth="1"/>
    <col min="16" max="16" width="18.81640625" bestFit="1" customWidth="1"/>
    <col min="17" max="17" width="19.36328125" bestFit="1" customWidth="1"/>
    <col min="18" max="18" width="16.08984375" bestFit="1" customWidth="1"/>
    <col min="19" max="19" width="22.453125" bestFit="1" customWidth="1"/>
    <col min="21" max="21" width="16.36328125" bestFit="1" customWidth="1"/>
    <col min="22" max="22" width="13" bestFit="1" customWidth="1"/>
    <col min="23" max="23" width="11" bestFit="1" customWidth="1"/>
    <col min="24" max="25" width="14.36328125" bestFit="1" customWidth="1"/>
  </cols>
  <sheetData>
    <row r="1" spans="1:28" x14ac:dyDescent="0.35">
      <c r="A1" s="7" t="s">
        <v>492</v>
      </c>
      <c r="B1" s="7" t="s">
        <v>493</v>
      </c>
      <c r="C1" s="7" t="s">
        <v>497</v>
      </c>
      <c r="D1" s="7" t="s">
        <v>500</v>
      </c>
      <c r="E1" s="7" t="s">
        <v>1750</v>
      </c>
      <c r="F1" s="7" t="s">
        <v>1751</v>
      </c>
      <c r="G1" s="7" t="s">
        <v>1752</v>
      </c>
      <c r="H1" s="7" t="s">
        <v>1753</v>
      </c>
      <c r="I1" s="7" t="s">
        <v>531</v>
      </c>
      <c r="J1" s="7" t="s">
        <v>1754</v>
      </c>
      <c r="K1" s="7" t="s">
        <v>1755</v>
      </c>
      <c r="L1" s="7" t="s">
        <v>1756</v>
      </c>
      <c r="M1" s="7" t="s">
        <v>1757</v>
      </c>
      <c r="N1" t="s">
        <v>1770</v>
      </c>
      <c r="O1" t="s">
        <v>93</v>
      </c>
      <c r="P1" t="s">
        <v>1758</v>
      </c>
      <c r="Q1" t="s">
        <v>1759</v>
      </c>
      <c r="R1" t="s">
        <v>1760</v>
      </c>
      <c r="S1" t="s">
        <v>1769</v>
      </c>
    </row>
    <row r="2" spans="1:28" x14ac:dyDescent="0.35">
      <c r="A2" s="12" t="str">
        <f>tblComponents[Component_ID]</f>
        <v>C001</v>
      </c>
      <c r="B2" s="12" t="str">
        <f>tblComponents[Component_Name]</f>
        <v>Component 001</v>
      </c>
      <c r="C2" t="str">
        <f>tblComponents[Sourcing_Type]</f>
        <v>Make</v>
      </c>
      <c r="D2">
        <f>tblComponents[Forecast_Demand]</f>
        <v>657</v>
      </c>
      <c r="E2">
        <f>tblComponents[Selling_Price_Per_Unit]</f>
        <v>2947.51</v>
      </c>
      <c r="F2">
        <f>tblComponents[Variable_Cost_Per_Unit]</f>
        <v>1986.21</v>
      </c>
      <c r="G2">
        <f>tblComponents[Direct_Labor_Cost_Per_Unit]</f>
        <v>60.86</v>
      </c>
      <c r="H2">
        <f>tblComponents[Contribution_Per_Unit]</f>
        <v>961.3</v>
      </c>
      <c r="I2">
        <f>tblComponents[Contribution_Margin]</f>
        <v>0.3261</v>
      </c>
      <c r="J2">
        <f>tblComponents[Actual_Cycle_Time_Min]/60</f>
        <v>0.11650000000000001</v>
      </c>
      <c r="K2">
        <f>IFERROR(H2/J2,0)</f>
        <v>8251.5021459227464</v>
      </c>
      <c r="L2">
        <f>H2*tblComponents[Planned_Production_or_Procurement]</f>
        <v>1117991.8999999999</v>
      </c>
      <c r="M2">
        <f>IF(C2="Make",1+COUNTIFS($C$2:$C$501,"Make",$K$2:$K$501,"&gt;"&amp;K2),"")</f>
        <v>42</v>
      </c>
      <c r="N2" t="str">
        <f>IF(C2="Buy","Not Applicable",IF(M2&lt;=75,"High Economic Priority",IF(M2&lt;=150,"Medium Economic Priority","Low Economic Priority")))</f>
        <v>High Economic Priority</v>
      </c>
      <c r="O2" t="str">
        <f>tblComponents[Criticality]</f>
        <v>Medium</v>
      </c>
      <c r="P2">
        <f>tblComponents[Planned_Production_or_Procurement]</f>
        <v>1163</v>
      </c>
      <c r="Q2">
        <f>J2*P2</f>
        <v>135.48950000000002</v>
      </c>
      <c r="R2" t="str">
        <f>IF(O2="Critical","Critical",IF(O2="High","High",IF(O2="Medium","Medium","Low")))</f>
        <v>Medium</v>
      </c>
      <c r="S2" t="str">
        <f>IF(C2="Buy","Not Applicable",
IF(O2="Critical","Critical Priority",
IF(AND(N2="High Economic Priority",O2="High"),"High Priority",
IF(AND(N2="High Economic Priority",O2="Medium"),"High Priority",
IF(AND(N2="High Economic Priority",O2="Low"),"High Priority",
IF(AND(N2="Medium Economic Priority",O2="High"),"High Priority",
IF(AND(N2="Medium Economic Priority",O2="Medium"),"Medium Priority",
IF(AND(N2="Medium Economic Priority",O2="Low"),"Medium Priority",
IF(AND(N2="Low Economic Priority",O2="High"),"High Priority",
IF(AND(N2="Low Economic Priority",O2="Medium"),"Medium Priority","Low Priority"))))))))))</f>
        <v>High Priority</v>
      </c>
      <c r="U2" s="1" t="s">
        <v>1761</v>
      </c>
      <c r="AA2" t="s">
        <v>1686</v>
      </c>
      <c r="AB2" s="1" t="s">
        <v>1778</v>
      </c>
    </row>
    <row r="3" spans="1:28" x14ac:dyDescent="0.35">
      <c r="A3" s="12" t="str">
        <f>tblComponents[Component_ID]</f>
        <v>C002</v>
      </c>
      <c r="B3" s="12" t="str">
        <f>tblComponents[Component_Name]</f>
        <v>Component 002</v>
      </c>
      <c r="C3" t="str">
        <f>tblComponents[Sourcing_Type]</f>
        <v>Make</v>
      </c>
      <c r="D3">
        <f>tblComponents[Forecast_Demand]</f>
        <v>781</v>
      </c>
      <c r="E3">
        <f>tblComponents[Selling_Price_Per_Unit]</f>
        <v>421.18</v>
      </c>
      <c r="F3">
        <f>tblComponents[Variable_Cost_Per_Unit]</f>
        <v>313.49</v>
      </c>
      <c r="G3">
        <f>tblComponents[Direct_Labor_Cost_Per_Unit]</f>
        <v>36.85</v>
      </c>
      <c r="H3">
        <f>tblComponents[Contribution_Per_Unit]</f>
        <v>107.69</v>
      </c>
      <c r="I3">
        <f>tblComponents[Contribution_Margin]</f>
        <v>0.25569999999999998</v>
      </c>
      <c r="J3">
        <f>tblComponents[Actual_Cycle_Time_Min]/60</f>
        <v>8.5499999999999993E-2</v>
      </c>
      <c r="K3">
        <f t="shared" ref="K3:K66" si="0">IFERROR(H3/J3,0)</f>
        <v>1259.53216374269</v>
      </c>
      <c r="L3">
        <f>H3*tblComponents[Planned_Production_or_Procurement]</f>
        <v>197180.38999999998</v>
      </c>
      <c r="M3">
        <f t="shared" ref="M3:M66" si="1">IF(C3="Make",1+COUNTIFS($C$2:$C$501,"Make",$K$2:$K$501,"&gt;"&amp;K3),"")</f>
        <v>278</v>
      </c>
      <c r="N3" t="str">
        <f t="shared" ref="N3:N66" si="2">IF(C3="Buy","Not Applicable",IF(M3&lt;=75,"High Economic Priority",IF(M3&lt;=150,"Medium Economic Priority","Low Economic Priority")))</f>
        <v>Low Economic Priority</v>
      </c>
      <c r="O3" t="str">
        <f>tblComponents[Criticality]</f>
        <v>Low</v>
      </c>
      <c r="P3">
        <f>tblComponents[Planned_Production_or_Procurement]</f>
        <v>1831</v>
      </c>
      <c r="Q3">
        <f t="shared" ref="Q3:Q66" si="3">J3*P3</f>
        <v>156.5505</v>
      </c>
      <c r="R3" t="str">
        <f t="shared" ref="R3:R66" si="4">IF(O3="Critical","Critical",IF(O3="High","High",IF(O3="Medium","Medium","Low")))</f>
        <v>Low</v>
      </c>
      <c r="S3" t="str">
        <f t="shared" ref="S3:S66" si="5">IF(C3="Buy","Not Applicable",
IF(O3="Critical","Critical Priority",
IF(AND(N3="High Economic Priority",O3="High"),"High Priority",
IF(AND(N3="High Economic Priority",O3="Medium"),"High Priority",
IF(AND(N3="High Economic Priority",O3="Low"),"High Priority",
IF(AND(N3="Medium Economic Priority",O3="High"),"High Priority",
IF(AND(N3="Medium Economic Priority",O3="Medium"),"Medium Priority",
IF(AND(N3="Medium Economic Priority",O3="Low"),"Medium Priority",
IF(AND(N3="Low Economic Priority",O3="High"),"High Priority",
IF(AND(N3="Low Economic Priority",O3="Medium"),"Medium Priority","Low Priority"))))))))))</f>
        <v>Low Priority</v>
      </c>
      <c r="U3" s="10"/>
      <c r="V3" s="10" t="s">
        <v>628</v>
      </c>
      <c r="W3" s="10" t="s">
        <v>566</v>
      </c>
      <c r="X3" s="10" t="s">
        <v>551</v>
      </c>
      <c r="Y3" s="10" t="s">
        <v>558</v>
      </c>
    </row>
    <row r="4" spans="1:28" x14ac:dyDescent="0.35">
      <c r="A4" s="12" t="str">
        <f>tblComponents[Component_ID]</f>
        <v>C003</v>
      </c>
      <c r="B4" s="12" t="str">
        <f>tblComponents[Component_Name]</f>
        <v>Component 003</v>
      </c>
      <c r="C4" t="str">
        <f>tblComponents[Sourcing_Type]</f>
        <v>Make</v>
      </c>
      <c r="D4">
        <f>tblComponents[Forecast_Demand]</f>
        <v>294</v>
      </c>
      <c r="E4">
        <f>tblComponents[Selling_Price_Per_Unit]</f>
        <v>1138.68</v>
      </c>
      <c r="F4">
        <f>tblComponents[Variable_Cost_Per_Unit]</f>
        <v>869.23</v>
      </c>
      <c r="G4">
        <f>tblComponents[Direct_Labor_Cost_Per_Unit]</f>
        <v>8.77</v>
      </c>
      <c r="H4">
        <f>tblComponents[Contribution_Per_Unit]</f>
        <v>269.45</v>
      </c>
      <c r="I4">
        <f>tblComponents[Contribution_Margin]</f>
        <v>0.2366</v>
      </c>
      <c r="J4">
        <f>tblComponents[Actual_Cycle_Time_Min]/60</f>
        <v>0.1075</v>
      </c>
      <c r="K4">
        <f t="shared" si="0"/>
        <v>2506.5116279069766</v>
      </c>
      <c r="L4">
        <f>H4*tblComponents[Planned_Production_or_Procurement]</f>
        <v>1616969.45</v>
      </c>
      <c r="M4">
        <f t="shared" si="1"/>
        <v>193</v>
      </c>
      <c r="N4" t="str">
        <f t="shared" si="2"/>
        <v>Low Economic Priority</v>
      </c>
      <c r="O4" t="str">
        <f>tblComponents[Criticality]</f>
        <v>Medium</v>
      </c>
      <c r="P4">
        <f>tblComponents[Planned_Production_or_Procurement]</f>
        <v>6001</v>
      </c>
      <c r="Q4">
        <f t="shared" si="3"/>
        <v>645.10749999999996</v>
      </c>
      <c r="R4" t="str">
        <f t="shared" si="4"/>
        <v>Medium</v>
      </c>
      <c r="S4" t="str">
        <f t="shared" si="5"/>
        <v>Medium Priority</v>
      </c>
      <c r="U4" s="7" t="s">
        <v>1762</v>
      </c>
      <c r="V4" s="7" t="s">
        <v>1763</v>
      </c>
      <c r="W4" s="7" t="s">
        <v>1764</v>
      </c>
      <c r="X4" s="7" t="s">
        <v>1764</v>
      </c>
      <c r="Y4" s="7" t="s">
        <v>1764</v>
      </c>
    </row>
    <row r="5" spans="1:28" x14ac:dyDescent="0.35">
      <c r="A5" s="12" t="str">
        <f>tblComponents[Component_ID]</f>
        <v>C004</v>
      </c>
      <c r="B5" s="12" t="str">
        <f>tblComponents[Component_Name]</f>
        <v>Component 004</v>
      </c>
      <c r="C5" t="str">
        <f>tblComponents[Sourcing_Type]</f>
        <v>Make</v>
      </c>
      <c r="D5">
        <f>tblComponents[Forecast_Demand]</f>
        <v>1580</v>
      </c>
      <c r="E5">
        <f>tblComponents[Selling_Price_Per_Unit]</f>
        <v>1523.13</v>
      </c>
      <c r="F5">
        <f>tblComponents[Variable_Cost_Per_Unit]</f>
        <v>1143.26</v>
      </c>
      <c r="G5">
        <f>tblComponents[Direct_Labor_Cost_Per_Unit]</f>
        <v>103.1</v>
      </c>
      <c r="H5">
        <f>tblComponents[Contribution_Per_Unit]</f>
        <v>379.87</v>
      </c>
      <c r="I5">
        <f>tblComponents[Contribution_Margin]</f>
        <v>0.24940000000000001</v>
      </c>
      <c r="J5">
        <f>tblComponents[Actual_Cycle_Time_Min]/60</f>
        <v>1.3500000000000002E-2</v>
      </c>
      <c r="K5">
        <f t="shared" si="0"/>
        <v>28138.518518518515</v>
      </c>
      <c r="L5">
        <f>H5*tblComponents[Planned_Production_or_Procurement]</f>
        <v>1778171.47</v>
      </c>
      <c r="M5">
        <f t="shared" si="1"/>
        <v>2</v>
      </c>
      <c r="N5" t="str">
        <f t="shared" si="2"/>
        <v>High Economic Priority</v>
      </c>
      <c r="O5" t="str">
        <f>tblComponents[Criticality]</f>
        <v>High</v>
      </c>
      <c r="P5">
        <f>tblComponents[Planned_Production_or_Procurement]</f>
        <v>4681</v>
      </c>
      <c r="Q5">
        <f t="shared" si="3"/>
        <v>63.193500000000007</v>
      </c>
      <c r="R5" t="str">
        <f t="shared" si="4"/>
        <v>High</v>
      </c>
      <c r="S5" t="str">
        <f t="shared" si="5"/>
        <v>High Priority</v>
      </c>
      <c r="U5" s="7" t="s">
        <v>1765</v>
      </c>
      <c r="V5" s="7" t="s">
        <v>1763</v>
      </c>
      <c r="W5" s="7" t="s">
        <v>1764</v>
      </c>
      <c r="X5" s="7" t="s">
        <v>1766</v>
      </c>
      <c r="Y5" s="7" t="s">
        <v>1766</v>
      </c>
    </row>
    <row r="6" spans="1:28" x14ac:dyDescent="0.35">
      <c r="A6" s="12" t="str">
        <f>tblComponents[Component_ID]</f>
        <v>C005</v>
      </c>
      <c r="B6" s="12" t="str">
        <f>tblComponents[Component_Name]</f>
        <v>Component 005</v>
      </c>
      <c r="C6" t="str">
        <f>tblComponents[Sourcing_Type]</f>
        <v>Make</v>
      </c>
      <c r="D6">
        <f>tblComponents[Forecast_Demand]</f>
        <v>1321</v>
      </c>
      <c r="E6">
        <f>tblComponents[Selling_Price_Per_Unit]</f>
        <v>1414.67</v>
      </c>
      <c r="F6">
        <f>tblComponents[Variable_Cost_Per_Unit]</f>
        <v>1109</v>
      </c>
      <c r="G6">
        <f>tblComponents[Direct_Labor_Cost_Per_Unit]</f>
        <v>77.48</v>
      </c>
      <c r="H6">
        <f>tblComponents[Contribution_Per_Unit]</f>
        <v>305.67</v>
      </c>
      <c r="I6">
        <f>tblComponents[Contribution_Margin]</f>
        <v>0.21609999999999999</v>
      </c>
      <c r="J6">
        <f>tblComponents[Actual_Cycle_Time_Min]/60</f>
        <v>1.883333333333333E-2</v>
      </c>
      <c r="K6">
        <f t="shared" si="0"/>
        <v>16230.265486725668</v>
      </c>
      <c r="L6">
        <f>H6*tblComponents[Planned_Production_or_Procurement]</f>
        <v>1284119.6700000002</v>
      </c>
      <c r="M6">
        <f t="shared" si="1"/>
        <v>9</v>
      </c>
      <c r="N6" t="str">
        <f t="shared" si="2"/>
        <v>High Economic Priority</v>
      </c>
      <c r="O6" t="str">
        <f>tblComponents[Criticality]</f>
        <v>Medium</v>
      </c>
      <c r="P6">
        <f>tblComponents[Planned_Production_or_Procurement]</f>
        <v>4201</v>
      </c>
      <c r="Q6">
        <f t="shared" si="3"/>
        <v>79.118833333333328</v>
      </c>
      <c r="R6" t="str">
        <f t="shared" si="4"/>
        <v>Medium</v>
      </c>
      <c r="S6" t="str">
        <f t="shared" si="5"/>
        <v>High Priority</v>
      </c>
      <c r="U6" s="7" t="s">
        <v>1767</v>
      </c>
      <c r="V6" s="7" t="s">
        <v>1763</v>
      </c>
      <c r="W6" s="7" t="s">
        <v>1764</v>
      </c>
      <c r="X6" s="7" t="s">
        <v>1766</v>
      </c>
      <c r="Y6" s="7" t="s">
        <v>1768</v>
      </c>
    </row>
    <row r="7" spans="1:28" x14ac:dyDescent="0.35">
      <c r="A7" s="12" t="str">
        <f>tblComponents[Component_ID]</f>
        <v>C006</v>
      </c>
      <c r="B7" s="12" t="str">
        <f>tblComponents[Component_Name]</f>
        <v>Component 006</v>
      </c>
      <c r="C7" t="str">
        <f>tblComponents[Sourcing_Type]</f>
        <v>Make</v>
      </c>
      <c r="D7">
        <f>tblComponents[Forecast_Demand]</f>
        <v>927</v>
      </c>
      <c r="E7">
        <f>tblComponents[Selling_Price_Per_Unit]</f>
        <v>1123.3800000000001</v>
      </c>
      <c r="F7">
        <f>tblComponents[Variable_Cost_Per_Unit]</f>
        <v>897.21</v>
      </c>
      <c r="G7">
        <f>tblComponents[Direct_Labor_Cost_Per_Unit]</f>
        <v>73.540000000000006</v>
      </c>
      <c r="H7">
        <f>tblComponents[Contribution_Per_Unit]</f>
        <v>226.17</v>
      </c>
      <c r="I7">
        <f>tblComponents[Contribution_Margin]</f>
        <v>0.20130000000000001</v>
      </c>
      <c r="J7">
        <f>tblComponents[Actual_Cycle_Time_Min]/60</f>
        <v>5.6833333333333333E-2</v>
      </c>
      <c r="K7">
        <f t="shared" si="0"/>
        <v>3979.5307917888563</v>
      </c>
      <c r="L7">
        <f>H7*tblComponents[Planned_Production_or_Procurement]</f>
        <v>714244.86</v>
      </c>
      <c r="M7">
        <f t="shared" si="1"/>
        <v>135</v>
      </c>
      <c r="N7" t="str">
        <f t="shared" si="2"/>
        <v>Medium Economic Priority</v>
      </c>
      <c r="O7" t="str">
        <f>tblComponents[Criticality]</f>
        <v>Medium</v>
      </c>
      <c r="P7">
        <f>tblComponents[Planned_Production_or_Procurement]</f>
        <v>3158</v>
      </c>
      <c r="Q7">
        <f t="shared" si="3"/>
        <v>179.47966666666667</v>
      </c>
      <c r="R7" t="str">
        <f t="shared" si="4"/>
        <v>Medium</v>
      </c>
      <c r="S7" t="str">
        <f t="shared" si="5"/>
        <v>Medium Priority</v>
      </c>
    </row>
    <row r="8" spans="1:28" x14ac:dyDescent="0.35">
      <c r="A8" s="12" t="str">
        <f>tblComponents[Component_ID]</f>
        <v>C007</v>
      </c>
      <c r="B8" s="12" t="str">
        <f>tblComponents[Component_Name]</f>
        <v>Component 007</v>
      </c>
      <c r="C8" t="str">
        <f>tblComponents[Sourcing_Type]</f>
        <v>Make</v>
      </c>
      <c r="D8">
        <f>tblComponents[Forecast_Demand]</f>
        <v>1646</v>
      </c>
      <c r="E8">
        <f>tblComponents[Selling_Price_Per_Unit]</f>
        <v>1707.42</v>
      </c>
      <c r="F8">
        <f>tblComponents[Variable_Cost_Per_Unit]</f>
        <v>1245.1199999999999</v>
      </c>
      <c r="G8">
        <f>tblComponents[Direct_Labor_Cost_Per_Unit]</f>
        <v>78.430000000000007</v>
      </c>
      <c r="H8">
        <f>tblComponents[Contribution_Per_Unit]</f>
        <v>462.3</v>
      </c>
      <c r="I8">
        <f>tblComponents[Contribution_Margin]</f>
        <v>0.27079999999999999</v>
      </c>
      <c r="J8">
        <f>tblComponents[Actual_Cycle_Time_Min]/60</f>
        <v>4.4333333333333336E-2</v>
      </c>
      <c r="K8">
        <f t="shared" si="0"/>
        <v>10427.819548872179</v>
      </c>
      <c r="L8">
        <f>H8*tblComponents[Planned_Production_or_Procurement]</f>
        <v>1634230.5</v>
      </c>
      <c r="M8">
        <f t="shared" si="1"/>
        <v>25</v>
      </c>
      <c r="N8" t="str">
        <f t="shared" si="2"/>
        <v>High Economic Priority</v>
      </c>
      <c r="O8" t="str">
        <f>tblComponents[Criticality]</f>
        <v>Medium</v>
      </c>
      <c r="P8">
        <f>tblComponents[Planned_Production_or_Procurement]</f>
        <v>3535</v>
      </c>
      <c r="Q8">
        <f t="shared" si="3"/>
        <v>156.71833333333333</v>
      </c>
      <c r="R8" t="str">
        <f t="shared" si="4"/>
        <v>Medium</v>
      </c>
      <c r="S8" t="str">
        <f t="shared" si="5"/>
        <v>High Priority</v>
      </c>
    </row>
    <row r="9" spans="1:28" x14ac:dyDescent="0.35">
      <c r="A9" s="12" t="str">
        <f>tblComponents[Component_ID]</f>
        <v>C008</v>
      </c>
      <c r="B9" s="12" t="str">
        <f>tblComponents[Component_Name]</f>
        <v>Component 008</v>
      </c>
      <c r="C9" t="str">
        <f>tblComponents[Sourcing_Type]</f>
        <v>Make</v>
      </c>
      <c r="D9">
        <f>tblComponents[Forecast_Demand]</f>
        <v>498</v>
      </c>
      <c r="E9">
        <f>tblComponents[Selling_Price_Per_Unit]</f>
        <v>2537.06</v>
      </c>
      <c r="F9">
        <f>tblComponents[Variable_Cost_Per_Unit]</f>
        <v>1986.18</v>
      </c>
      <c r="G9">
        <f>tblComponents[Direct_Labor_Cost_Per_Unit]</f>
        <v>32.19</v>
      </c>
      <c r="H9">
        <f>tblComponents[Contribution_Per_Unit]</f>
        <v>550.88</v>
      </c>
      <c r="I9">
        <f>tblComponents[Contribution_Margin]</f>
        <v>0.21709999999999999</v>
      </c>
      <c r="J9">
        <f>tblComponents[Actual_Cycle_Time_Min]/60</f>
        <v>7.5333333333333322E-2</v>
      </c>
      <c r="K9">
        <f t="shared" si="0"/>
        <v>7312.566371681417</v>
      </c>
      <c r="L9">
        <f>H9*tblComponents[Planned_Production_or_Procurement]</f>
        <v>5078562.72</v>
      </c>
      <c r="M9">
        <f t="shared" si="1"/>
        <v>55</v>
      </c>
      <c r="N9" t="str">
        <f t="shared" si="2"/>
        <v>High Economic Priority</v>
      </c>
      <c r="O9" t="str">
        <f>tblComponents[Criticality]</f>
        <v>High</v>
      </c>
      <c r="P9">
        <f>tblComponents[Planned_Production_or_Procurement]</f>
        <v>9219</v>
      </c>
      <c r="Q9">
        <f t="shared" si="3"/>
        <v>694.49799999999993</v>
      </c>
      <c r="R9" t="str">
        <f t="shared" si="4"/>
        <v>High</v>
      </c>
      <c r="S9" t="str">
        <f t="shared" si="5"/>
        <v>High Priority</v>
      </c>
      <c r="U9" s="9" t="s">
        <v>1777</v>
      </c>
    </row>
    <row r="10" spans="1:28" x14ac:dyDescent="0.35">
      <c r="A10" s="12" t="str">
        <f>tblComponents[Component_ID]</f>
        <v>C009</v>
      </c>
      <c r="B10" s="12" t="str">
        <f>tblComponents[Component_Name]</f>
        <v>Component 009</v>
      </c>
      <c r="C10" t="str">
        <f>tblComponents[Sourcing_Type]</f>
        <v>Make</v>
      </c>
      <c r="D10">
        <f>tblComponents[Forecast_Demand]</f>
        <v>196</v>
      </c>
      <c r="E10">
        <f>tblComponents[Selling_Price_Per_Unit]</f>
        <v>1859.02</v>
      </c>
      <c r="F10">
        <f>tblComponents[Variable_Cost_Per_Unit]</f>
        <v>1446.57</v>
      </c>
      <c r="G10">
        <f>tblComponents[Direct_Labor_Cost_Per_Unit]</f>
        <v>25.65</v>
      </c>
      <c r="H10">
        <f>tblComponents[Contribution_Per_Unit]</f>
        <v>412.45</v>
      </c>
      <c r="I10">
        <f>tblComponents[Contribution_Margin]</f>
        <v>0.22189999999999999</v>
      </c>
      <c r="J10">
        <f>tblComponents[Actual_Cycle_Time_Min]/60</f>
        <v>9.3166666666666662E-2</v>
      </c>
      <c r="K10">
        <f t="shared" si="0"/>
        <v>4427.0125223613595</v>
      </c>
      <c r="L10">
        <f>H10*tblComponents[Planned_Production_or_Procurement]</f>
        <v>3425809.6999999997</v>
      </c>
      <c r="M10">
        <f t="shared" si="1"/>
        <v>120</v>
      </c>
      <c r="N10" t="str">
        <f t="shared" si="2"/>
        <v>Medium Economic Priority</v>
      </c>
      <c r="O10" t="str">
        <f>tblComponents[Criticality]</f>
        <v>High</v>
      </c>
      <c r="P10">
        <f>tblComponents[Planned_Production_or_Procurement]</f>
        <v>8306</v>
      </c>
      <c r="Q10">
        <f t="shared" si="3"/>
        <v>773.84233333333327</v>
      </c>
      <c r="R10" t="str">
        <f t="shared" si="4"/>
        <v>High</v>
      </c>
      <c r="S10" t="str">
        <f t="shared" si="5"/>
        <v>High Priority</v>
      </c>
      <c r="U10" s="10" t="s">
        <v>1665</v>
      </c>
      <c r="V10" s="11" t="s">
        <v>1666</v>
      </c>
    </row>
    <row r="11" spans="1:28" x14ac:dyDescent="0.35">
      <c r="A11" s="12" t="str">
        <f>tblComponents[Component_ID]</f>
        <v>C010</v>
      </c>
      <c r="B11" s="12" t="str">
        <f>tblComponents[Component_Name]</f>
        <v>Component 010</v>
      </c>
      <c r="C11" t="str">
        <f>tblComponents[Sourcing_Type]</f>
        <v>Make</v>
      </c>
      <c r="D11">
        <f>tblComponents[Forecast_Demand]</f>
        <v>1989</v>
      </c>
      <c r="E11">
        <f>tblComponents[Selling_Price_Per_Unit]</f>
        <v>2359.27</v>
      </c>
      <c r="F11">
        <f>tblComponents[Variable_Cost_Per_Unit]</f>
        <v>1618.01</v>
      </c>
      <c r="G11">
        <f>tblComponents[Direct_Labor_Cost_Per_Unit]</f>
        <v>11.09</v>
      </c>
      <c r="H11">
        <f>tblComponents[Contribution_Per_Unit]</f>
        <v>741.26</v>
      </c>
      <c r="I11">
        <f>tblComponents[Contribution_Margin]</f>
        <v>0.31419999999999998</v>
      </c>
      <c r="J11">
        <f>tblComponents[Actual_Cycle_Time_Min]/60</f>
        <v>0.10800000000000001</v>
      </c>
      <c r="K11">
        <f t="shared" si="0"/>
        <v>6863.5185185185173</v>
      </c>
      <c r="L11">
        <f>H11*tblComponents[Planned_Production_or_Procurement]</f>
        <v>12425000.119999999</v>
      </c>
      <c r="M11">
        <f t="shared" si="1"/>
        <v>62</v>
      </c>
      <c r="N11" t="str">
        <f t="shared" si="2"/>
        <v>High Economic Priority</v>
      </c>
      <c r="O11" t="str">
        <f>tblComponents[Criticality]</f>
        <v>Low</v>
      </c>
      <c r="P11">
        <f>tblComponents[Planned_Production_or_Procurement]</f>
        <v>16762</v>
      </c>
      <c r="Q11">
        <f t="shared" si="3"/>
        <v>1810.2960000000003</v>
      </c>
      <c r="R11" t="str">
        <f t="shared" si="4"/>
        <v>Low</v>
      </c>
      <c r="S11" t="str">
        <f t="shared" si="5"/>
        <v>High Priority</v>
      </c>
      <c r="U11" s="7" t="s">
        <v>1771</v>
      </c>
      <c r="V11" s="11">
        <f>COUNTIF(C:C,"Make")</f>
        <v>300</v>
      </c>
    </row>
    <row r="12" spans="1:28" x14ac:dyDescent="0.35">
      <c r="A12" s="12" t="str">
        <f>tblComponents[Component_ID]</f>
        <v>C011</v>
      </c>
      <c r="B12" s="12" t="str">
        <f>tblComponents[Component_Name]</f>
        <v>Component 011</v>
      </c>
      <c r="C12" t="str">
        <f>tblComponents[Sourcing_Type]</f>
        <v>Make</v>
      </c>
      <c r="D12">
        <f>tblComponents[Forecast_Demand]</f>
        <v>1495</v>
      </c>
      <c r="E12">
        <f>tblComponents[Selling_Price_Per_Unit]</f>
        <v>2738.2</v>
      </c>
      <c r="F12">
        <f>tblComponents[Variable_Cost_Per_Unit]</f>
        <v>1664.46</v>
      </c>
      <c r="G12">
        <f>tblComponents[Direct_Labor_Cost_Per_Unit]</f>
        <v>40.99</v>
      </c>
      <c r="H12">
        <f>tblComponents[Contribution_Per_Unit]</f>
        <v>1073.74</v>
      </c>
      <c r="I12">
        <f>tblComponents[Contribution_Margin]</f>
        <v>0.3921</v>
      </c>
      <c r="J12">
        <f>tblComponents[Actual_Cycle_Time_Min]/60</f>
        <v>0.30066666666666664</v>
      </c>
      <c r="K12">
        <f t="shared" si="0"/>
        <v>3571.19733924612</v>
      </c>
      <c r="L12">
        <f>H12*tblComponents[Planned_Production_or_Procurement]</f>
        <v>1008241.86</v>
      </c>
      <c r="M12">
        <f t="shared" si="1"/>
        <v>149</v>
      </c>
      <c r="N12" t="str">
        <f t="shared" si="2"/>
        <v>Medium Economic Priority</v>
      </c>
      <c r="O12" t="str">
        <f>tblComponents[Criticality]</f>
        <v>Low</v>
      </c>
      <c r="P12">
        <f>tblComponents[Planned_Production_or_Procurement]</f>
        <v>939</v>
      </c>
      <c r="Q12">
        <f t="shared" si="3"/>
        <v>282.32599999999996</v>
      </c>
      <c r="R12" t="str">
        <f t="shared" si="4"/>
        <v>Low</v>
      </c>
      <c r="S12" t="str">
        <f t="shared" si="5"/>
        <v>Medium Priority</v>
      </c>
      <c r="U12" s="7" t="s">
        <v>1772</v>
      </c>
      <c r="V12" s="11">
        <f>COUNTIF(S:S,"Critical Priority")</f>
        <v>35</v>
      </c>
    </row>
    <row r="13" spans="1:28" x14ac:dyDescent="0.35">
      <c r="A13" s="12" t="str">
        <f>tblComponents[Component_ID]</f>
        <v>C012</v>
      </c>
      <c r="B13" s="12" t="str">
        <f>tblComponents[Component_Name]</f>
        <v>Component 012</v>
      </c>
      <c r="C13" t="str">
        <f>tblComponents[Sourcing_Type]</f>
        <v>Make</v>
      </c>
      <c r="D13">
        <f>tblComponents[Forecast_Demand]</f>
        <v>443</v>
      </c>
      <c r="E13">
        <f>tblComponents[Selling_Price_Per_Unit]</f>
        <v>438.26</v>
      </c>
      <c r="F13">
        <f>tblComponents[Variable_Cost_Per_Unit]</f>
        <v>306.38</v>
      </c>
      <c r="G13">
        <f>tblComponents[Direct_Labor_Cost_Per_Unit]</f>
        <v>17.350000000000001</v>
      </c>
      <c r="H13">
        <f>tblComponents[Contribution_Per_Unit]</f>
        <v>131.88</v>
      </c>
      <c r="I13">
        <f>tblComponents[Contribution_Margin]</f>
        <v>0.3009</v>
      </c>
      <c r="J13">
        <f>tblComponents[Actual_Cycle_Time_Min]/60</f>
        <v>4.0333333333333332E-2</v>
      </c>
      <c r="K13">
        <f t="shared" si="0"/>
        <v>3269.7520661157023</v>
      </c>
      <c r="L13">
        <f>H13*tblComponents[Planned_Production_or_Procurement]</f>
        <v>1151839.92</v>
      </c>
      <c r="M13">
        <f t="shared" si="1"/>
        <v>161</v>
      </c>
      <c r="N13" t="str">
        <f t="shared" si="2"/>
        <v>Low Economic Priority</v>
      </c>
      <c r="O13" t="str">
        <f>tblComponents[Criticality]</f>
        <v>Medium</v>
      </c>
      <c r="P13">
        <f>tblComponents[Planned_Production_or_Procurement]</f>
        <v>8734</v>
      </c>
      <c r="Q13">
        <f t="shared" si="3"/>
        <v>352.2713333333333</v>
      </c>
      <c r="R13" t="str">
        <f t="shared" si="4"/>
        <v>Medium</v>
      </c>
      <c r="S13" t="str">
        <f t="shared" si="5"/>
        <v>Medium Priority</v>
      </c>
      <c r="U13" s="7" t="s">
        <v>1773</v>
      </c>
      <c r="V13" s="11">
        <f>COUNTIF(S:S,"High Priority")</f>
        <v>116</v>
      </c>
    </row>
    <row r="14" spans="1:28" x14ac:dyDescent="0.35">
      <c r="A14" s="12" t="str">
        <f>tblComponents[Component_ID]</f>
        <v>C013</v>
      </c>
      <c r="B14" s="12" t="str">
        <f>tblComponents[Component_Name]</f>
        <v>Component 013</v>
      </c>
      <c r="C14" t="str">
        <f>tblComponents[Sourcing_Type]</f>
        <v>Make</v>
      </c>
      <c r="D14">
        <f>tblComponents[Forecast_Demand]</f>
        <v>1065</v>
      </c>
      <c r="E14">
        <f>tblComponents[Selling_Price_Per_Unit]</f>
        <v>988.2</v>
      </c>
      <c r="F14">
        <f>tblComponents[Variable_Cost_Per_Unit]</f>
        <v>820.95</v>
      </c>
      <c r="G14">
        <f>tblComponents[Direct_Labor_Cost_Per_Unit]</f>
        <v>10.78</v>
      </c>
      <c r="H14">
        <f>tblComponents[Contribution_Per_Unit]</f>
        <v>167.25</v>
      </c>
      <c r="I14">
        <f>tblComponents[Contribution_Margin]</f>
        <v>0.16919999999999999</v>
      </c>
      <c r="J14">
        <f>tblComponents[Actual_Cycle_Time_Min]/60</f>
        <v>0.11283333333333333</v>
      </c>
      <c r="K14">
        <f t="shared" si="0"/>
        <v>1482.2747415066472</v>
      </c>
      <c r="L14">
        <f>H14*tblComponents[Planned_Production_or_Procurement]</f>
        <v>599089.5</v>
      </c>
      <c r="M14">
        <f t="shared" si="1"/>
        <v>261</v>
      </c>
      <c r="N14" t="str">
        <f t="shared" si="2"/>
        <v>Low Economic Priority</v>
      </c>
      <c r="O14" t="str">
        <f>tblComponents[Criticality]</f>
        <v>Low</v>
      </c>
      <c r="P14">
        <f>tblComponents[Planned_Production_or_Procurement]</f>
        <v>3582</v>
      </c>
      <c r="Q14">
        <f t="shared" si="3"/>
        <v>404.16899999999998</v>
      </c>
      <c r="R14" t="str">
        <f t="shared" si="4"/>
        <v>Low</v>
      </c>
      <c r="S14" t="str">
        <f t="shared" si="5"/>
        <v>Low Priority</v>
      </c>
      <c r="U14" s="7" t="s">
        <v>1774</v>
      </c>
      <c r="V14" s="11">
        <f>COUNTIF(S:S,"Medium Priority")</f>
        <v>113</v>
      </c>
    </row>
    <row r="15" spans="1:28" x14ac:dyDescent="0.35">
      <c r="A15" s="12" t="str">
        <f>tblComponents[Component_ID]</f>
        <v>C014</v>
      </c>
      <c r="B15" s="12" t="str">
        <f>tblComponents[Component_Name]</f>
        <v>Component 014</v>
      </c>
      <c r="C15" t="str">
        <f>tblComponents[Sourcing_Type]</f>
        <v>Make</v>
      </c>
      <c r="D15">
        <f>tblComponents[Forecast_Demand]</f>
        <v>683</v>
      </c>
      <c r="E15">
        <f>tblComponents[Selling_Price_Per_Unit]</f>
        <v>1377.04</v>
      </c>
      <c r="F15">
        <f>tblComponents[Variable_Cost_Per_Unit]</f>
        <v>1144.46</v>
      </c>
      <c r="G15">
        <f>tblComponents[Direct_Labor_Cost_Per_Unit]</f>
        <v>50.54</v>
      </c>
      <c r="H15">
        <f>tblComponents[Contribution_Per_Unit]</f>
        <v>232.58</v>
      </c>
      <c r="I15">
        <f>tblComponents[Contribution_Margin]</f>
        <v>0.16889999999999999</v>
      </c>
      <c r="J15">
        <f>tblComponents[Actual_Cycle_Time_Min]/60</f>
        <v>4.7833333333333332E-2</v>
      </c>
      <c r="K15">
        <f t="shared" si="0"/>
        <v>4862.2996515679442</v>
      </c>
      <c r="L15">
        <f>H15*tblComponents[Planned_Production_or_Procurement]</f>
        <v>1613174.8800000001</v>
      </c>
      <c r="M15">
        <f t="shared" si="1"/>
        <v>104</v>
      </c>
      <c r="N15" t="str">
        <f t="shared" si="2"/>
        <v>Medium Economic Priority</v>
      </c>
      <c r="O15" t="str">
        <f>tblComponents[Criticality]</f>
        <v>Medium</v>
      </c>
      <c r="P15">
        <f>tblComponents[Planned_Production_or_Procurement]</f>
        <v>6936</v>
      </c>
      <c r="Q15">
        <f t="shared" si="3"/>
        <v>331.77199999999999</v>
      </c>
      <c r="R15" t="str">
        <f t="shared" si="4"/>
        <v>Medium</v>
      </c>
      <c r="S15" t="str">
        <f t="shared" si="5"/>
        <v>Medium Priority</v>
      </c>
      <c r="U15" s="7" t="s">
        <v>1775</v>
      </c>
      <c r="V15" s="11">
        <f>COUNTIF(S:S,"Low Priority")</f>
        <v>36</v>
      </c>
    </row>
    <row r="16" spans="1:28" x14ac:dyDescent="0.35">
      <c r="A16" s="12" t="str">
        <f>tblComponents[Component_ID]</f>
        <v>C015</v>
      </c>
      <c r="B16" s="12" t="str">
        <f>tblComponents[Component_Name]</f>
        <v>Component 015</v>
      </c>
      <c r="C16" t="str">
        <f>tblComponents[Sourcing_Type]</f>
        <v>Make</v>
      </c>
      <c r="D16">
        <f>tblComponents[Forecast_Demand]</f>
        <v>246</v>
      </c>
      <c r="E16">
        <f>tblComponents[Selling_Price_Per_Unit]</f>
        <v>2583.9</v>
      </c>
      <c r="F16">
        <f>tblComponents[Variable_Cost_Per_Unit]</f>
        <v>1581.72</v>
      </c>
      <c r="G16">
        <f>tblComponents[Direct_Labor_Cost_Per_Unit]</f>
        <v>93.79</v>
      </c>
      <c r="H16">
        <f>tblComponents[Contribution_Per_Unit]</f>
        <v>1002.18</v>
      </c>
      <c r="I16">
        <f>tblComponents[Contribution_Margin]</f>
        <v>0.38790000000000002</v>
      </c>
      <c r="J16">
        <f>tblComponents[Actual_Cycle_Time_Min]/60</f>
        <v>0.1275</v>
      </c>
      <c r="K16">
        <f t="shared" si="0"/>
        <v>7860.2352941176468</v>
      </c>
      <c r="L16">
        <f>H16*tblComponents[Planned_Production_or_Procurement]</f>
        <v>1361962.6199999999</v>
      </c>
      <c r="M16">
        <f t="shared" si="1"/>
        <v>48</v>
      </c>
      <c r="N16" t="str">
        <f t="shared" si="2"/>
        <v>High Economic Priority</v>
      </c>
      <c r="O16" t="str">
        <f>tblComponents[Criticality]</f>
        <v>Medium</v>
      </c>
      <c r="P16">
        <f>tblComponents[Planned_Production_or_Procurement]</f>
        <v>1359</v>
      </c>
      <c r="Q16">
        <f t="shared" si="3"/>
        <v>173.27250000000001</v>
      </c>
      <c r="R16" t="str">
        <f t="shared" si="4"/>
        <v>Medium</v>
      </c>
      <c r="S16" t="str">
        <f t="shared" si="5"/>
        <v>High Priority</v>
      </c>
      <c r="U16" s="7" t="s">
        <v>1776</v>
      </c>
      <c r="V16" s="11">
        <f>SUMIFS(L:L,C:C,"Make")</f>
        <v>442693363.47000003</v>
      </c>
    </row>
    <row r="17" spans="1:28" x14ac:dyDescent="0.35">
      <c r="A17" s="12" t="str">
        <f>tblComponents[Component_ID]</f>
        <v>C016</v>
      </c>
      <c r="B17" s="12" t="str">
        <f>tblComponents[Component_Name]</f>
        <v>Component 016</v>
      </c>
      <c r="C17" t="str">
        <f>tblComponents[Sourcing_Type]</f>
        <v>Make</v>
      </c>
      <c r="D17">
        <f>tblComponents[Forecast_Demand]</f>
        <v>333</v>
      </c>
      <c r="E17">
        <f>tblComponents[Selling_Price_Per_Unit]</f>
        <v>1477.25</v>
      </c>
      <c r="F17">
        <f>tblComponents[Variable_Cost_Per_Unit]</f>
        <v>1145.8699999999999</v>
      </c>
      <c r="G17">
        <f>tblComponents[Direct_Labor_Cost_Per_Unit]</f>
        <v>46.71</v>
      </c>
      <c r="H17">
        <f>tblComponents[Contribution_Per_Unit]</f>
        <v>331.38</v>
      </c>
      <c r="I17">
        <f>tblComponents[Contribution_Margin]</f>
        <v>0.2243</v>
      </c>
      <c r="J17">
        <f>tblComponents[Actual_Cycle_Time_Min]/60</f>
        <v>0.14883333333333332</v>
      </c>
      <c r="K17">
        <f t="shared" si="0"/>
        <v>2226.5173572228446</v>
      </c>
      <c r="L17">
        <f>H17*tblComponents[Planned_Production_or_Procurement]</f>
        <v>687282.12</v>
      </c>
      <c r="M17">
        <f t="shared" si="1"/>
        <v>211</v>
      </c>
      <c r="N17" t="str">
        <f t="shared" si="2"/>
        <v>Low Economic Priority</v>
      </c>
      <c r="O17" t="str">
        <f>tblComponents[Criticality]</f>
        <v>Medium</v>
      </c>
      <c r="P17">
        <f>tblComponents[Planned_Production_or_Procurement]</f>
        <v>2074</v>
      </c>
      <c r="Q17">
        <f t="shared" si="3"/>
        <v>308.68033333333329</v>
      </c>
      <c r="R17" t="str">
        <f t="shared" si="4"/>
        <v>Medium</v>
      </c>
      <c r="S17" t="str">
        <f t="shared" si="5"/>
        <v>Medium Priority</v>
      </c>
    </row>
    <row r="18" spans="1:28" x14ac:dyDescent="0.35">
      <c r="A18" s="12" t="str">
        <f>tblComponents[Component_ID]</f>
        <v>C017</v>
      </c>
      <c r="B18" s="12" t="str">
        <f>tblComponents[Component_Name]</f>
        <v>Component 017</v>
      </c>
      <c r="C18" t="str">
        <f>tblComponents[Sourcing_Type]</f>
        <v>Make</v>
      </c>
      <c r="D18">
        <f>tblComponents[Forecast_Demand]</f>
        <v>2281</v>
      </c>
      <c r="E18">
        <f>tblComponents[Selling_Price_Per_Unit]</f>
        <v>467.18</v>
      </c>
      <c r="F18">
        <f>tblComponents[Variable_Cost_Per_Unit]</f>
        <v>386.35</v>
      </c>
      <c r="G18">
        <f>tblComponents[Direct_Labor_Cost_Per_Unit]</f>
        <v>21.36</v>
      </c>
      <c r="H18">
        <f>tblComponents[Contribution_Per_Unit]</f>
        <v>80.83</v>
      </c>
      <c r="I18">
        <f>tblComponents[Contribution_Margin]</f>
        <v>0.17299999999999999</v>
      </c>
      <c r="J18">
        <f>tblComponents[Actual_Cycle_Time_Min]/60</f>
        <v>4.1000000000000002E-2</v>
      </c>
      <c r="K18">
        <f t="shared" si="0"/>
        <v>1971.4634146341461</v>
      </c>
      <c r="L18">
        <f>H18*tblComponents[Planned_Production_or_Procurement]</f>
        <v>120760.02</v>
      </c>
      <c r="M18">
        <f t="shared" si="1"/>
        <v>225</v>
      </c>
      <c r="N18" t="str">
        <f t="shared" si="2"/>
        <v>Low Economic Priority</v>
      </c>
      <c r="O18" t="str">
        <f>tblComponents[Criticality]</f>
        <v>Medium</v>
      </c>
      <c r="P18">
        <f>tblComponents[Planned_Production_or_Procurement]</f>
        <v>1494</v>
      </c>
      <c r="Q18">
        <f t="shared" si="3"/>
        <v>61.254000000000005</v>
      </c>
      <c r="R18" t="str">
        <f t="shared" si="4"/>
        <v>Medium</v>
      </c>
      <c r="S18" t="str">
        <f t="shared" si="5"/>
        <v>Medium Priority</v>
      </c>
    </row>
    <row r="19" spans="1:28" x14ac:dyDescent="0.35">
      <c r="A19" s="12" t="str">
        <f>tblComponents[Component_ID]</f>
        <v>C018</v>
      </c>
      <c r="B19" s="12" t="str">
        <f>tblComponents[Component_Name]</f>
        <v>Component 018</v>
      </c>
      <c r="C19" t="str">
        <f>tblComponents[Sourcing_Type]</f>
        <v>Make</v>
      </c>
      <c r="D19">
        <f>tblComponents[Forecast_Demand]</f>
        <v>290</v>
      </c>
      <c r="E19">
        <f>tblComponents[Selling_Price_Per_Unit]</f>
        <v>779.93</v>
      </c>
      <c r="F19">
        <f>tblComponents[Variable_Cost_Per_Unit]</f>
        <v>546.14</v>
      </c>
      <c r="G19">
        <f>tblComponents[Direct_Labor_Cost_Per_Unit]</f>
        <v>81.510000000000005</v>
      </c>
      <c r="H19">
        <f>tblComponents[Contribution_Per_Unit]</f>
        <v>233.79</v>
      </c>
      <c r="I19">
        <f>tblComponents[Contribution_Margin]</f>
        <v>0.29980000000000001</v>
      </c>
      <c r="J19">
        <f>tblComponents[Actual_Cycle_Time_Min]/60</f>
        <v>9.166666666666666E-2</v>
      </c>
      <c r="K19">
        <f t="shared" si="0"/>
        <v>2550.4363636363637</v>
      </c>
      <c r="L19">
        <f>H19*tblComponents[Planned_Production_or_Procurement]</f>
        <v>284054.84999999998</v>
      </c>
      <c r="M19">
        <f t="shared" si="1"/>
        <v>188</v>
      </c>
      <c r="N19" t="str">
        <f t="shared" si="2"/>
        <v>Low Economic Priority</v>
      </c>
      <c r="O19" t="str">
        <f>tblComponents[Criticality]</f>
        <v>Low</v>
      </c>
      <c r="P19">
        <f>tblComponents[Planned_Production_or_Procurement]</f>
        <v>1215</v>
      </c>
      <c r="Q19">
        <f t="shared" si="3"/>
        <v>111.37499999999999</v>
      </c>
      <c r="R19" t="str">
        <f t="shared" si="4"/>
        <v>Low</v>
      </c>
      <c r="S19" t="str">
        <f t="shared" si="5"/>
        <v>Low Priority</v>
      </c>
      <c r="U19" s="7" t="s">
        <v>1784</v>
      </c>
    </row>
    <row r="20" spans="1:28" x14ac:dyDescent="0.35">
      <c r="A20" s="12" t="str">
        <f>tblComponents[Component_ID]</f>
        <v>C019</v>
      </c>
      <c r="B20" s="12" t="str">
        <f>tblComponents[Component_Name]</f>
        <v>Component 019</v>
      </c>
      <c r="C20" t="str">
        <f>tblComponents[Sourcing_Type]</f>
        <v>Make</v>
      </c>
      <c r="D20">
        <f>tblComponents[Forecast_Demand]</f>
        <v>597</v>
      </c>
      <c r="E20">
        <f>tblComponents[Selling_Price_Per_Unit]</f>
        <v>559.28</v>
      </c>
      <c r="F20">
        <f>tblComponents[Variable_Cost_Per_Unit]</f>
        <v>388.19</v>
      </c>
      <c r="G20">
        <f>tblComponents[Direct_Labor_Cost_Per_Unit]</f>
        <v>12.03</v>
      </c>
      <c r="H20">
        <f>tblComponents[Contribution_Per_Unit]</f>
        <v>171.09</v>
      </c>
      <c r="I20">
        <f>tblComponents[Contribution_Margin]</f>
        <v>0.30590000000000001</v>
      </c>
      <c r="J20">
        <f>tblComponents[Actual_Cycle_Time_Min]/60</f>
        <v>0.20149999999999998</v>
      </c>
      <c r="K20">
        <f t="shared" si="0"/>
        <v>849.08188585607945</v>
      </c>
      <c r="L20">
        <f>H20*tblComponents[Planned_Production_or_Procurement]</f>
        <v>427040.64</v>
      </c>
      <c r="M20">
        <f t="shared" si="1"/>
        <v>290</v>
      </c>
      <c r="N20" t="str">
        <f t="shared" si="2"/>
        <v>Low Economic Priority</v>
      </c>
      <c r="O20" t="str">
        <f>tblComponents[Criticality]</f>
        <v>Medium</v>
      </c>
      <c r="P20">
        <f>tblComponents[Planned_Production_or_Procurement]</f>
        <v>2496</v>
      </c>
      <c r="Q20">
        <f t="shared" si="3"/>
        <v>502.94399999999996</v>
      </c>
      <c r="R20" t="str">
        <f t="shared" si="4"/>
        <v>Medium</v>
      </c>
      <c r="S20" t="str">
        <f t="shared" si="5"/>
        <v>Medium Priority</v>
      </c>
    </row>
    <row r="21" spans="1:28" x14ac:dyDescent="0.35">
      <c r="A21" s="12" t="str">
        <f>tblComponents[Component_ID]</f>
        <v>C020</v>
      </c>
      <c r="B21" s="12" t="str">
        <f>tblComponents[Component_Name]</f>
        <v>Component 020</v>
      </c>
      <c r="C21" t="str">
        <f>tblComponents[Sourcing_Type]</f>
        <v>Make</v>
      </c>
      <c r="D21">
        <f>tblComponents[Forecast_Demand]</f>
        <v>481</v>
      </c>
      <c r="E21">
        <f>tblComponents[Selling_Price_Per_Unit]</f>
        <v>957.05</v>
      </c>
      <c r="F21">
        <f>tblComponents[Variable_Cost_Per_Unit]</f>
        <v>658.33</v>
      </c>
      <c r="G21">
        <f>tblComponents[Direct_Labor_Cost_Per_Unit]</f>
        <v>41.57</v>
      </c>
      <c r="H21">
        <f>tblComponents[Contribution_Per_Unit]</f>
        <v>298.72000000000003</v>
      </c>
      <c r="I21">
        <f>tblComponents[Contribution_Margin]</f>
        <v>0.31209999999999999</v>
      </c>
      <c r="J21">
        <f>tblComponents[Actual_Cycle_Time_Min]/60</f>
        <v>7.6833333333333337E-2</v>
      </c>
      <c r="K21">
        <f t="shared" si="0"/>
        <v>3887.8958785249461</v>
      </c>
      <c r="L21">
        <f>H21*tblComponents[Planned_Production_or_Procurement]</f>
        <v>1089431.8400000001</v>
      </c>
      <c r="M21">
        <f t="shared" si="1"/>
        <v>137</v>
      </c>
      <c r="N21" t="str">
        <f t="shared" si="2"/>
        <v>Medium Economic Priority</v>
      </c>
      <c r="O21" t="str">
        <f>tblComponents[Criticality]</f>
        <v>Medium</v>
      </c>
      <c r="P21">
        <f>tblComponents[Planned_Production_or_Procurement]</f>
        <v>3647</v>
      </c>
      <c r="Q21">
        <f t="shared" si="3"/>
        <v>280.21116666666666</v>
      </c>
      <c r="R21" t="str">
        <f t="shared" si="4"/>
        <v>Medium</v>
      </c>
      <c r="S21" t="str">
        <f t="shared" si="5"/>
        <v>Medium Priority</v>
      </c>
      <c r="U21" s="9" t="s">
        <v>1783</v>
      </c>
      <c r="AA21" t="s">
        <v>1686</v>
      </c>
      <c r="AB21" s="1" t="s">
        <v>1785</v>
      </c>
    </row>
    <row r="22" spans="1:28" x14ac:dyDescent="0.35">
      <c r="A22" s="12" t="str">
        <f>tblComponents[Component_ID]</f>
        <v>C021</v>
      </c>
      <c r="B22" s="12" t="str">
        <f>tblComponents[Component_Name]</f>
        <v>Component 021</v>
      </c>
      <c r="C22" t="str">
        <f>tblComponents[Sourcing_Type]</f>
        <v>Make</v>
      </c>
      <c r="D22">
        <f>tblComponents[Forecast_Demand]</f>
        <v>1939</v>
      </c>
      <c r="E22">
        <f>tblComponents[Selling_Price_Per_Unit]</f>
        <v>1473.78</v>
      </c>
      <c r="F22">
        <f>tblComponents[Variable_Cost_Per_Unit]</f>
        <v>1154.19</v>
      </c>
      <c r="G22">
        <f>tblComponents[Direct_Labor_Cost_Per_Unit]</f>
        <v>72.95</v>
      </c>
      <c r="H22">
        <f>tblComponents[Contribution_Per_Unit]</f>
        <v>319.58999999999997</v>
      </c>
      <c r="I22">
        <f>tblComponents[Contribution_Margin]</f>
        <v>0.21690000000000001</v>
      </c>
      <c r="J22">
        <f>tblComponents[Actual_Cycle_Time_Min]/60</f>
        <v>0.15266666666666667</v>
      </c>
      <c r="K22">
        <f t="shared" si="0"/>
        <v>2093.3842794759821</v>
      </c>
      <c r="L22">
        <f>H22*tblComponents[Planned_Production_or_Procurement]</f>
        <v>443590.92</v>
      </c>
      <c r="M22">
        <f t="shared" si="1"/>
        <v>220</v>
      </c>
      <c r="N22" t="str">
        <f t="shared" si="2"/>
        <v>Low Economic Priority</v>
      </c>
      <c r="O22" t="str">
        <f>tblComponents[Criticality]</f>
        <v>Medium</v>
      </c>
      <c r="P22">
        <f>tblComponents[Planned_Production_or_Procurement]</f>
        <v>1388</v>
      </c>
      <c r="Q22">
        <f t="shared" si="3"/>
        <v>211.90133333333335</v>
      </c>
      <c r="R22" t="str">
        <f t="shared" si="4"/>
        <v>Medium</v>
      </c>
      <c r="S22" t="str">
        <f t="shared" si="5"/>
        <v>Medium Priority</v>
      </c>
      <c r="U22" s="7" t="s">
        <v>1779</v>
      </c>
      <c r="V22" s="11" t="s">
        <v>1677</v>
      </c>
    </row>
    <row r="23" spans="1:28" x14ac:dyDescent="0.35">
      <c r="A23" s="12" t="str">
        <f>tblComponents[Component_ID]</f>
        <v>C022</v>
      </c>
      <c r="B23" s="12" t="str">
        <f>tblComponents[Component_Name]</f>
        <v>Component 022</v>
      </c>
      <c r="C23" t="str">
        <f>tblComponents[Sourcing_Type]</f>
        <v>Make</v>
      </c>
      <c r="D23">
        <f>tblComponents[Forecast_Demand]</f>
        <v>828</v>
      </c>
      <c r="E23">
        <f>tblComponents[Selling_Price_Per_Unit]</f>
        <v>629.57000000000005</v>
      </c>
      <c r="F23">
        <f>tblComponents[Variable_Cost_Per_Unit]</f>
        <v>532.76</v>
      </c>
      <c r="G23">
        <f>tblComponents[Direct_Labor_Cost_Per_Unit]</f>
        <v>34.64</v>
      </c>
      <c r="H23">
        <f>tblComponents[Contribution_Per_Unit]</f>
        <v>96.81</v>
      </c>
      <c r="I23">
        <f>tblComponents[Contribution_Margin]</f>
        <v>0.15379999999999999</v>
      </c>
      <c r="J23">
        <f>tblComponents[Actual_Cycle_Time_Min]/60</f>
        <v>3.3833333333333333E-2</v>
      </c>
      <c r="K23">
        <f t="shared" si="0"/>
        <v>2861.3793103448274</v>
      </c>
      <c r="L23">
        <f>H23*tblComponents[Planned_Production_or_Procurement]</f>
        <v>396921</v>
      </c>
      <c r="M23">
        <f t="shared" si="1"/>
        <v>175</v>
      </c>
      <c r="N23" t="str">
        <f t="shared" si="2"/>
        <v>Low Economic Priority</v>
      </c>
      <c r="O23" t="str">
        <f>tblComponents[Criticality]</f>
        <v>Low</v>
      </c>
      <c r="P23">
        <f>tblComponents[Planned_Production_or_Procurement]</f>
        <v>4100</v>
      </c>
      <c r="Q23">
        <f t="shared" si="3"/>
        <v>138.71666666666667</v>
      </c>
      <c r="R23" t="str">
        <f t="shared" si="4"/>
        <v>Low</v>
      </c>
      <c r="S23" t="str">
        <f t="shared" si="5"/>
        <v>Low Priority</v>
      </c>
      <c r="U23" s="7" t="s">
        <v>1780</v>
      </c>
      <c r="V23" s="11">
        <f>COUNTIF($N:$N,U23)</f>
        <v>75</v>
      </c>
    </row>
    <row r="24" spans="1:28" x14ac:dyDescent="0.35">
      <c r="A24" s="12" t="str">
        <f>tblComponents[Component_ID]</f>
        <v>C023</v>
      </c>
      <c r="B24" s="12" t="str">
        <f>tblComponents[Component_Name]</f>
        <v>Component 023</v>
      </c>
      <c r="C24" t="str">
        <f>tblComponents[Sourcing_Type]</f>
        <v>Make</v>
      </c>
      <c r="D24">
        <f>tblComponents[Forecast_Demand]</f>
        <v>1120</v>
      </c>
      <c r="E24">
        <f>tblComponents[Selling_Price_Per_Unit]</f>
        <v>895.53</v>
      </c>
      <c r="F24">
        <f>tblComponents[Variable_Cost_Per_Unit]</f>
        <v>545.15</v>
      </c>
      <c r="G24">
        <f>tblComponents[Direct_Labor_Cost_Per_Unit]</f>
        <v>19.399999999999999</v>
      </c>
      <c r="H24">
        <f>tblComponents[Contribution_Per_Unit]</f>
        <v>350.38</v>
      </c>
      <c r="I24">
        <f>tblComponents[Contribution_Margin]</f>
        <v>0.39129999999999998</v>
      </c>
      <c r="J24">
        <f>tblComponents[Actual_Cycle_Time_Min]/60</f>
        <v>3.6499999999999998E-2</v>
      </c>
      <c r="K24">
        <f t="shared" si="0"/>
        <v>9599.4520547945212</v>
      </c>
      <c r="L24">
        <f>H24*tblComponents[Planned_Production_or_Procurement]</f>
        <v>2438644.7999999998</v>
      </c>
      <c r="M24">
        <f t="shared" si="1"/>
        <v>32</v>
      </c>
      <c r="N24" t="str">
        <f t="shared" si="2"/>
        <v>High Economic Priority</v>
      </c>
      <c r="O24" t="str">
        <f>tblComponents[Criticality]</f>
        <v>High</v>
      </c>
      <c r="P24">
        <f>tblComponents[Planned_Production_or_Procurement]</f>
        <v>6960</v>
      </c>
      <c r="Q24">
        <f t="shared" si="3"/>
        <v>254.04</v>
      </c>
      <c r="R24" t="str">
        <f t="shared" si="4"/>
        <v>High</v>
      </c>
      <c r="S24" t="str">
        <f t="shared" si="5"/>
        <v>High Priority</v>
      </c>
      <c r="U24" s="7" t="s">
        <v>1781</v>
      </c>
      <c r="V24" s="11">
        <f>COUNTIF($N:$N,U24)</f>
        <v>75</v>
      </c>
    </row>
    <row r="25" spans="1:28" x14ac:dyDescent="0.35">
      <c r="A25" s="12" t="str">
        <f>tblComponents[Component_ID]</f>
        <v>C024</v>
      </c>
      <c r="B25" s="12" t="str">
        <f>tblComponents[Component_Name]</f>
        <v>Component 024</v>
      </c>
      <c r="C25" t="str">
        <f>tblComponents[Sourcing_Type]</f>
        <v>Make</v>
      </c>
      <c r="D25">
        <f>tblComponents[Forecast_Demand]</f>
        <v>264</v>
      </c>
      <c r="E25">
        <f>tblComponents[Selling_Price_Per_Unit]</f>
        <v>1337.79</v>
      </c>
      <c r="F25">
        <f>tblComponents[Variable_Cost_Per_Unit]</f>
        <v>1053.21</v>
      </c>
      <c r="G25">
        <f>tblComponents[Direct_Labor_Cost_Per_Unit]</f>
        <v>16.399999999999999</v>
      </c>
      <c r="H25">
        <f>tblComponents[Contribution_Per_Unit]</f>
        <v>284.58</v>
      </c>
      <c r="I25">
        <f>tblComponents[Contribution_Margin]</f>
        <v>0.2127</v>
      </c>
      <c r="J25">
        <f>tblComponents[Actual_Cycle_Time_Min]/60</f>
        <v>0.13933333333333334</v>
      </c>
      <c r="K25">
        <f t="shared" si="0"/>
        <v>2042.4401913875597</v>
      </c>
      <c r="L25">
        <f>H25*tblComponents[Planned_Production_or_Procurement]</f>
        <v>916063.0199999999</v>
      </c>
      <c r="M25">
        <f t="shared" si="1"/>
        <v>223</v>
      </c>
      <c r="N25" t="str">
        <f t="shared" si="2"/>
        <v>Low Economic Priority</v>
      </c>
      <c r="O25" t="str">
        <f>tblComponents[Criticality]</f>
        <v>Low</v>
      </c>
      <c r="P25">
        <f>tblComponents[Planned_Production_or_Procurement]</f>
        <v>3219</v>
      </c>
      <c r="Q25">
        <f t="shared" si="3"/>
        <v>448.51400000000001</v>
      </c>
      <c r="R25" t="str">
        <f t="shared" si="4"/>
        <v>Low</v>
      </c>
      <c r="S25" t="str">
        <f t="shared" si="5"/>
        <v>Low Priority</v>
      </c>
      <c r="U25" s="7" t="s">
        <v>1782</v>
      </c>
      <c r="V25" s="11">
        <f>COUNTIF($N:$N,U25)</f>
        <v>150</v>
      </c>
    </row>
    <row r="26" spans="1:28" x14ac:dyDescent="0.35">
      <c r="A26" s="12" t="str">
        <f>tblComponents[Component_ID]</f>
        <v>C025</v>
      </c>
      <c r="B26" s="12" t="str">
        <f>tblComponents[Component_Name]</f>
        <v>Component 025</v>
      </c>
      <c r="C26" t="str">
        <f>tblComponents[Sourcing_Type]</f>
        <v>Make</v>
      </c>
      <c r="D26">
        <f>tblComponents[Forecast_Demand]</f>
        <v>1483</v>
      </c>
      <c r="E26">
        <f>tblComponents[Selling_Price_Per_Unit]</f>
        <v>773.28</v>
      </c>
      <c r="F26">
        <f>tblComponents[Variable_Cost_Per_Unit]</f>
        <v>526.6</v>
      </c>
      <c r="G26">
        <f>tblComponents[Direct_Labor_Cost_Per_Unit]</f>
        <v>30.56</v>
      </c>
      <c r="H26">
        <f>tblComponents[Contribution_Per_Unit]</f>
        <v>246.68</v>
      </c>
      <c r="I26">
        <f>tblComponents[Contribution_Margin]</f>
        <v>0.31900000000000001</v>
      </c>
      <c r="J26">
        <f>tblComponents[Actual_Cycle_Time_Min]/60</f>
        <v>5.5166666666666669E-2</v>
      </c>
      <c r="K26">
        <f t="shared" si="0"/>
        <v>4471.5407854984896</v>
      </c>
      <c r="L26">
        <f>H26*tblComponents[Planned_Production_or_Procurement]</f>
        <v>867820.24</v>
      </c>
      <c r="M26">
        <f t="shared" si="1"/>
        <v>117</v>
      </c>
      <c r="N26" t="str">
        <f t="shared" si="2"/>
        <v>Medium Economic Priority</v>
      </c>
      <c r="O26" t="str">
        <f>tblComponents[Criticality]</f>
        <v>High</v>
      </c>
      <c r="P26">
        <f>tblComponents[Planned_Production_or_Procurement]</f>
        <v>3518</v>
      </c>
      <c r="Q26">
        <f t="shared" si="3"/>
        <v>194.07633333333334</v>
      </c>
      <c r="R26" t="str">
        <f t="shared" si="4"/>
        <v>High</v>
      </c>
      <c r="S26" t="str">
        <f t="shared" si="5"/>
        <v>High Priority</v>
      </c>
    </row>
    <row r="27" spans="1:28" x14ac:dyDescent="0.35">
      <c r="A27" s="12" t="str">
        <f>tblComponents[Component_ID]</f>
        <v>C026</v>
      </c>
      <c r="B27" s="12" t="str">
        <f>tblComponents[Component_Name]</f>
        <v>Component 026</v>
      </c>
      <c r="C27" t="str">
        <f>tblComponents[Sourcing_Type]</f>
        <v>Make</v>
      </c>
      <c r="D27">
        <f>tblComponents[Forecast_Demand]</f>
        <v>2501</v>
      </c>
      <c r="E27">
        <f>tblComponents[Selling_Price_Per_Unit]</f>
        <v>1727.41</v>
      </c>
      <c r="F27">
        <f>tblComponents[Variable_Cost_Per_Unit]</f>
        <v>1163.1400000000001</v>
      </c>
      <c r="G27">
        <f>tblComponents[Direct_Labor_Cost_Per_Unit]</f>
        <v>57.05</v>
      </c>
      <c r="H27">
        <f>tblComponents[Contribution_Per_Unit]</f>
        <v>564.27</v>
      </c>
      <c r="I27">
        <f>tblComponents[Contribution_Margin]</f>
        <v>0.32669999999999999</v>
      </c>
      <c r="J27">
        <f>tblComponents[Actual_Cycle_Time_Min]/60</f>
        <v>6.0000000000000005E-2</v>
      </c>
      <c r="K27">
        <f t="shared" si="0"/>
        <v>9404.4999999999982</v>
      </c>
      <c r="L27">
        <f>H27*tblComponents[Planned_Production_or_Procurement]</f>
        <v>2280779.34</v>
      </c>
      <c r="M27">
        <f t="shared" si="1"/>
        <v>35</v>
      </c>
      <c r="N27" t="str">
        <f t="shared" si="2"/>
        <v>High Economic Priority</v>
      </c>
      <c r="O27" t="str">
        <f>tblComponents[Criticality]</f>
        <v>Medium</v>
      </c>
      <c r="P27">
        <f>tblComponents[Planned_Production_or_Procurement]</f>
        <v>4042</v>
      </c>
      <c r="Q27">
        <f t="shared" si="3"/>
        <v>242.52</v>
      </c>
      <c r="R27" t="str">
        <f t="shared" si="4"/>
        <v>Medium</v>
      </c>
      <c r="S27" t="str">
        <f t="shared" si="5"/>
        <v>High Priority</v>
      </c>
      <c r="U27" s="9" t="s">
        <v>1785</v>
      </c>
    </row>
    <row r="28" spans="1:28" x14ac:dyDescent="0.35">
      <c r="A28" s="12" t="str">
        <f>tblComponents[Component_ID]</f>
        <v>C027</v>
      </c>
      <c r="B28" s="12" t="str">
        <f>tblComponents[Component_Name]</f>
        <v>Component 027</v>
      </c>
      <c r="C28" t="str">
        <f>tblComponents[Sourcing_Type]</f>
        <v>Make</v>
      </c>
      <c r="D28">
        <f>tblComponents[Forecast_Demand]</f>
        <v>336</v>
      </c>
      <c r="E28">
        <f>tblComponents[Selling_Price_Per_Unit]</f>
        <v>2314.7600000000002</v>
      </c>
      <c r="F28">
        <f>tblComponents[Variable_Cost_Per_Unit]</f>
        <v>1614.54</v>
      </c>
      <c r="G28">
        <f>tblComponents[Direct_Labor_Cost_Per_Unit]</f>
        <v>119.6</v>
      </c>
      <c r="H28">
        <f>tblComponents[Contribution_Per_Unit]</f>
        <v>700.22</v>
      </c>
      <c r="I28">
        <f>tblComponents[Contribution_Margin]</f>
        <v>0.30249999999999999</v>
      </c>
      <c r="J28">
        <f>tblComponents[Actual_Cycle_Time_Min]/60</f>
        <v>1.4E-2</v>
      </c>
      <c r="K28">
        <f t="shared" si="0"/>
        <v>50015.71428571429</v>
      </c>
      <c r="L28">
        <f>H28*tblComponents[Planned_Production_or_Procurement]</f>
        <v>4115192.94</v>
      </c>
      <c r="M28">
        <f t="shared" si="1"/>
        <v>1</v>
      </c>
      <c r="N28" t="str">
        <f t="shared" si="2"/>
        <v>High Economic Priority</v>
      </c>
      <c r="O28" t="str">
        <f>tblComponents[Criticality]</f>
        <v>Critical</v>
      </c>
      <c r="P28">
        <f>tblComponents[Planned_Production_or_Procurement]</f>
        <v>5877</v>
      </c>
      <c r="Q28">
        <f t="shared" si="3"/>
        <v>82.278000000000006</v>
      </c>
      <c r="R28" t="str">
        <f t="shared" si="4"/>
        <v>Critical</v>
      </c>
      <c r="S28" t="str">
        <f t="shared" si="5"/>
        <v>Critical Priority</v>
      </c>
      <c r="U28" s="7" t="s">
        <v>1786</v>
      </c>
      <c r="V28" s="11" t="s">
        <v>1677</v>
      </c>
    </row>
    <row r="29" spans="1:28" x14ac:dyDescent="0.35">
      <c r="A29" s="12" t="str">
        <f>tblComponents[Component_ID]</f>
        <v>C028</v>
      </c>
      <c r="B29" s="12" t="str">
        <f>tblComponents[Component_Name]</f>
        <v>Component 028</v>
      </c>
      <c r="C29" t="str">
        <f>tblComponents[Sourcing_Type]</f>
        <v>Make</v>
      </c>
      <c r="D29">
        <f>tblComponents[Forecast_Demand]</f>
        <v>589</v>
      </c>
      <c r="E29">
        <f>tblComponents[Selling_Price_Per_Unit]</f>
        <v>998.99</v>
      </c>
      <c r="F29">
        <f>tblComponents[Variable_Cost_Per_Unit]</f>
        <v>770.99</v>
      </c>
      <c r="G29">
        <f>tblComponents[Direct_Labor_Cost_Per_Unit]</f>
        <v>136.76</v>
      </c>
      <c r="H29">
        <f>tblComponents[Contribution_Per_Unit]</f>
        <v>228</v>
      </c>
      <c r="I29">
        <f>tblComponents[Contribution_Margin]</f>
        <v>0.22819999999999999</v>
      </c>
      <c r="J29">
        <f>tblComponents[Actual_Cycle_Time_Min]/60</f>
        <v>0.26150000000000001</v>
      </c>
      <c r="K29">
        <f t="shared" si="0"/>
        <v>871.89292543021031</v>
      </c>
      <c r="L29">
        <f>H29*tblComponents[Planned_Production_or_Procurement]</f>
        <v>364344</v>
      </c>
      <c r="M29">
        <f t="shared" si="1"/>
        <v>289</v>
      </c>
      <c r="N29" t="str">
        <f t="shared" si="2"/>
        <v>Low Economic Priority</v>
      </c>
      <c r="O29" t="str">
        <f>tblComponents[Criticality]</f>
        <v>High</v>
      </c>
      <c r="P29">
        <f>tblComponents[Planned_Production_or_Procurement]</f>
        <v>1598</v>
      </c>
      <c r="Q29">
        <f t="shared" si="3"/>
        <v>417.87700000000001</v>
      </c>
      <c r="R29" t="str">
        <f t="shared" si="4"/>
        <v>High</v>
      </c>
      <c r="S29" t="str">
        <f t="shared" si="5"/>
        <v>High Priority</v>
      </c>
      <c r="U29" s="7" t="s">
        <v>1763</v>
      </c>
      <c r="V29" s="11">
        <f>COUNTIF($S:$S,U29)</f>
        <v>35</v>
      </c>
    </row>
    <row r="30" spans="1:28" x14ac:dyDescent="0.35">
      <c r="A30" s="12" t="str">
        <f>tblComponents[Component_ID]</f>
        <v>C029</v>
      </c>
      <c r="B30" s="12" t="str">
        <f>tblComponents[Component_Name]</f>
        <v>Component 029</v>
      </c>
      <c r="C30" t="str">
        <f>tblComponents[Sourcing_Type]</f>
        <v>Make</v>
      </c>
      <c r="D30">
        <f>tblComponents[Forecast_Demand]</f>
        <v>2125</v>
      </c>
      <c r="E30">
        <f>tblComponents[Selling_Price_Per_Unit]</f>
        <v>906.48</v>
      </c>
      <c r="F30">
        <f>tblComponents[Variable_Cost_Per_Unit]</f>
        <v>709.07</v>
      </c>
      <c r="G30">
        <f>tblComponents[Direct_Labor_Cost_Per_Unit]</f>
        <v>26.23</v>
      </c>
      <c r="H30">
        <f>tblComponents[Contribution_Per_Unit]</f>
        <v>197.41</v>
      </c>
      <c r="I30">
        <f>tblComponents[Contribution_Margin]</f>
        <v>0.21779999999999999</v>
      </c>
      <c r="J30">
        <f>tblComponents[Actual_Cycle_Time_Min]/60</f>
        <v>1.5666666666666666E-2</v>
      </c>
      <c r="K30">
        <f t="shared" si="0"/>
        <v>12600.638297872341</v>
      </c>
      <c r="L30">
        <f>H30*tblComponents[Planned_Production_or_Procurement]</f>
        <v>1370815.04</v>
      </c>
      <c r="M30">
        <f t="shared" si="1"/>
        <v>19</v>
      </c>
      <c r="N30" t="str">
        <f t="shared" si="2"/>
        <v>High Economic Priority</v>
      </c>
      <c r="O30" t="str">
        <f>tblComponents[Criticality]</f>
        <v>High</v>
      </c>
      <c r="P30">
        <f>tblComponents[Planned_Production_or_Procurement]</f>
        <v>6944</v>
      </c>
      <c r="Q30">
        <f t="shared" si="3"/>
        <v>108.78933333333333</v>
      </c>
      <c r="R30" t="str">
        <f t="shared" si="4"/>
        <v>High</v>
      </c>
      <c r="S30" t="str">
        <f t="shared" si="5"/>
        <v>High Priority</v>
      </c>
      <c r="U30" s="7" t="s">
        <v>1764</v>
      </c>
      <c r="V30" s="11">
        <f t="shared" ref="V30:V32" si="6">COUNTIF($S:$S,U30)</f>
        <v>116</v>
      </c>
    </row>
    <row r="31" spans="1:28" x14ac:dyDescent="0.35">
      <c r="A31" s="12" t="str">
        <f>tblComponents[Component_ID]</f>
        <v>C030</v>
      </c>
      <c r="B31" s="12" t="str">
        <f>tblComponents[Component_Name]</f>
        <v>Component 030</v>
      </c>
      <c r="C31" t="str">
        <f>tblComponents[Sourcing_Type]</f>
        <v>Make</v>
      </c>
      <c r="D31">
        <f>tblComponents[Forecast_Demand]</f>
        <v>184</v>
      </c>
      <c r="E31">
        <f>tblComponents[Selling_Price_Per_Unit]</f>
        <v>3393.82</v>
      </c>
      <c r="F31">
        <f>tblComponents[Variable_Cost_Per_Unit]</f>
        <v>2377.65</v>
      </c>
      <c r="G31">
        <f>tblComponents[Direct_Labor_Cost_Per_Unit]</f>
        <v>56.72</v>
      </c>
      <c r="H31">
        <f>tblComponents[Contribution_Per_Unit]</f>
        <v>1016.17</v>
      </c>
      <c r="I31">
        <f>tblComponents[Contribution_Margin]</f>
        <v>0.2994</v>
      </c>
      <c r="J31">
        <f>tblComponents[Actual_Cycle_Time_Min]/60</f>
        <v>0.23783333333333331</v>
      </c>
      <c r="K31">
        <f t="shared" si="0"/>
        <v>4272.6138752627894</v>
      </c>
      <c r="L31">
        <f>H31*tblComponents[Planned_Production_or_Procurement]</f>
        <v>917601.51</v>
      </c>
      <c r="M31">
        <f t="shared" si="1"/>
        <v>128</v>
      </c>
      <c r="N31" t="str">
        <f t="shared" si="2"/>
        <v>Medium Economic Priority</v>
      </c>
      <c r="O31" t="str">
        <f>tblComponents[Criticality]</f>
        <v>Medium</v>
      </c>
      <c r="P31">
        <f>tblComponents[Planned_Production_or_Procurement]</f>
        <v>903</v>
      </c>
      <c r="Q31">
        <f t="shared" si="3"/>
        <v>214.76349999999999</v>
      </c>
      <c r="R31" t="str">
        <f t="shared" si="4"/>
        <v>Medium</v>
      </c>
      <c r="S31" t="str">
        <f t="shared" si="5"/>
        <v>Medium Priority</v>
      </c>
      <c r="U31" s="7" t="s">
        <v>1766</v>
      </c>
      <c r="V31" s="11">
        <f t="shared" si="6"/>
        <v>113</v>
      </c>
    </row>
    <row r="32" spans="1:28" x14ac:dyDescent="0.35">
      <c r="A32" s="12" t="str">
        <f>tblComponents[Component_ID]</f>
        <v>C031</v>
      </c>
      <c r="B32" s="12" t="str">
        <f>tblComponents[Component_Name]</f>
        <v>Component 031</v>
      </c>
      <c r="C32" t="str">
        <f>tblComponents[Sourcing_Type]</f>
        <v>Make</v>
      </c>
      <c r="D32">
        <f>tblComponents[Forecast_Demand]</f>
        <v>1249</v>
      </c>
      <c r="E32">
        <f>tblComponents[Selling_Price_Per_Unit]</f>
        <v>2244.87</v>
      </c>
      <c r="F32">
        <f>tblComponents[Variable_Cost_Per_Unit]</f>
        <v>1422.07</v>
      </c>
      <c r="G32">
        <f>tblComponents[Direct_Labor_Cost_Per_Unit]</f>
        <v>36.99</v>
      </c>
      <c r="H32">
        <f>tblComponents[Contribution_Per_Unit]</f>
        <v>822.8</v>
      </c>
      <c r="I32">
        <f>tblComponents[Contribution_Margin]</f>
        <v>0.36649999999999999</v>
      </c>
      <c r="J32">
        <f>tblComponents[Actual_Cycle_Time_Min]/60</f>
        <v>0.22949999999999998</v>
      </c>
      <c r="K32">
        <f t="shared" si="0"/>
        <v>3585.1851851851852</v>
      </c>
      <c r="L32">
        <f>H32*tblComponents[Planned_Production_or_Procurement]</f>
        <v>531528.79999999993</v>
      </c>
      <c r="M32">
        <f t="shared" si="1"/>
        <v>148</v>
      </c>
      <c r="N32" t="str">
        <f t="shared" si="2"/>
        <v>Medium Economic Priority</v>
      </c>
      <c r="O32" t="str">
        <f>tblComponents[Criticality]</f>
        <v>High</v>
      </c>
      <c r="P32">
        <f>tblComponents[Planned_Production_or_Procurement]</f>
        <v>646</v>
      </c>
      <c r="Q32">
        <f t="shared" si="3"/>
        <v>148.25699999999998</v>
      </c>
      <c r="R32" t="str">
        <f t="shared" si="4"/>
        <v>High</v>
      </c>
      <c r="S32" t="str">
        <f t="shared" si="5"/>
        <v>High Priority</v>
      </c>
      <c r="U32" s="7" t="s">
        <v>1768</v>
      </c>
      <c r="V32" s="11">
        <f t="shared" si="6"/>
        <v>36</v>
      </c>
    </row>
    <row r="33" spans="1:28" x14ac:dyDescent="0.35">
      <c r="A33" s="12" t="str">
        <f>tblComponents[Component_ID]</f>
        <v>C032</v>
      </c>
      <c r="B33" s="12" t="str">
        <f>tblComponents[Component_Name]</f>
        <v>Component 032</v>
      </c>
      <c r="C33" t="str">
        <f>tblComponents[Sourcing_Type]</f>
        <v>Make</v>
      </c>
      <c r="D33">
        <f>tblComponents[Forecast_Demand]</f>
        <v>1588</v>
      </c>
      <c r="E33">
        <f>tblComponents[Selling_Price_Per_Unit]</f>
        <v>795.54</v>
      </c>
      <c r="F33">
        <f>tblComponents[Variable_Cost_Per_Unit]</f>
        <v>487.92</v>
      </c>
      <c r="G33">
        <f>tblComponents[Direct_Labor_Cost_Per_Unit]</f>
        <v>24.96</v>
      </c>
      <c r="H33">
        <f>tblComponents[Contribution_Per_Unit]</f>
        <v>307.62</v>
      </c>
      <c r="I33">
        <f>tblComponents[Contribution_Margin]</f>
        <v>0.38669999999999999</v>
      </c>
      <c r="J33">
        <f>tblComponents[Actual_Cycle_Time_Min]/60</f>
        <v>0.12050000000000001</v>
      </c>
      <c r="K33">
        <f t="shared" si="0"/>
        <v>2552.8630705394189</v>
      </c>
      <c r="L33">
        <f>H33*tblComponents[Planned_Production_or_Procurement]</f>
        <v>1666377.54</v>
      </c>
      <c r="M33">
        <f t="shared" si="1"/>
        <v>187</v>
      </c>
      <c r="N33" t="str">
        <f t="shared" si="2"/>
        <v>Low Economic Priority</v>
      </c>
      <c r="O33" t="str">
        <f>tblComponents[Criticality]</f>
        <v>Low</v>
      </c>
      <c r="P33">
        <f>tblComponents[Planned_Production_or_Procurement]</f>
        <v>5417</v>
      </c>
      <c r="Q33">
        <f t="shared" si="3"/>
        <v>652.74850000000004</v>
      </c>
      <c r="R33" t="str">
        <f t="shared" si="4"/>
        <v>Low</v>
      </c>
      <c r="S33" t="str">
        <f t="shared" si="5"/>
        <v>Low Priority</v>
      </c>
    </row>
    <row r="34" spans="1:28" x14ac:dyDescent="0.35">
      <c r="A34" s="12" t="str">
        <f>tblComponents[Component_ID]</f>
        <v>C033</v>
      </c>
      <c r="B34" s="12" t="str">
        <f>tblComponents[Component_Name]</f>
        <v>Component 033</v>
      </c>
      <c r="C34" t="str">
        <f>tblComponents[Sourcing_Type]</f>
        <v>Make</v>
      </c>
      <c r="D34">
        <f>tblComponents[Forecast_Demand]</f>
        <v>488</v>
      </c>
      <c r="E34">
        <f>tblComponents[Selling_Price_Per_Unit]</f>
        <v>1280.68</v>
      </c>
      <c r="F34">
        <f>tblComponents[Variable_Cost_Per_Unit]</f>
        <v>1054.67</v>
      </c>
      <c r="G34">
        <f>tblComponents[Direct_Labor_Cost_Per_Unit]</f>
        <v>29.05</v>
      </c>
      <c r="H34">
        <f>tblComponents[Contribution_Per_Unit]</f>
        <v>226.01</v>
      </c>
      <c r="I34">
        <f>tblComponents[Contribution_Margin]</f>
        <v>0.17649999999999999</v>
      </c>
      <c r="J34">
        <f>tblComponents[Actual_Cycle_Time_Min]/60</f>
        <v>8.2666666666666666E-2</v>
      </c>
      <c r="K34">
        <f t="shared" si="0"/>
        <v>2733.9919354838707</v>
      </c>
      <c r="L34">
        <f>H34*tblComponents[Planned_Production_or_Procurement]</f>
        <v>656559.04999999993</v>
      </c>
      <c r="M34">
        <f t="shared" si="1"/>
        <v>181</v>
      </c>
      <c r="N34" t="str">
        <f t="shared" si="2"/>
        <v>Low Economic Priority</v>
      </c>
      <c r="O34" t="str">
        <f>tblComponents[Criticality]</f>
        <v>Critical</v>
      </c>
      <c r="P34">
        <f>tblComponents[Planned_Production_or_Procurement]</f>
        <v>2905</v>
      </c>
      <c r="Q34">
        <f t="shared" si="3"/>
        <v>240.14666666666668</v>
      </c>
      <c r="R34" t="str">
        <f t="shared" si="4"/>
        <v>Critical</v>
      </c>
      <c r="S34" t="str">
        <f t="shared" si="5"/>
        <v>Critical Priority</v>
      </c>
      <c r="U34" s="1" t="s">
        <v>1788</v>
      </c>
    </row>
    <row r="35" spans="1:28" x14ac:dyDescent="0.35">
      <c r="A35" s="12" t="str">
        <f>tblComponents[Component_ID]</f>
        <v>C034</v>
      </c>
      <c r="B35" s="12" t="str">
        <f>tblComponents[Component_Name]</f>
        <v>Component 034</v>
      </c>
      <c r="C35" t="str">
        <f>tblComponents[Sourcing_Type]</f>
        <v>Make</v>
      </c>
      <c r="D35">
        <f>tblComponents[Forecast_Demand]</f>
        <v>884</v>
      </c>
      <c r="E35">
        <f>tblComponents[Selling_Price_Per_Unit]</f>
        <v>1591.03</v>
      </c>
      <c r="F35">
        <f>tblComponents[Variable_Cost_Per_Unit]</f>
        <v>1290.79</v>
      </c>
      <c r="G35">
        <f>tblComponents[Direct_Labor_Cost_Per_Unit]</f>
        <v>142.06</v>
      </c>
      <c r="H35">
        <f>tblComponents[Contribution_Per_Unit]</f>
        <v>300.24</v>
      </c>
      <c r="I35">
        <f>tblComponents[Contribution_Margin]</f>
        <v>0.18870000000000001</v>
      </c>
      <c r="J35">
        <f>tblComponents[Actual_Cycle_Time_Min]/60</f>
        <v>0.17799999999999999</v>
      </c>
      <c r="K35">
        <f t="shared" si="0"/>
        <v>1686.7415730337079</v>
      </c>
      <c r="L35">
        <f>H35*tblComponents[Planned_Production_or_Procurement]</f>
        <v>446757.12</v>
      </c>
      <c r="M35">
        <f t="shared" si="1"/>
        <v>245</v>
      </c>
      <c r="N35" t="str">
        <f t="shared" si="2"/>
        <v>Low Economic Priority</v>
      </c>
      <c r="O35" t="str">
        <f>tblComponents[Criticality]</f>
        <v>Medium</v>
      </c>
      <c r="P35">
        <f>tblComponents[Planned_Production_or_Procurement]</f>
        <v>1488</v>
      </c>
      <c r="Q35">
        <f t="shared" si="3"/>
        <v>264.86399999999998</v>
      </c>
      <c r="R35" t="str">
        <f t="shared" si="4"/>
        <v>Medium</v>
      </c>
      <c r="S35" t="str">
        <f t="shared" si="5"/>
        <v>Medium Priority</v>
      </c>
      <c r="U35" s="7" t="s">
        <v>73</v>
      </c>
      <c r="V35" s="7" t="s">
        <v>1787</v>
      </c>
      <c r="W35" s="7" t="s">
        <v>158</v>
      </c>
    </row>
    <row r="36" spans="1:28" x14ac:dyDescent="0.35">
      <c r="A36" s="12" t="str">
        <f>tblComponents[Component_ID]</f>
        <v>C035</v>
      </c>
      <c r="B36" s="12" t="str">
        <f>tblComponents[Component_Name]</f>
        <v>Component 035</v>
      </c>
      <c r="C36" t="str">
        <f>tblComponents[Sourcing_Type]</f>
        <v>Make</v>
      </c>
      <c r="D36">
        <f>tblComponents[Forecast_Demand]</f>
        <v>1194</v>
      </c>
      <c r="E36">
        <f>tblComponents[Selling_Price_Per_Unit]</f>
        <v>1195</v>
      </c>
      <c r="F36">
        <f>tblComponents[Variable_Cost_Per_Unit]</f>
        <v>733.51</v>
      </c>
      <c r="G36">
        <f>tblComponents[Direct_Labor_Cost_Per_Unit]</f>
        <v>23.86</v>
      </c>
      <c r="H36">
        <f>tblComponents[Contribution_Per_Unit]</f>
        <v>461.49</v>
      </c>
      <c r="I36">
        <f>tblComponents[Contribution_Margin]</f>
        <v>0.38619999999999999</v>
      </c>
      <c r="J36">
        <f>tblComponents[Actual_Cycle_Time_Min]/60</f>
        <v>0.14716666666666667</v>
      </c>
      <c r="K36">
        <f t="shared" si="0"/>
        <v>3135.832389580974</v>
      </c>
      <c r="L36">
        <f>H36*tblComponents[Planned_Production_or_Procurement]</f>
        <v>942824.07000000007</v>
      </c>
      <c r="M36">
        <f t="shared" si="1"/>
        <v>166</v>
      </c>
      <c r="N36" t="str">
        <f t="shared" si="2"/>
        <v>Low Economic Priority</v>
      </c>
      <c r="O36" t="str">
        <f>tblComponents[Criticality]</f>
        <v>Medium</v>
      </c>
      <c r="P36">
        <f>tblComponents[Planned_Production_or_Procurement]</f>
        <v>2043</v>
      </c>
      <c r="Q36">
        <f t="shared" si="3"/>
        <v>300.66149999999999</v>
      </c>
      <c r="R36" t="str">
        <f t="shared" si="4"/>
        <v>Medium</v>
      </c>
      <c r="S36" t="str">
        <f t="shared" si="5"/>
        <v>Medium Priority</v>
      </c>
      <c r="U36" t="str">
        <f>INDEX($A$2:$A$501,MATCH(LARGE($K$2:$K$501,ROW(A1)),$K$2:$K$501,0))</f>
        <v>C027</v>
      </c>
      <c r="V36">
        <f>LARGE($K$2:$K$501,ROW(A1))</f>
        <v>50015.71428571429</v>
      </c>
      <c r="W36" t="str">
        <f>INDEX(tblComponents[Assigned_Machine],MATCH(U36,tblComponents[Component_ID],0))</f>
        <v>M010</v>
      </c>
    </row>
    <row r="37" spans="1:28" x14ac:dyDescent="0.35">
      <c r="A37" s="12" t="str">
        <f>tblComponents[Component_ID]</f>
        <v>C036</v>
      </c>
      <c r="B37" s="12" t="str">
        <f>tblComponents[Component_Name]</f>
        <v>Component 036</v>
      </c>
      <c r="C37" t="str">
        <f>tblComponents[Sourcing_Type]</f>
        <v>Make</v>
      </c>
      <c r="D37">
        <f>tblComponents[Forecast_Demand]</f>
        <v>3002</v>
      </c>
      <c r="E37">
        <f>tblComponents[Selling_Price_Per_Unit]</f>
        <v>2520.61</v>
      </c>
      <c r="F37">
        <f>tblComponents[Variable_Cost_Per_Unit]</f>
        <v>1678.39</v>
      </c>
      <c r="G37">
        <f>tblComponents[Direct_Labor_Cost_Per_Unit]</f>
        <v>41.39</v>
      </c>
      <c r="H37">
        <f>tblComponents[Contribution_Per_Unit]</f>
        <v>842.22</v>
      </c>
      <c r="I37">
        <f>tblComponents[Contribution_Margin]</f>
        <v>0.33410000000000001</v>
      </c>
      <c r="J37">
        <f>tblComponents[Actual_Cycle_Time_Min]/60</f>
        <v>0.13583333333333333</v>
      </c>
      <c r="K37">
        <f t="shared" si="0"/>
        <v>6200.3926380368102</v>
      </c>
      <c r="L37">
        <f>H37*tblComponents[Planned_Production_or_Procurement]</f>
        <v>535651.92000000004</v>
      </c>
      <c r="M37">
        <f t="shared" si="1"/>
        <v>73</v>
      </c>
      <c r="N37" t="str">
        <f t="shared" si="2"/>
        <v>High Economic Priority</v>
      </c>
      <c r="O37" t="str">
        <f>tblComponents[Criticality]</f>
        <v>Critical</v>
      </c>
      <c r="P37">
        <f>tblComponents[Planned_Production_or_Procurement]</f>
        <v>636</v>
      </c>
      <c r="Q37">
        <f t="shared" si="3"/>
        <v>86.39</v>
      </c>
      <c r="R37" t="str">
        <f t="shared" si="4"/>
        <v>Critical</v>
      </c>
      <c r="S37" t="str">
        <f t="shared" si="5"/>
        <v>Critical Priority</v>
      </c>
      <c r="U37" t="str">
        <f t="shared" ref="U37:U45" si="7">INDEX($A$2:$A$501,MATCH(LARGE($K$2:$K$501,ROW(A2)),$K$2:$K$501,0))</f>
        <v>C004</v>
      </c>
      <c r="V37">
        <f t="shared" ref="V37:V45" si="8">LARGE($K$2:$K$501,ROW(A2))</f>
        <v>28138.518518518515</v>
      </c>
      <c r="W37" t="str">
        <f>INDEX(tblComponents[Assigned_Machine],MATCH(U37,tblComponents[Component_ID],0))</f>
        <v>M008</v>
      </c>
    </row>
    <row r="38" spans="1:28" x14ac:dyDescent="0.35">
      <c r="A38" s="12" t="str">
        <f>tblComponents[Component_ID]</f>
        <v>C037</v>
      </c>
      <c r="B38" s="12" t="str">
        <f>tblComponents[Component_Name]</f>
        <v>Component 037</v>
      </c>
      <c r="C38" t="str">
        <f>tblComponents[Sourcing_Type]</f>
        <v>Make</v>
      </c>
      <c r="D38">
        <f>tblComponents[Forecast_Demand]</f>
        <v>1149</v>
      </c>
      <c r="E38">
        <f>tblComponents[Selling_Price_Per_Unit]</f>
        <v>1779.92</v>
      </c>
      <c r="F38">
        <f>tblComponents[Variable_Cost_Per_Unit]</f>
        <v>1120.02</v>
      </c>
      <c r="G38">
        <f>tblComponents[Direct_Labor_Cost_Per_Unit]</f>
        <v>28.36</v>
      </c>
      <c r="H38">
        <f>tblComponents[Contribution_Per_Unit]</f>
        <v>659.9</v>
      </c>
      <c r="I38">
        <f>tblComponents[Contribution_Margin]</f>
        <v>0.37069999999999997</v>
      </c>
      <c r="J38">
        <f>tblComponents[Actual_Cycle_Time_Min]/60</f>
        <v>0.13916666666666666</v>
      </c>
      <c r="K38">
        <f t="shared" si="0"/>
        <v>4741.7964071856286</v>
      </c>
      <c r="L38">
        <f>H38*tblComponents[Planned_Production_or_Procurement]</f>
        <v>1410206.3</v>
      </c>
      <c r="M38">
        <f t="shared" si="1"/>
        <v>110</v>
      </c>
      <c r="N38" t="str">
        <f t="shared" si="2"/>
        <v>Medium Economic Priority</v>
      </c>
      <c r="O38" t="str">
        <f>tblComponents[Criticality]</f>
        <v>High</v>
      </c>
      <c r="P38">
        <f>tblComponents[Planned_Production_or_Procurement]</f>
        <v>2137</v>
      </c>
      <c r="Q38">
        <f t="shared" si="3"/>
        <v>297.39916666666664</v>
      </c>
      <c r="R38" t="str">
        <f t="shared" si="4"/>
        <v>High</v>
      </c>
      <c r="S38" t="str">
        <f t="shared" si="5"/>
        <v>High Priority</v>
      </c>
      <c r="U38" t="str">
        <f t="shared" si="7"/>
        <v>C102</v>
      </c>
      <c r="V38">
        <f t="shared" si="8"/>
        <v>27731.092436974792</v>
      </c>
      <c r="W38" t="str">
        <f>INDEX(tblComponents[Assigned_Machine],MATCH(U38,tblComponents[Component_ID],0))</f>
        <v>M007</v>
      </c>
    </row>
    <row r="39" spans="1:28" x14ac:dyDescent="0.35">
      <c r="A39" s="12" t="str">
        <f>tblComponents[Component_ID]</f>
        <v>C038</v>
      </c>
      <c r="B39" s="12" t="str">
        <f>tblComponents[Component_Name]</f>
        <v>Component 038</v>
      </c>
      <c r="C39" t="str">
        <f>tblComponents[Sourcing_Type]</f>
        <v>Make</v>
      </c>
      <c r="D39">
        <f>tblComponents[Forecast_Demand]</f>
        <v>1163</v>
      </c>
      <c r="E39">
        <f>tblComponents[Selling_Price_Per_Unit]</f>
        <v>1293.3499999999999</v>
      </c>
      <c r="F39">
        <f>tblComponents[Variable_Cost_Per_Unit]</f>
        <v>1033.83</v>
      </c>
      <c r="G39">
        <f>tblComponents[Direct_Labor_Cost_Per_Unit]</f>
        <v>38.25</v>
      </c>
      <c r="H39">
        <f>tblComponents[Contribution_Per_Unit]</f>
        <v>259.52</v>
      </c>
      <c r="I39">
        <f>tblComponents[Contribution_Margin]</f>
        <v>0.20069999999999999</v>
      </c>
      <c r="J39">
        <f>tblComponents[Actual_Cycle_Time_Min]/60</f>
        <v>0.04</v>
      </c>
      <c r="K39">
        <f t="shared" si="0"/>
        <v>6487.9999999999991</v>
      </c>
      <c r="L39">
        <f>H39*tblComponents[Planned_Production_or_Procurement]</f>
        <v>404332.16</v>
      </c>
      <c r="M39">
        <f t="shared" si="1"/>
        <v>65</v>
      </c>
      <c r="N39" t="str">
        <f t="shared" si="2"/>
        <v>High Economic Priority</v>
      </c>
      <c r="O39" t="str">
        <f>tblComponents[Criticality]</f>
        <v>Low</v>
      </c>
      <c r="P39">
        <f>tblComponents[Planned_Production_or_Procurement]</f>
        <v>1558</v>
      </c>
      <c r="Q39">
        <f t="shared" si="3"/>
        <v>62.32</v>
      </c>
      <c r="R39" t="str">
        <f t="shared" si="4"/>
        <v>Low</v>
      </c>
      <c r="S39" t="str">
        <f t="shared" si="5"/>
        <v>High Priority</v>
      </c>
      <c r="U39" t="str">
        <f t="shared" si="7"/>
        <v>C176</v>
      </c>
      <c r="V39">
        <f t="shared" si="8"/>
        <v>18615.089820359284</v>
      </c>
      <c r="W39" t="str">
        <f>INDEX(tblComponents[Assigned_Machine],MATCH(U39,tblComponents[Component_ID],0))</f>
        <v>M007</v>
      </c>
      <c r="AA39" t="s">
        <v>1686</v>
      </c>
      <c r="AB39" s="1" t="s">
        <v>1789</v>
      </c>
    </row>
    <row r="40" spans="1:28" x14ac:dyDescent="0.35">
      <c r="A40" s="12" t="str">
        <f>tblComponents[Component_ID]</f>
        <v>C039</v>
      </c>
      <c r="B40" s="12" t="str">
        <f>tblComponents[Component_Name]</f>
        <v>Component 039</v>
      </c>
      <c r="C40" t="str">
        <f>tblComponents[Sourcing_Type]</f>
        <v>Make</v>
      </c>
      <c r="D40">
        <f>tblComponents[Forecast_Demand]</f>
        <v>2748</v>
      </c>
      <c r="E40">
        <f>tblComponents[Selling_Price_Per_Unit]</f>
        <v>728.31</v>
      </c>
      <c r="F40">
        <f>tblComponents[Variable_Cost_Per_Unit]</f>
        <v>512.08000000000004</v>
      </c>
      <c r="G40">
        <f>tblComponents[Direct_Labor_Cost_Per_Unit]</f>
        <v>18.690000000000001</v>
      </c>
      <c r="H40">
        <f>tblComponents[Contribution_Per_Unit]</f>
        <v>216.23</v>
      </c>
      <c r="I40">
        <f>tblComponents[Contribution_Margin]</f>
        <v>0.2969</v>
      </c>
      <c r="J40">
        <f>tblComponents[Actual_Cycle_Time_Min]/60</f>
        <v>4.9333333333333333E-2</v>
      </c>
      <c r="K40">
        <f t="shared" si="0"/>
        <v>4383.04054054054</v>
      </c>
      <c r="L40">
        <f>H40*tblComponents[Planned_Production_or_Procurement]</f>
        <v>551602.73</v>
      </c>
      <c r="M40">
        <f t="shared" si="1"/>
        <v>122</v>
      </c>
      <c r="N40" t="str">
        <f t="shared" si="2"/>
        <v>Medium Economic Priority</v>
      </c>
      <c r="O40" t="str">
        <f>tblComponents[Criticality]</f>
        <v>High</v>
      </c>
      <c r="P40">
        <f>tblComponents[Planned_Production_or_Procurement]</f>
        <v>2551</v>
      </c>
      <c r="Q40">
        <f t="shared" si="3"/>
        <v>125.84933333333333</v>
      </c>
      <c r="R40" t="str">
        <f t="shared" si="4"/>
        <v>High</v>
      </c>
      <c r="S40" t="str">
        <f t="shared" si="5"/>
        <v>High Priority</v>
      </c>
      <c r="U40" t="str">
        <f t="shared" si="7"/>
        <v>C235</v>
      </c>
      <c r="V40">
        <f t="shared" si="8"/>
        <v>18382.890173410404</v>
      </c>
      <c r="W40" t="str">
        <f>INDEX(tblComponents[Assigned_Machine],MATCH(U40,tblComponents[Component_ID],0))</f>
        <v>M025</v>
      </c>
    </row>
    <row r="41" spans="1:28" x14ac:dyDescent="0.35">
      <c r="A41" s="12" t="str">
        <f>tblComponents[Component_ID]</f>
        <v>C040</v>
      </c>
      <c r="B41" s="12" t="str">
        <f>tblComponents[Component_Name]</f>
        <v>Component 040</v>
      </c>
      <c r="C41" t="str">
        <f>tblComponents[Sourcing_Type]</f>
        <v>Make</v>
      </c>
      <c r="D41">
        <f>tblComponents[Forecast_Demand]</f>
        <v>1158</v>
      </c>
      <c r="E41">
        <f>tblComponents[Selling_Price_Per_Unit]</f>
        <v>1363.94</v>
      </c>
      <c r="F41">
        <f>tblComponents[Variable_Cost_Per_Unit]</f>
        <v>920.27</v>
      </c>
      <c r="G41">
        <f>tblComponents[Direct_Labor_Cost_Per_Unit]</f>
        <v>16.77</v>
      </c>
      <c r="H41">
        <f>tblComponents[Contribution_Per_Unit]</f>
        <v>443.67</v>
      </c>
      <c r="I41">
        <f>tblComponents[Contribution_Margin]</f>
        <v>0.32529999999999998</v>
      </c>
      <c r="J41">
        <f>tblComponents[Actual_Cycle_Time_Min]/60</f>
        <v>0.17283333333333331</v>
      </c>
      <c r="K41">
        <f t="shared" si="0"/>
        <v>2567.0395371263262</v>
      </c>
      <c r="L41">
        <f>H41*tblComponents[Planned_Production_or_Procurement]</f>
        <v>1438378.1400000001</v>
      </c>
      <c r="M41">
        <f t="shared" si="1"/>
        <v>186</v>
      </c>
      <c r="N41" t="str">
        <f t="shared" si="2"/>
        <v>Low Economic Priority</v>
      </c>
      <c r="O41" t="str">
        <f>tblComponents[Criticality]</f>
        <v>High</v>
      </c>
      <c r="P41">
        <f>tblComponents[Planned_Production_or_Procurement]</f>
        <v>3242</v>
      </c>
      <c r="Q41">
        <f t="shared" si="3"/>
        <v>560.32566666666662</v>
      </c>
      <c r="R41" t="str">
        <f t="shared" si="4"/>
        <v>High</v>
      </c>
      <c r="S41" t="str">
        <f t="shared" si="5"/>
        <v>High Priority</v>
      </c>
      <c r="U41" t="str">
        <f t="shared" si="7"/>
        <v>C155</v>
      </c>
      <c r="V41">
        <f t="shared" si="8"/>
        <v>17569.772727272728</v>
      </c>
      <c r="W41" t="str">
        <f>INDEX(tblComponents[Assigned_Machine],MATCH(U41,tblComponents[Component_ID],0))</f>
        <v>M010</v>
      </c>
    </row>
    <row r="42" spans="1:28" x14ac:dyDescent="0.35">
      <c r="A42" s="12" t="str">
        <f>tblComponents[Component_ID]</f>
        <v>C041</v>
      </c>
      <c r="B42" s="12" t="str">
        <f>tblComponents[Component_Name]</f>
        <v>Component 041</v>
      </c>
      <c r="C42" t="str">
        <f>tblComponents[Sourcing_Type]</f>
        <v>Make</v>
      </c>
      <c r="D42">
        <f>tblComponents[Forecast_Demand]</f>
        <v>233</v>
      </c>
      <c r="E42">
        <f>tblComponents[Selling_Price_Per_Unit]</f>
        <v>1293.27</v>
      </c>
      <c r="F42">
        <f>tblComponents[Variable_Cost_Per_Unit]</f>
        <v>879.39</v>
      </c>
      <c r="G42">
        <f>tblComponents[Direct_Labor_Cost_Per_Unit]</f>
        <v>11.52</v>
      </c>
      <c r="H42">
        <f>tblComponents[Contribution_Per_Unit]</f>
        <v>413.88</v>
      </c>
      <c r="I42">
        <f>tblComponents[Contribution_Margin]</f>
        <v>0.32</v>
      </c>
      <c r="J42">
        <f>tblComponents[Actual_Cycle_Time_Min]/60</f>
        <v>6.8166666666666667E-2</v>
      </c>
      <c r="K42">
        <f t="shared" si="0"/>
        <v>6071.5892420537893</v>
      </c>
      <c r="L42">
        <f>H42*tblComponents[Planned_Production_or_Procurement]</f>
        <v>726359.4</v>
      </c>
      <c r="M42">
        <f t="shared" si="1"/>
        <v>75</v>
      </c>
      <c r="N42" t="str">
        <f t="shared" si="2"/>
        <v>High Economic Priority</v>
      </c>
      <c r="O42" t="str">
        <f>tblComponents[Criticality]</f>
        <v>High</v>
      </c>
      <c r="P42">
        <f>tblComponents[Planned_Production_or_Procurement]</f>
        <v>1755</v>
      </c>
      <c r="Q42">
        <f t="shared" si="3"/>
        <v>119.63250000000001</v>
      </c>
      <c r="R42" t="str">
        <f t="shared" si="4"/>
        <v>High</v>
      </c>
      <c r="S42" t="str">
        <f t="shared" si="5"/>
        <v>High Priority</v>
      </c>
      <c r="U42" t="str">
        <f t="shared" si="7"/>
        <v>C141</v>
      </c>
      <c r="V42">
        <f t="shared" si="8"/>
        <v>17260.227272727272</v>
      </c>
      <c r="W42" t="str">
        <f>INDEX(tblComponents[Assigned_Machine],MATCH(U42,tblComponents[Component_ID],0))</f>
        <v>M008</v>
      </c>
    </row>
    <row r="43" spans="1:28" x14ac:dyDescent="0.35">
      <c r="A43" s="12" t="str">
        <f>tblComponents[Component_ID]</f>
        <v>C042</v>
      </c>
      <c r="B43" s="12" t="str">
        <f>tblComponents[Component_Name]</f>
        <v>Component 042</v>
      </c>
      <c r="C43" t="str">
        <f>tblComponents[Sourcing_Type]</f>
        <v>Make</v>
      </c>
      <c r="D43">
        <f>tblComponents[Forecast_Demand]</f>
        <v>1006</v>
      </c>
      <c r="E43">
        <f>tblComponents[Selling_Price_Per_Unit]</f>
        <v>1461.5</v>
      </c>
      <c r="F43">
        <f>tblComponents[Variable_Cost_Per_Unit]</f>
        <v>1093.1500000000001</v>
      </c>
      <c r="G43">
        <f>tblComponents[Direct_Labor_Cost_Per_Unit]</f>
        <v>24.72</v>
      </c>
      <c r="H43">
        <f>tblComponents[Contribution_Per_Unit]</f>
        <v>368.35</v>
      </c>
      <c r="I43">
        <f>tblComponents[Contribution_Margin]</f>
        <v>0.252</v>
      </c>
      <c r="J43">
        <f>tblComponents[Actual_Cycle_Time_Min]/60</f>
        <v>0.17249999999999999</v>
      </c>
      <c r="K43">
        <f t="shared" si="0"/>
        <v>2135.36231884058</v>
      </c>
      <c r="L43">
        <f>H43*tblComponents[Planned_Production_or_Procurement]</f>
        <v>1147410.25</v>
      </c>
      <c r="M43">
        <f t="shared" si="1"/>
        <v>216</v>
      </c>
      <c r="N43" t="str">
        <f t="shared" si="2"/>
        <v>Low Economic Priority</v>
      </c>
      <c r="O43" t="str">
        <f>tblComponents[Criticality]</f>
        <v>Medium</v>
      </c>
      <c r="P43">
        <f>tblComponents[Planned_Production_or_Procurement]</f>
        <v>3115</v>
      </c>
      <c r="Q43">
        <f t="shared" si="3"/>
        <v>537.33749999999998</v>
      </c>
      <c r="R43" t="str">
        <f t="shared" si="4"/>
        <v>Medium</v>
      </c>
      <c r="S43" t="str">
        <f t="shared" si="5"/>
        <v>Medium Priority</v>
      </c>
      <c r="U43" t="str">
        <f t="shared" si="7"/>
        <v>C215</v>
      </c>
      <c r="V43">
        <f t="shared" si="8"/>
        <v>16675.421686746988</v>
      </c>
      <c r="W43" t="str">
        <f>INDEX(tblComponents[Assigned_Machine],MATCH(U43,tblComponents[Component_ID],0))</f>
        <v>M010</v>
      </c>
    </row>
    <row r="44" spans="1:28" x14ac:dyDescent="0.35">
      <c r="A44" s="12" t="str">
        <f>tblComponents[Component_ID]</f>
        <v>C043</v>
      </c>
      <c r="B44" s="12" t="str">
        <f>tblComponents[Component_Name]</f>
        <v>Component 043</v>
      </c>
      <c r="C44" t="str">
        <f>tblComponents[Sourcing_Type]</f>
        <v>Make</v>
      </c>
      <c r="D44">
        <f>tblComponents[Forecast_Demand]</f>
        <v>821</v>
      </c>
      <c r="E44">
        <f>tblComponents[Selling_Price_Per_Unit]</f>
        <v>1369.78</v>
      </c>
      <c r="F44">
        <f>tblComponents[Variable_Cost_Per_Unit]</f>
        <v>1159.04</v>
      </c>
      <c r="G44">
        <f>tblComponents[Direct_Labor_Cost_Per_Unit]</f>
        <v>142.06</v>
      </c>
      <c r="H44">
        <f>tblComponents[Contribution_Per_Unit]</f>
        <v>210.74</v>
      </c>
      <c r="I44">
        <f>tblComponents[Contribution_Margin]</f>
        <v>0.15379999999999999</v>
      </c>
      <c r="J44">
        <f>tblComponents[Actual_Cycle_Time_Min]/60</f>
        <v>0.20383333333333334</v>
      </c>
      <c r="K44">
        <f t="shared" si="0"/>
        <v>1033.8838920686835</v>
      </c>
      <c r="L44">
        <f>H44*tblComponents[Planned_Production_or_Procurement]</f>
        <v>210529.26</v>
      </c>
      <c r="M44">
        <f t="shared" si="1"/>
        <v>284</v>
      </c>
      <c r="N44" t="str">
        <f t="shared" si="2"/>
        <v>Low Economic Priority</v>
      </c>
      <c r="O44" t="str">
        <f>tblComponents[Criticality]</f>
        <v>Medium</v>
      </c>
      <c r="P44">
        <f>tblComponents[Planned_Production_or_Procurement]</f>
        <v>999</v>
      </c>
      <c r="Q44">
        <f t="shared" si="3"/>
        <v>203.62950000000001</v>
      </c>
      <c r="R44" t="str">
        <f t="shared" si="4"/>
        <v>Medium</v>
      </c>
      <c r="S44" t="str">
        <f t="shared" si="5"/>
        <v>Medium Priority</v>
      </c>
      <c r="U44" t="str">
        <f t="shared" si="7"/>
        <v>C005</v>
      </c>
      <c r="V44">
        <f t="shared" si="8"/>
        <v>16230.265486725668</v>
      </c>
      <c r="W44" t="str">
        <f>INDEX(tblComponents[Assigned_Machine],MATCH(U44,tblComponents[Component_ID],0))</f>
        <v>M009</v>
      </c>
    </row>
    <row r="45" spans="1:28" x14ac:dyDescent="0.35">
      <c r="A45" s="12" t="str">
        <f>tblComponents[Component_ID]</f>
        <v>C044</v>
      </c>
      <c r="B45" s="12" t="str">
        <f>tblComponents[Component_Name]</f>
        <v>Component 044</v>
      </c>
      <c r="C45" t="str">
        <f>tblComponents[Sourcing_Type]</f>
        <v>Make</v>
      </c>
      <c r="D45">
        <f>tblComponents[Forecast_Demand]</f>
        <v>710</v>
      </c>
      <c r="E45">
        <f>tblComponents[Selling_Price_Per_Unit]</f>
        <v>1117.0999999999999</v>
      </c>
      <c r="F45">
        <f>tblComponents[Variable_Cost_Per_Unit]</f>
        <v>786.74</v>
      </c>
      <c r="G45">
        <f>tblComponents[Direct_Labor_Cost_Per_Unit]</f>
        <v>59.74</v>
      </c>
      <c r="H45">
        <f>tblComponents[Contribution_Per_Unit]</f>
        <v>330.36</v>
      </c>
      <c r="I45">
        <f>tblComponents[Contribution_Margin]</f>
        <v>0.29570000000000002</v>
      </c>
      <c r="J45">
        <f>tblComponents[Actual_Cycle_Time_Min]/60</f>
        <v>0.24783333333333332</v>
      </c>
      <c r="K45">
        <f t="shared" si="0"/>
        <v>1332.992602555481</v>
      </c>
      <c r="L45">
        <f>H45*tblComponents[Planned_Production_or_Procurement]</f>
        <v>464155.80000000005</v>
      </c>
      <c r="M45">
        <f t="shared" si="1"/>
        <v>268</v>
      </c>
      <c r="N45" t="str">
        <f t="shared" si="2"/>
        <v>Low Economic Priority</v>
      </c>
      <c r="O45" t="str">
        <f>tblComponents[Criticality]</f>
        <v>Critical</v>
      </c>
      <c r="P45">
        <f>tblComponents[Planned_Production_or_Procurement]</f>
        <v>1405</v>
      </c>
      <c r="Q45">
        <f t="shared" si="3"/>
        <v>348.20583333333332</v>
      </c>
      <c r="R45" t="str">
        <f t="shared" si="4"/>
        <v>Critical</v>
      </c>
      <c r="S45" t="str">
        <f t="shared" si="5"/>
        <v>Critical Priority</v>
      </c>
      <c r="U45" t="str">
        <f t="shared" si="7"/>
        <v>C089</v>
      </c>
      <c r="V45">
        <f t="shared" si="8"/>
        <v>15248.944099378881</v>
      </c>
      <c r="W45" t="str">
        <f>INDEX(tblComponents[Assigned_Machine],MATCH(U45,tblComponents[Component_ID],0))</f>
        <v>M013</v>
      </c>
    </row>
    <row r="46" spans="1:28" x14ac:dyDescent="0.35">
      <c r="A46" s="12" t="str">
        <f>tblComponents[Component_ID]</f>
        <v>C045</v>
      </c>
      <c r="B46" s="12" t="str">
        <f>tblComponents[Component_Name]</f>
        <v>Component 045</v>
      </c>
      <c r="C46" t="str">
        <f>tblComponents[Sourcing_Type]</f>
        <v>Make</v>
      </c>
      <c r="D46">
        <f>tblComponents[Forecast_Demand]</f>
        <v>627</v>
      </c>
      <c r="E46">
        <f>tblComponents[Selling_Price_Per_Unit]</f>
        <v>871.75</v>
      </c>
      <c r="F46">
        <f>tblComponents[Variable_Cost_Per_Unit]</f>
        <v>685.83</v>
      </c>
      <c r="G46">
        <f>tblComponents[Direct_Labor_Cost_Per_Unit]</f>
        <v>40.01</v>
      </c>
      <c r="H46">
        <f>tblComponents[Contribution_Per_Unit]</f>
        <v>185.92</v>
      </c>
      <c r="I46">
        <f>tblComponents[Contribution_Margin]</f>
        <v>0.21329999999999999</v>
      </c>
      <c r="J46">
        <f>tblComponents[Actual_Cycle_Time_Min]/60</f>
        <v>0.25933333333333336</v>
      </c>
      <c r="K46">
        <f t="shared" si="0"/>
        <v>716.91516709511552</v>
      </c>
      <c r="L46">
        <f>H46*tblComponents[Planned_Production_or_Procurement]</f>
        <v>258056.95999999999</v>
      </c>
      <c r="M46">
        <f t="shared" si="1"/>
        <v>296</v>
      </c>
      <c r="N46" t="str">
        <f t="shared" si="2"/>
        <v>Low Economic Priority</v>
      </c>
      <c r="O46" t="str">
        <f>tblComponents[Criticality]</f>
        <v>Medium</v>
      </c>
      <c r="P46">
        <f>tblComponents[Planned_Production_or_Procurement]</f>
        <v>1388</v>
      </c>
      <c r="Q46">
        <f t="shared" si="3"/>
        <v>359.9546666666667</v>
      </c>
      <c r="R46" t="str">
        <f t="shared" si="4"/>
        <v>Medium</v>
      </c>
      <c r="S46" t="str">
        <f t="shared" si="5"/>
        <v>Medium Priority</v>
      </c>
    </row>
    <row r="47" spans="1:28" x14ac:dyDescent="0.35">
      <c r="A47" s="12" t="str">
        <f>tblComponents[Component_ID]</f>
        <v>C046</v>
      </c>
      <c r="B47" s="12" t="str">
        <f>tblComponents[Component_Name]</f>
        <v>Component 046</v>
      </c>
      <c r="C47" t="str">
        <f>tblComponents[Sourcing_Type]</f>
        <v>Make</v>
      </c>
      <c r="D47">
        <f>tblComponents[Forecast_Demand]</f>
        <v>1195</v>
      </c>
      <c r="E47">
        <f>tblComponents[Selling_Price_Per_Unit]</f>
        <v>3355.67</v>
      </c>
      <c r="F47">
        <f>tblComponents[Variable_Cost_Per_Unit]</f>
        <v>2474.59</v>
      </c>
      <c r="G47">
        <f>tblComponents[Direct_Labor_Cost_Per_Unit]</f>
        <v>30.17</v>
      </c>
      <c r="H47">
        <f>tblComponents[Contribution_Per_Unit]</f>
        <v>881.08</v>
      </c>
      <c r="I47">
        <f>tblComponents[Contribution_Margin]</f>
        <v>0.2626</v>
      </c>
      <c r="J47">
        <f>tblComponents[Actual_Cycle_Time_Min]/60</f>
        <v>0.32383333333333331</v>
      </c>
      <c r="K47">
        <f t="shared" si="0"/>
        <v>2720.7822954194548</v>
      </c>
      <c r="L47">
        <f>H47*tblComponents[Planned_Production_or_Procurement]</f>
        <v>3373655.3200000003</v>
      </c>
      <c r="M47">
        <f t="shared" si="1"/>
        <v>182</v>
      </c>
      <c r="N47" t="str">
        <f t="shared" si="2"/>
        <v>Low Economic Priority</v>
      </c>
      <c r="O47" t="str">
        <f>tblComponents[Criticality]</f>
        <v>High</v>
      </c>
      <c r="P47">
        <f>tblComponents[Planned_Production_or_Procurement]</f>
        <v>3829</v>
      </c>
      <c r="Q47">
        <f t="shared" si="3"/>
        <v>1239.9578333333332</v>
      </c>
      <c r="R47" t="str">
        <f t="shared" si="4"/>
        <v>High</v>
      </c>
      <c r="S47" t="str">
        <f t="shared" si="5"/>
        <v>High Priority</v>
      </c>
    </row>
    <row r="48" spans="1:28" x14ac:dyDescent="0.35">
      <c r="A48" s="12" t="str">
        <f>tblComponents[Component_ID]</f>
        <v>C047</v>
      </c>
      <c r="B48" s="12" t="str">
        <f>tblComponents[Component_Name]</f>
        <v>Component 047</v>
      </c>
      <c r="C48" t="str">
        <f>tblComponents[Sourcing_Type]</f>
        <v>Make</v>
      </c>
      <c r="D48">
        <f>tblComponents[Forecast_Demand]</f>
        <v>1261</v>
      </c>
      <c r="E48">
        <f>tblComponents[Selling_Price_Per_Unit]</f>
        <v>1362.45</v>
      </c>
      <c r="F48">
        <f>tblComponents[Variable_Cost_Per_Unit]</f>
        <v>831.92</v>
      </c>
      <c r="G48">
        <f>tblComponents[Direct_Labor_Cost_Per_Unit]</f>
        <v>8.57</v>
      </c>
      <c r="H48">
        <f>tblComponents[Contribution_Per_Unit]</f>
        <v>530.53</v>
      </c>
      <c r="I48">
        <f>tblComponents[Contribution_Margin]</f>
        <v>0.38940000000000002</v>
      </c>
      <c r="J48">
        <f>tblComponents[Actual_Cycle_Time_Min]/60</f>
        <v>7.1833333333333332E-2</v>
      </c>
      <c r="K48">
        <f t="shared" si="0"/>
        <v>7385.5684454756374</v>
      </c>
      <c r="L48">
        <f>H48*tblComponents[Planned_Production_or_Procurement]</f>
        <v>1021800.7799999999</v>
      </c>
      <c r="M48">
        <f t="shared" si="1"/>
        <v>54</v>
      </c>
      <c r="N48" t="str">
        <f t="shared" si="2"/>
        <v>High Economic Priority</v>
      </c>
      <c r="O48" t="str">
        <f>tblComponents[Criticality]</f>
        <v>Low</v>
      </c>
      <c r="P48">
        <f>tblComponents[Planned_Production_or_Procurement]</f>
        <v>1926</v>
      </c>
      <c r="Q48">
        <f t="shared" si="3"/>
        <v>138.351</v>
      </c>
      <c r="R48" t="str">
        <f t="shared" si="4"/>
        <v>Low</v>
      </c>
      <c r="S48" t="str">
        <f t="shared" si="5"/>
        <v>High Priority</v>
      </c>
    </row>
    <row r="49" spans="1:24" x14ac:dyDescent="0.35">
      <c r="A49" s="12" t="str">
        <f>tblComponents[Component_ID]</f>
        <v>C048</v>
      </c>
      <c r="B49" s="12" t="str">
        <f>tblComponents[Component_Name]</f>
        <v>Component 048</v>
      </c>
      <c r="C49" t="str">
        <f>tblComponents[Sourcing_Type]</f>
        <v>Make</v>
      </c>
      <c r="D49">
        <f>tblComponents[Forecast_Demand]</f>
        <v>333</v>
      </c>
      <c r="E49">
        <f>tblComponents[Selling_Price_Per_Unit]</f>
        <v>470.94</v>
      </c>
      <c r="F49">
        <f>tblComponents[Variable_Cost_Per_Unit]</f>
        <v>353.32</v>
      </c>
      <c r="G49">
        <f>tblComponents[Direct_Labor_Cost_Per_Unit]</f>
        <v>16.87</v>
      </c>
      <c r="H49">
        <f>tblComponents[Contribution_Per_Unit]</f>
        <v>117.62</v>
      </c>
      <c r="I49">
        <f>tblComponents[Contribution_Margin]</f>
        <v>0.24979999999999999</v>
      </c>
      <c r="J49">
        <f>tblComponents[Actual_Cycle_Time_Min]/60</f>
        <v>6.1499999999999999E-2</v>
      </c>
      <c r="K49">
        <f t="shared" si="0"/>
        <v>1912.5203252032522</v>
      </c>
      <c r="L49">
        <f>H49*tblComponents[Planned_Production_or_Procurement]</f>
        <v>131381.54</v>
      </c>
      <c r="M49">
        <f t="shared" si="1"/>
        <v>229</v>
      </c>
      <c r="N49" t="str">
        <f t="shared" si="2"/>
        <v>Low Economic Priority</v>
      </c>
      <c r="O49" t="str">
        <f>tblComponents[Criticality]</f>
        <v>High</v>
      </c>
      <c r="P49">
        <f>tblComponents[Planned_Production_or_Procurement]</f>
        <v>1117</v>
      </c>
      <c r="Q49">
        <f t="shared" si="3"/>
        <v>68.695499999999996</v>
      </c>
      <c r="R49" t="str">
        <f t="shared" si="4"/>
        <v>High</v>
      </c>
      <c r="S49" t="str">
        <f t="shared" si="5"/>
        <v>High Priority</v>
      </c>
      <c r="U49" s="7"/>
      <c r="V49" s="7"/>
      <c r="W49" s="7"/>
      <c r="X49" s="7"/>
    </row>
    <row r="50" spans="1:24" x14ac:dyDescent="0.35">
      <c r="A50" s="12" t="str">
        <f>tblComponents[Component_ID]</f>
        <v>C049</v>
      </c>
      <c r="B50" s="12" t="str">
        <f>tblComponents[Component_Name]</f>
        <v>Component 049</v>
      </c>
      <c r="C50" t="str">
        <f>tblComponents[Sourcing_Type]</f>
        <v>Make</v>
      </c>
      <c r="D50">
        <f>tblComponents[Forecast_Demand]</f>
        <v>501</v>
      </c>
      <c r="E50">
        <f>tblComponents[Selling_Price_Per_Unit]</f>
        <v>2982.6</v>
      </c>
      <c r="F50">
        <f>tblComponents[Variable_Cost_Per_Unit]</f>
        <v>1909.01</v>
      </c>
      <c r="G50">
        <f>tblComponents[Direct_Labor_Cost_Per_Unit]</f>
        <v>123.93</v>
      </c>
      <c r="H50">
        <f>tblComponents[Contribution_Per_Unit]</f>
        <v>1073.5899999999999</v>
      </c>
      <c r="I50">
        <f>tblComponents[Contribution_Margin]</f>
        <v>0.36</v>
      </c>
      <c r="J50">
        <f>tblComponents[Actual_Cycle_Time_Min]/60</f>
        <v>0.20833333333333334</v>
      </c>
      <c r="K50">
        <f t="shared" si="0"/>
        <v>5153.2319999999991</v>
      </c>
      <c r="L50">
        <f>H50*tblComponents[Planned_Production_or_Procurement]</f>
        <v>459496.51999999996</v>
      </c>
      <c r="M50">
        <f t="shared" si="1"/>
        <v>93</v>
      </c>
      <c r="N50" t="str">
        <f t="shared" si="2"/>
        <v>Medium Economic Priority</v>
      </c>
      <c r="O50" t="str">
        <f>tblComponents[Criticality]</f>
        <v>Medium</v>
      </c>
      <c r="P50">
        <f>tblComponents[Planned_Production_or_Procurement]</f>
        <v>428</v>
      </c>
      <c r="Q50">
        <f t="shared" si="3"/>
        <v>89.166666666666671</v>
      </c>
      <c r="R50" t="str">
        <f t="shared" si="4"/>
        <v>Medium</v>
      </c>
      <c r="S50" t="str">
        <f t="shared" si="5"/>
        <v>Medium Priority</v>
      </c>
    </row>
    <row r="51" spans="1:24" x14ac:dyDescent="0.35">
      <c r="A51" s="12" t="str">
        <f>tblComponents[Component_ID]</f>
        <v>C050</v>
      </c>
      <c r="B51" s="12" t="str">
        <f>tblComponents[Component_Name]</f>
        <v>Component 050</v>
      </c>
      <c r="C51" t="str">
        <f>tblComponents[Sourcing_Type]</f>
        <v>Make</v>
      </c>
      <c r="D51">
        <f>tblComponents[Forecast_Demand]</f>
        <v>1083</v>
      </c>
      <c r="E51">
        <f>tblComponents[Selling_Price_Per_Unit]</f>
        <v>1209.08</v>
      </c>
      <c r="F51">
        <f>tblComponents[Variable_Cost_Per_Unit]</f>
        <v>970.73</v>
      </c>
      <c r="G51">
        <f>tblComponents[Direct_Labor_Cost_Per_Unit]</f>
        <v>124.39</v>
      </c>
      <c r="H51">
        <f>tblComponents[Contribution_Per_Unit]</f>
        <v>238.35</v>
      </c>
      <c r="I51">
        <f>tblComponents[Contribution_Margin]</f>
        <v>0.1971</v>
      </c>
      <c r="J51">
        <f>tblComponents[Actual_Cycle_Time_Min]/60</f>
        <v>2.4500000000000001E-2</v>
      </c>
      <c r="K51">
        <f t="shared" si="0"/>
        <v>9728.5714285714275</v>
      </c>
      <c r="L51">
        <f>H51*tblComponents[Planned_Production_or_Procurement]</f>
        <v>165414.9</v>
      </c>
      <c r="M51">
        <f t="shared" si="1"/>
        <v>31</v>
      </c>
      <c r="N51" t="str">
        <f t="shared" si="2"/>
        <v>High Economic Priority</v>
      </c>
      <c r="O51" t="str">
        <f>tblComponents[Criticality]</f>
        <v>Medium</v>
      </c>
      <c r="P51">
        <f>tblComponents[Planned_Production_or_Procurement]</f>
        <v>694</v>
      </c>
      <c r="Q51">
        <f t="shared" si="3"/>
        <v>17.003</v>
      </c>
      <c r="R51" t="str">
        <f t="shared" si="4"/>
        <v>Medium</v>
      </c>
      <c r="S51" t="str">
        <f t="shared" si="5"/>
        <v>High Priority</v>
      </c>
    </row>
    <row r="52" spans="1:24" x14ac:dyDescent="0.35">
      <c r="A52" s="12" t="str">
        <f>tblComponents[Component_ID]</f>
        <v>C051</v>
      </c>
      <c r="B52" s="12" t="str">
        <f>tblComponents[Component_Name]</f>
        <v>Component 051</v>
      </c>
      <c r="C52" t="str">
        <f>tblComponents[Sourcing_Type]</f>
        <v>Make</v>
      </c>
      <c r="D52">
        <f>tblComponents[Forecast_Demand]</f>
        <v>551</v>
      </c>
      <c r="E52">
        <f>tblComponents[Selling_Price_Per_Unit]</f>
        <v>704.77</v>
      </c>
      <c r="F52">
        <f>tblComponents[Variable_Cost_Per_Unit]</f>
        <v>480.57</v>
      </c>
      <c r="G52">
        <f>tblComponents[Direct_Labor_Cost_Per_Unit]</f>
        <v>18.54</v>
      </c>
      <c r="H52">
        <f>tblComponents[Contribution_Per_Unit]</f>
        <v>224.2</v>
      </c>
      <c r="I52">
        <f>tblComponents[Contribution_Margin]</f>
        <v>0.31809999999999999</v>
      </c>
      <c r="J52">
        <f>tblComponents[Actual_Cycle_Time_Min]/60</f>
        <v>3.5333333333333335E-2</v>
      </c>
      <c r="K52">
        <f t="shared" si="0"/>
        <v>6345.2830188679236</v>
      </c>
      <c r="L52">
        <f>H52*tblComponents[Planned_Production_or_Procurement]</f>
        <v>1062932.2</v>
      </c>
      <c r="M52">
        <f t="shared" si="1"/>
        <v>70</v>
      </c>
      <c r="N52" t="str">
        <f t="shared" si="2"/>
        <v>High Economic Priority</v>
      </c>
      <c r="O52" t="str">
        <f>tblComponents[Criticality]</f>
        <v>Medium</v>
      </c>
      <c r="P52">
        <f>tblComponents[Planned_Production_or_Procurement]</f>
        <v>4741</v>
      </c>
      <c r="Q52">
        <f t="shared" si="3"/>
        <v>167.51533333333333</v>
      </c>
      <c r="R52" t="str">
        <f t="shared" si="4"/>
        <v>Medium</v>
      </c>
      <c r="S52" t="str">
        <f t="shared" si="5"/>
        <v>High Priority</v>
      </c>
    </row>
    <row r="53" spans="1:24" x14ac:dyDescent="0.35">
      <c r="A53" s="12" t="str">
        <f>tblComponents[Component_ID]</f>
        <v>C052</v>
      </c>
      <c r="B53" s="12" t="str">
        <f>tblComponents[Component_Name]</f>
        <v>Component 052</v>
      </c>
      <c r="C53" t="str">
        <f>tblComponents[Sourcing_Type]</f>
        <v>Make</v>
      </c>
      <c r="D53">
        <f>tblComponents[Forecast_Demand]</f>
        <v>1796</v>
      </c>
      <c r="E53">
        <f>tblComponents[Selling_Price_Per_Unit]</f>
        <v>1854.63</v>
      </c>
      <c r="F53">
        <f>tblComponents[Variable_Cost_Per_Unit]</f>
        <v>1123.44</v>
      </c>
      <c r="G53">
        <f>tblComponents[Direct_Labor_Cost_Per_Unit]</f>
        <v>53.44</v>
      </c>
      <c r="H53">
        <f>tblComponents[Contribution_Per_Unit]</f>
        <v>731.19</v>
      </c>
      <c r="I53">
        <f>tblComponents[Contribution_Margin]</f>
        <v>0.39429999999999998</v>
      </c>
      <c r="J53">
        <f>tblComponents[Actual_Cycle_Time_Min]/60</f>
        <v>0.11333333333333333</v>
      </c>
      <c r="K53">
        <f t="shared" si="0"/>
        <v>6451.676470588236</v>
      </c>
      <c r="L53">
        <f>H53*tblComponents[Planned_Production_or_Procurement]</f>
        <v>1807501.6800000002</v>
      </c>
      <c r="M53">
        <f t="shared" si="1"/>
        <v>66</v>
      </c>
      <c r="N53" t="str">
        <f t="shared" si="2"/>
        <v>High Economic Priority</v>
      </c>
      <c r="O53" t="str">
        <f>tblComponents[Criticality]</f>
        <v>Medium</v>
      </c>
      <c r="P53">
        <f>tblComponents[Planned_Production_or_Procurement]</f>
        <v>2472</v>
      </c>
      <c r="Q53">
        <f t="shared" si="3"/>
        <v>280.15999999999997</v>
      </c>
      <c r="R53" t="str">
        <f t="shared" si="4"/>
        <v>Medium</v>
      </c>
      <c r="S53" t="str">
        <f t="shared" si="5"/>
        <v>High Priority</v>
      </c>
    </row>
    <row r="54" spans="1:24" x14ac:dyDescent="0.35">
      <c r="A54" s="12" t="str">
        <f>tblComponents[Component_ID]</f>
        <v>C053</v>
      </c>
      <c r="B54" s="12" t="str">
        <f>tblComponents[Component_Name]</f>
        <v>Component 053</v>
      </c>
      <c r="C54" t="str">
        <f>tblComponents[Sourcing_Type]</f>
        <v>Make</v>
      </c>
      <c r="D54">
        <f>tblComponents[Forecast_Demand]</f>
        <v>1514</v>
      </c>
      <c r="E54">
        <f>tblComponents[Selling_Price_Per_Unit]</f>
        <v>795.52</v>
      </c>
      <c r="F54">
        <f>tblComponents[Variable_Cost_Per_Unit]</f>
        <v>655.93</v>
      </c>
      <c r="G54">
        <f>tblComponents[Direct_Labor_Cost_Per_Unit]</f>
        <v>39.549999999999997</v>
      </c>
      <c r="H54">
        <f>tblComponents[Contribution_Per_Unit]</f>
        <v>139.59</v>
      </c>
      <c r="I54">
        <f>tblComponents[Contribution_Margin]</f>
        <v>0.17549999999999999</v>
      </c>
      <c r="J54">
        <f>tblComponents[Actual_Cycle_Time_Min]/60</f>
        <v>0.17200000000000001</v>
      </c>
      <c r="K54">
        <f t="shared" si="0"/>
        <v>811.56976744186045</v>
      </c>
      <c r="L54">
        <f>H54*tblComponents[Planned_Production_or_Procurement]</f>
        <v>292161.87</v>
      </c>
      <c r="M54">
        <f t="shared" si="1"/>
        <v>292</v>
      </c>
      <c r="N54" t="str">
        <f t="shared" si="2"/>
        <v>Low Economic Priority</v>
      </c>
      <c r="O54" t="str">
        <f>tblComponents[Criticality]</f>
        <v>Critical</v>
      </c>
      <c r="P54">
        <f>tblComponents[Planned_Production_or_Procurement]</f>
        <v>2093</v>
      </c>
      <c r="Q54">
        <f t="shared" si="3"/>
        <v>359.99600000000004</v>
      </c>
      <c r="R54" t="str">
        <f t="shared" si="4"/>
        <v>Critical</v>
      </c>
      <c r="S54" t="str">
        <f t="shared" si="5"/>
        <v>Critical Priority</v>
      </c>
    </row>
    <row r="55" spans="1:24" x14ac:dyDescent="0.35">
      <c r="A55" s="12" t="str">
        <f>tblComponents[Component_ID]</f>
        <v>C054</v>
      </c>
      <c r="B55" s="12" t="str">
        <f>tblComponents[Component_Name]</f>
        <v>Component 054</v>
      </c>
      <c r="C55" t="str">
        <f>tblComponents[Sourcing_Type]</f>
        <v>Make</v>
      </c>
      <c r="D55">
        <f>tblComponents[Forecast_Demand]</f>
        <v>352</v>
      </c>
      <c r="E55">
        <f>tblComponents[Selling_Price_Per_Unit]</f>
        <v>735.01</v>
      </c>
      <c r="F55">
        <f>tblComponents[Variable_Cost_Per_Unit]</f>
        <v>623.23</v>
      </c>
      <c r="G55">
        <f>tblComponents[Direct_Labor_Cost_Per_Unit]</f>
        <v>12.53</v>
      </c>
      <c r="H55">
        <f>tblComponents[Contribution_Per_Unit]</f>
        <v>111.78</v>
      </c>
      <c r="I55">
        <f>tblComponents[Contribution_Margin]</f>
        <v>0.15210000000000001</v>
      </c>
      <c r="J55">
        <f>tblComponents[Actual_Cycle_Time_Min]/60</f>
        <v>0.19649999999999998</v>
      </c>
      <c r="K55">
        <f t="shared" si="0"/>
        <v>568.85496183206112</v>
      </c>
      <c r="L55">
        <f>H55*tblComponents[Planned_Production_or_Procurement]</f>
        <v>396371.88</v>
      </c>
      <c r="M55">
        <f t="shared" si="1"/>
        <v>300</v>
      </c>
      <c r="N55" t="str">
        <f t="shared" si="2"/>
        <v>Low Economic Priority</v>
      </c>
      <c r="O55" t="str">
        <f>tblComponents[Criticality]</f>
        <v>Low</v>
      </c>
      <c r="P55">
        <f>tblComponents[Planned_Production_or_Procurement]</f>
        <v>3546</v>
      </c>
      <c r="Q55">
        <f t="shared" si="3"/>
        <v>696.78899999999987</v>
      </c>
      <c r="R55" t="str">
        <f t="shared" si="4"/>
        <v>Low</v>
      </c>
      <c r="S55" t="str">
        <f t="shared" si="5"/>
        <v>Low Priority</v>
      </c>
    </row>
    <row r="56" spans="1:24" x14ac:dyDescent="0.35">
      <c r="A56" s="12" t="str">
        <f>tblComponents[Component_ID]</f>
        <v>C055</v>
      </c>
      <c r="B56" s="12" t="str">
        <f>tblComponents[Component_Name]</f>
        <v>Component 055</v>
      </c>
      <c r="C56" t="str">
        <f>tblComponents[Sourcing_Type]</f>
        <v>Make</v>
      </c>
      <c r="D56">
        <f>tblComponents[Forecast_Demand]</f>
        <v>185</v>
      </c>
      <c r="E56">
        <f>tblComponents[Selling_Price_Per_Unit]</f>
        <v>449.2</v>
      </c>
      <c r="F56">
        <f>tblComponents[Variable_Cost_Per_Unit]</f>
        <v>333.13</v>
      </c>
      <c r="G56">
        <f>tblComponents[Direct_Labor_Cost_Per_Unit]</f>
        <v>91.27</v>
      </c>
      <c r="H56">
        <f>tblComponents[Contribution_Per_Unit]</f>
        <v>116.07</v>
      </c>
      <c r="I56">
        <f>tblComponents[Contribution_Margin]</f>
        <v>0.25840000000000002</v>
      </c>
      <c r="J56">
        <f>tblComponents[Actual_Cycle_Time_Min]/60</f>
        <v>2.8166666666666666E-2</v>
      </c>
      <c r="K56">
        <f t="shared" si="0"/>
        <v>4120.8284023668639</v>
      </c>
      <c r="L56">
        <f>H56*tblComponents[Planned_Production_or_Procurement]</f>
        <v>1602114.21</v>
      </c>
      <c r="M56">
        <f t="shared" si="1"/>
        <v>130</v>
      </c>
      <c r="N56" t="str">
        <f t="shared" si="2"/>
        <v>Medium Economic Priority</v>
      </c>
      <c r="O56" t="str">
        <f>tblComponents[Criticality]</f>
        <v>Low</v>
      </c>
      <c r="P56">
        <f>tblComponents[Planned_Production_or_Procurement]</f>
        <v>13803</v>
      </c>
      <c r="Q56">
        <f t="shared" si="3"/>
        <v>388.78449999999998</v>
      </c>
      <c r="R56" t="str">
        <f t="shared" si="4"/>
        <v>Low</v>
      </c>
      <c r="S56" t="str">
        <f t="shared" si="5"/>
        <v>Medium Priority</v>
      </c>
    </row>
    <row r="57" spans="1:24" x14ac:dyDescent="0.35">
      <c r="A57" s="12" t="str">
        <f>tblComponents[Component_ID]</f>
        <v>C056</v>
      </c>
      <c r="B57" s="12" t="str">
        <f>tblComponents[Component_Name]</f>
        <v>Component 056</v>
      </c>
      <c r="C57" t="str">
        <f>tblComponents[Sourcing_Type]</f>
        <v>Make</v>
      </c>
      <c r="D57">
        <f>tblComponents[Forecast_Demand]</f>
        <v>530</v>
      </c>
      <c r="E57">
        <f>tblComponents[Selling_Price_Per_Unit]</f>
        <v>426.11</v>
      </c>
      <c r="F57">
        <f>tblComponents[Variable_Cost_Per_Unit]</f>
        <v>352.33</v>
      </c>
      <c r="G57">
        <f>tblComponents[Direct_Labor_Cost_Per_Unit]</f>
        <v>9.14</v>
      </c>
      <c r="H57">
        <f>tblComponents[Contribution_Per_Unit]</f>
        <v>73.78</v>
      </c>
      <c r="I57">
        <f>tblComponents[Contribution_Margin]</f>
        <v>0.1731</v>
      </c>
      <c r="J57">
        <f>tblComponents[Actual_Cycle_Time_Min]/60</f>
        <v>3.9666666666666663E-2</v>
      </c>
      <c r="K57">
        <f t="shared" si="0"/>
        <v>1860.0000000000002</v>
      </c>
      <c r="L57">
        <f>H57*tblComponents[Planned_Production_or_Procurement]</f>
        <v>428956.92</v>
      </c>
      <c r="M57">
        <f t="shared" si="1"/>
        <v>234</v>
      </c>
      <c r="N57" t="str">
        <f t="shared" si="2"/>
        <v>Low Economic Priority</v>
      </c>
      <c r="O57" t="str">
        <f>tblComponents[Criticality]</f>
        <v>High</v>
      </c>
      <c r="P57">
        <f>tblComponents[Planned_Production_or_Procurement]</f>
        <v>5814</v>
      </c>
      <c r="Q57">
        <f t="shared" si="3"/>
        <v>230.62199999999999</v>
      </c>
      <c r="R57" t="str">
        <f t="shared" si="4"/>
        <v>High</v>
      </c>
      <c r="S57" t="str">
        <f t="shared" si="5"/>
        <v>High Priority</v>
      </c>
    </row>
    <row r="58" spans="1:24" x14ac:dyDescent="0.35">
      <c r="A58" s="12" t="str">
        <f>tblComponents[Component_ID]</f>
        <v>C057</v>
      </c>
      <c r="B58" s="12" t="str">
        <f>tblComponents[Component_Name]</f>
        <v>Component 057</v>
      </c>
      <c r="C58" t="str">
        <f>tblComponents[Sourcing_Type]</f>
        <v>Make</v>
      </c>
      <c r="D58">
        <f>tblComponents[Forecast_Demand]</f>
        <v>412</v>
      </c>
      <c r="E58">
        <f>tblComponents[Selling_Price_Per_Unit]</f>
        <v>830.57</v>
      </c>
      <c r="F58">
        <f>tblComponents[Variable_Cost_Per_Unit]</f>
        <v>550.59</v>
      </c>
      <c r="G58">
        <f>tblComponents[Direct_Labor_Cost_Per_Unit]</f>
        <v>54.96</v>
      </c>
      <c r="H58">
        <f>tblComponents[Contribution_Per_Unit]</f>
        <v>279.98</v>
      </c>
      <c r="I58">
        <f>tblComponents[Contribution_Margin]</f>
        <v>0.33710000000000001</v>
      </c>
      <c r="J58">
        <f>tblComponents[Actual_Cycle_Time_Min]/60</f>
        <v>2.0166666666666666E-2</v>
      </c>
      <c r="K58">
        <f t="shared" si="0"/>
        <v>13883.305785123968</v>
      </c>
      <c r="L58">
        <f>H58*tblComponents[Planned_Production_or_Procurement]</f>
        <v>2887713.72</v>
      </c>
      <c r="M58">
        <f t="shared" si="1"/>
        <v>13</v>
      </c>
      <c r="N58" t="str">
        <f t="shared" si="2"/>
        <v>High Economic Priority</v>
      </c>
      <c r="O58" t="str">
        <f>tblComponents[Criticality]</f>
        <v>Medium</v>
      </c>
      <c r="P58">
        <f>tblComponents[Planned_Production_or_Procurement]</f>
        <v>10314</v>
      </c>
      <c r="Q58">
        <f t="shared" si="3"/>
        <v>207.999</v>
      </c>
      <c r="R58" t="str">
        <f t="shared" si="4"/>
        <v>Medium</v>
      </c>
      <c r="S58" t="str">
        <f t="shared" si="5"/>
        <v>High Priority</v>
      </c>
    </row>
    <row r="59" spans="1:24" x14ac:dyDescent="0.35">
      <c r="A59" s="12" t="str">
        <f>tblComponents[Component_ID]</f>
        <v>C058</v>
      </c>
      <c r="B59" s="12" t="str">
        <f>tblComponents[Component_Name]</f>
        <v>Component 058</v>
      </c>
      <c r="C59" t="str">
        <f>tblComponents[Sourcing_Type]</f>
        <v>Make</v>
      </c>
      <c r="D59">
        <f>tblComponents[Forecast_Demand]</f>
        <v>1424</v>
      </c>
      <c r="E59">
        <f>tblComponents[Selling_Price_Per_Unit]</f>
        <v>611.48</v>
      </c>
      <c r="F59">
        <f>tblComponents[Variable_Cost_Per_Unit]</f>
        <v>379.95</v>
      </c>
      <c r="G59">
        <f>tblComponents[Direct_Labor_Cost_Per_Unit]</f>
        <v>5.91</v>
      </c>
      <c r="H59">
        <f>tblComponents[Contribution_Per_Unit]</f>
        <v>231.53</v>
      </c>
      <c r="I59">
        <f>tblComponents[Contribution_Margin]</f>
        <v>0.37859999999999999</v>
      </c>
      <c r="J59">
        <f>tblComponents[Actual_Cycle_Time_Min]/60</f>
        <v>0.11</v>
      </c>
      <c r="K59">
        <f t="shared" si="0"/>
        <v>2104.818181818182</v>
      </c>
      <c r="L59">
        <f>H59*tblComponents[Planned_Production_or_Procurement]</f>
        <v>649210.12</v>
      </c>
      <c r="M59">
        <f t="shared" si="1"/>
        <v>217</v>
      </c>
      <c r="N59" t="str">
        <f t="shared" si="2"/>
        <v>Low Economic Priority</v>
      </c>
      <c r="O59" t="str">
        <f>tblComponents[Criticality]</f>
        <v>Low</v>
      </c>
      <c r="P59">
        <f>tblComponents[Planned_Production_or_Procurement]</f>
        <v>2804</v>
      </c>
      <c r="Q59">
        <f t="shared" si="3"/>
        <v>308.44</v>
      </c>
      <c r="R59" t="str">
        <f t="shared" si="4"/>
        <v>Low</v>
      </c>
      <c r="S59" t="str">
        <f t="shared" si="5"/>
        <v>Low Priority</v>
      </c>
    </row>
    <row r="60" spans="1:24" x14ac:dyDescent="0.35">
      <c r="A60" s="12" t="str">
        <f>tblComponents[Component_ID]</f>
        <v>C059</v>
      </c>
      <c r="B60" s="12" t="str">
        <f>tblComponents[Component_Name]</f>
        <v>Component 059</v>
      </c>
      <c r="C60" t="str">
        <f>tblComponents[Sourcing_Type]</f>
        <v>Make</v>
      </c>
      <c r="D60">
        <f>tblComponents[Forecast_Demand]</f>
        <v>1147</v>
      </c>
      <c r="E60">
        <f>tblComponents[Selling_Price_Per_Unit]</f>
        <v>627.91</v>
      </c>
      <c r="F60">
        <f>tblComponents[Variable_Cost_Per_Unit]</f>
        <v>465.59</v>
      </c>
      <c r="G60">
        <f>tblComponents[Direct_Labor_Cost_Per_Unit]</f>
        <v>20.11</v>
      </c>
      <c r="H60">
        <f>tblComponents[Contribution_Per_Unit]</f>
        <v>162.32</v>
      </c>
      <c r="I60">
        <f>tblComponents[Contribution_Margin]</f>
        <v>0.25850000000000001</v>
      </c>
      <c r="J60">
        <f>tblComponents[Actual_Cycle_Time_Min]/60</f>
        <v>0.1615</v>
      </c>
      <c r="K60">
        <f t="shared" si="0"/>
        <v>1005.0773993808049</v>
      </c>
      <c r="L60">
        <f>H60*tblComponents[Planned_Production_or_Procurement]</f>
        <v>242343.75999999998</v>
      </c>
      <c r="M60">
        <f t="shared" si="1"/>
        <v>286</v>
      </c>
      <c r="N60" t="str">
        <f t="shared" si="2"/>
        <v>Low Economic Priority</v>
      </c>
      <c r="O60" t="str">
        <f>tblComponents[Criticality]</f>
        <v>Medium</v>
      </c>
      <c r="P60">
        <f>tblComponents[Planned_Production_or_Procurement]</f>
        <v>1493</v>
      </c>
      <c r="Q60">
        <f t="shared" si="3"/>
        <v>241.11950000000002</v>
      </c>
      <c r="R60" t="str">
        <f t="shared" si="4"/>
        <v>Medium</v>
      </c>
      <c r="S60" t="str">
        <f t="shared" si="5"/>
        <v>Medium Priority</v>
      </c>
    </row>
    <row r="61" spans="1:24" x14ac:dyDescent="0.35">
      <c r="A61" s="12" t="str">
        <f>tblComponents[Component_ID]</f>
        <v>C060</v>
      </c>
      <c r="B61" s="12" t="str">
        <f>tblComponents[Component_Name]</f>
        <v>Component 060</v>
      </c>
      <c r="C61" t="str">
        <f>tblComponents[Sourcing_Type]</f>
        <v>Make</v>
      </c>
      <c r="D61">
        <f>tblComponents[Forecast_Demand]</f>
        <v>1712</v>
      </c>
      <c r="E61">
        <f>tblComponents[Selling_Price_Per_Unit]</f>
        <v>3068.44</v>
      </c>
      <c r="F61">
        <f>tblComponents[Variable_Cost_Per_Unit]</f>
        <v>2409.71</v>
      </c>
      <c r="G61">
        <f>tblComponents[Direct_Labor_Cost_Per_Unit]</f>
        <v>51.48</v>
      </c>
      <c r="H61">
        <f>tblComponents[Contribution_Per_Unit]</f>
        <v>658.73</v>
      </c>
      <c r="I61">
        <f>tblComponents[Contribution_Margin]</f>
        <v>0.2147</v>
      </c>
      <c r="J61">
        <f>tblComponents[Actual_Cycle_Time_Min]/60</f>
        <v>0.29100000000000004</v>
      </c>
      <c r="K61">
        <f t="shared" si="0"/>
        <v>2263.6769759450171</v>
      </c>
      <c r="L61">
        <f>H61*tblComponents[Planned_Production_or_Procurement]</f>
        <v>1296380.6400000001</v>
      </c>
      <c r="M61">
        <f t="shared" si="1"/>
        <v>208</v>
      </c>
      <c r="N61" t="str">
        <f t="shared" si="2"/>
        <v>Low Economic Priority</v>
      </c>
      <c r="O61" t="str">
        <f>tblComponents[Criticality]</f>
        <v>High</v>
      </c>
      <c r="P61">
        <f>tblComponents[Planned_Production_or_Procurement]</f>
        <v>1968</v>
      </c>
      <c r="Q61">
        <f t="shared" si="3"/>
        <v>572.6880000000001</v>
      </c>
      <c r="R61" t="str">
        <f t="shared" si="4"/>
        <v>High</v>
      </c>
      <c r="S61" t="str">
        <f t="shared" si="5"/>
        <v>High Priority</v>
      </c>
    </row>
    <row r="62" spans="1:24" x14ac:dyDescent="0.35">
      <c r="A62" s="12" t="str">
        <f>tblComponents[Component_ID]</f>
        <v>C061</v>
      </c>
      <c r="B62" s="12" t="str">
        <f>tblComponents[Component_Name]</f>
        <v>Component 061</v>
      </c>
      <c r="C62" t="str">
        <f>tblComponents[Sourcing_Type]</f>
        <v>Make</v>
      </c>
      <c r="D62">
        <f>tblComponents[Forecast_Demand]</f>
        <v>2866</v>
      </c>
      <c r="E62">
        <f>tblComponents[Selling_Price_Per_Unit]</f>
        <v>1136.55</v>
      </c>
      <c r="F62">
        <f>tblComponents[Variable_Cost_Per_Unit]</f>
        <v>842.64</v>
      </c>
      <c r="G62">
        <f>tblComponents[Direct_Labor_Cost_Per_Unit]</f>
        <v>56.9</v>
      </c>
      <c r="H62">
        <f>tblComponents[Contribution_Per_Unit]</f>
        <v>293.91000000000003</v>
      </c>
      <c r="I62">
        <f>tblComponents[Contribution_Margin]</f>
        <v>0.2586</v>
      </c>
      <c r="J62">
        <f>tblComponents[Actual_Cycle_Time_Min]/60</f>
        <v>0.24583333333333332</v>
      </c>
      <c r="K62">
        <f t="shared" si="0"/>
        <v>1195.5661016949155</v>
      </c>
      <c r="L62">
        <f>H62*tblComponents[Planned_Production_or_Procurement]</f>
        <v>242769.66000000003</v>
      </c>
      <c r="M62">
        <f t="shared" si="1"/>
        <v>279</v>
      </c>
      <c r="N62" t="str">
        <f t="shared" si="2"/>
        <v>Low Economic Priority</v>
      </c>
      <c r="O62" t="str">
        <f>tblComponents[Criticality]</f>
        <v>Medium</v>
      </c>
      <c r="P62">
        <f>tblComponents[Planned_Production_or_Procurement]</f>
        <v>826</v>
      </c>
      <c r="Q62">
        <f t="shared" si="3"/>
        <v>203.05833333333331</v>
      </c>
      <c r="R62" t="str">
        <f t="shared" si="4"/>
        <v>Medium</v>
      </c>
      <c r="S62" t="str">
        <f t="shared" si="5"/>
        <v>Medium Priority</v>
      </c>
    </row>
    <row r="63" spans="1:24" x14ac:dyDescent="0.35">
      <c r="A63" s="12" t="str">
        <f>tblComponents[Component_ID]</f>
        <v>C062</v>
      </c>
      <c r="B63" s="12" t="str">
        <f>tblComponents[Component_Name]</f>
        <v>Component 062</v>
      </c>
      <c r="C63" t="str">
        <f>tblComponents[Sourcing_Type]</f>
        <v>Make</v>
      </c>
      <c r="D63">
        <f>tblComponents[Forecast_Demand]</f>
        <v>1535</v>
      </c>
      <c r="E63">
        <f>tblComponents[Selling_Price_Per_Unit]</f>
        <v>974.12</v>
      </c>
      <c r="F63">
        <f>tblComponents[Variable_Cost_Per_Unit]</f>
        <v>651.82000000000005</v>
      </c>
      <c r="G63">
        <f>tblComponents[Direct_Labor_Cost_Per_Unit]</f>
        <v>31.79</v>
      </c>
      <c r="H63">
        <f>tblComponents[Contribution_Per_Unit]</f>
        <v>322.3</v>
      </c>
      <c r="I63">
        <f>tblComponents[Contribution_Margin]</f>
        <v>0.33090000000000003</v>
      </c>
      <c r="J63">
        <f>tblComponents[Actual_Cycle_Time_Min]/60</f>
        <v>0.13533333333333333</v>
      </c>
      <c r="K63">
        <f t="shared" si="0"/>
        <v>2381.5270935960593</v>
      </c>
      <c r="L63">
        <f>H63*tblComponents[Planned_Production_or_Procurement]</f>
        <v>744835.3</v>
      </c>
      <c r="M63">
        <f t="shared" si="1"/>
        <v>200</v>
      </c>
      <c r="N63" t="str">
        <f t="shared" si="2"/>
        <v>Low Economic Priority</v>
      </c>
      <c r="O63" t="str">
        <f>tblComponents[Criticality]</f>
        <v>High</v>
      </c>
      <c r="P63">
        <f>tblComponents[Planned_Production_or_Procurement]</f>
        <v>2311</v>
      </c>
      <c r="Q63">
        <f t="shared" si="3"/>
        <v>312.75533333333334</v>
      </c>
      <c r="R63" t="str">
        <f t="shared" si="4"/>
        <v>High</v>
      </c>
      <c r="S63" t="str">
        <f t="shared" si="5"/>
        <v>High Priority</v>
      </c>
    </row>
    <row r="64" spans="1:24" x14ac:dyDescent="0.35">
      <c r="A64" s="12" t="str">
        <f>tblComponents[Component_ID]</f>
        <v>C063</v>
      </c>
      <c r="B64" s="12" t="str">
        <f>tblComponents[Component_Name]</f>
        <v>Component 063</v>
      </c>
      <c r="C64" t="str">
        <f>tblComponents[Sourcing_Type]</f>
        <v>Make</v>
      </c>
      <c r="D64">
        <f>tblComponents[Forecast_Demand]</f>
        <v>416</v>
      </c>
      <c r="E64">
        <f>tblComponents[Selling_Price_Per_Unit]</f>
        <v>865.08</v>
      </c>
      <c r="F64">
        <f>tblComponents[Variable_Cost_Per_Unit]</f>
        <v>733.36</v>
      </c>
      <c r="G64">
        <f>tblComponents[Direct_Labor_Cost_Per_Unit]</f>
        <v>29.31</v>
      </c>
      <c r="H64">
        <f>tblComponents[Contribution_Per_Unit]</f>
        <v>131.72</v>
      </c>
      <c r="I64">
        <f>tblComponents[Contribution_Margin]</f>
        <v>0.15229999999999999</v>
      </c>
      <c r="J64">
        <f>tblComponents[Actual_Cycle_Time_Min]/60</f>
        <v>7.3499999999999996E-2</v>
      </c>
      <c r="K64">
        <f t="shared" si="0"/>
        <v>1792.1088435374149</v>
      </c>
      <c r="L64">
        <f>H64*tblComponents[Planned_Production_or_Procurement]</f>
        <v>392130.44</v>
      </c>
      <c r="M64">
        <f t="shared" si="1"/>
        <v>238</v>
      </c>
      <c r="N64" t="str">
        <f t="shared" si="2"/>
        <v>Low Economic Priority</v>
      </c>
      <c r="O64" t="str">
        <f>tblComponents[Criticality]</f>
        <v>Medium</v>
      </c>
      <c r="P64">
        <f>tblComponents[Planned_Production_or_Procurement]</f>
        <v>2977</v>
      </c>
      <c r="Q64">
        <f t="shared" si="3"/>
        <v>218.80949999999999</v>
      </c>
      <c r="R64" t="str">
        <f t="shared" si="4"/>
        <v>Medium</v>
      </c>
      <c r="S64" t="str">
        <f t="shared" si="5"/>
        <v>Medium Priority</v>
      </c>
    </row>
    <row r="65" spans="1:19" x14ac:dyDescent="0.35">
      <c r="A65" s="12" t="str">
        <f>tblComponents[Component_ID]</f>
        <v>C064</v>
      </c>
      <c r="B65" s="12" t="str">
        <f>tblComponents[Component_Name]</f>
        <v>Component 064</v>
      </c>
      <c r="C65" t="str">
        <f>tblComponents[Sourcing_Type]</f>
        <v>Make</v>
      </c>
      <c r="D65">
        <f>tblComponents[Forecast_Demand]</f>
        <v>1421</v>
      </c>
      <c r="E65">
        <f>tblComponents[Selling_Price_Per_Unit]</f>
        <v>1717.56</v>
      </c>
      <c r="F65">
        <f>tblComponents[Variable_Cost_Per_Unit]</f>
        <v>1206.82</v>
      </c>
      <c r="G65">
        <f>tblComponents[Direct_Labor_Cost_Per_Unit]</f>
        <v>139.11000000000001</v>
      </c>
      <c r="H65">
        <f>tblComponents[Contribution_Per_Unit]</f>
        <v>510.74</v>
      </c>
      <c r="I65">
        <f>tblComponents[Contribution_Margin]</f>
        <v>0.2974</v>
      </c>
      <c r="J65">
        <f>tblComponents[Actual_Cycle_Time_Min]/60</f>
        <v>4.5499999999999999E-2</v>
      </c>
      <c r="K65">
        <f t="shared" si="0"/>
        <v>11225.054945054946</v>
      </c>
      <c r="L65">
        <f>H65*tblComponents[Planned_Production_or_Procurement]</f>
        <v>2510797.84</v>
      </c>
      <c r="M65">
        <f t="shared" si="1"/>
        <v>22</v>
      </c>
      <c r="N65" t="str">
        <f t="shared" si="2"/>
        <v>High Economic Priority</v>
      </c>
      <c r="O65" t="str">
        <f>tblComponents[Criticality]</f>
        <v>High</v>
      </c>
      <c r="P65">
        <f>tblComponents[Planned_Production_or_Procurement]</f>
        <v>4916</v>
      </c>
      <c r="Q65">
        <f t="shared" si="3"/>
        <v>223.678</v>
      </c>
      <c r="R65" t="str">
        <f t="shared" si="4"/>
        <v>High</v>
      </c>
      <c r="S65" t="str">
        <f t="shared" si="5"/>
        <v>High Priority</v>
      </c>
    </row>
    <row r="66" spans="1:19" x14ac:dyDescent="0.35">
      <c r="A66" s="12" t="str">
        <f>tblComponents[Component_ID]</f>
        <v>C065</v>
      </c>
      <c r="B66" s="12" t="str">
        <f>tblComponents[Component_Name]</f>
        <v>Component 065</v>
      </c>
      <c r="C66" t="str">
        <f>tblComponents[Sourcing_Type]</f>
        <v>Make</v>
      </c>
      <c r="D66">
        <f>tblComponents[Forecast_Demand]</f>
        <v>442</v>
      </c>
      <c r="E66">
        <f>tblComponents[Selling_Price_Per_Unit]</f>
        <v>1198.68</v>
      </c>
      <c r="F66">
        <f>tblComponents[Variable_Cost_Per_Unit]</f>
        <v>835.09</v>
      </c>
      <c r="G66">
        <f>tblComponents[Direct_Labor_Cost_Per_Unit]</f>
        <v>9.42</v>
      </c>
      <c r="H66">
        <f>tblComponents[Contribution_Per_Unit]</f>
        <v>363.59</v>
      </c>
      <c r="I66">
        <f>tblComponents[Contribution_Margin]</f>
        <v>0.30330000000000001</v>
      </c>
      <c r="J66">
        <f>tblComponents[Actual_Cycle_Time_Min]/60</f>
        <v>7.0999999999999994E-2</v>
      </c>
      <c r="K66">
        <f t="shared" si="0"/>
        <v>5120.9859154929582</v>
      </c>
      <c r="L66">
        <f>H66*tblComponents[Planned_Production_or_Procurement]</f>
        <v>1048957.1499999999</v>
      </c>
      <c r="M66">
        <f t="shared" si="1"/>
        <v>95</v>
      </c>
      <c r="N66" t="str">
        <f t="shared" si="2"/>
        <v>Medium Economic Priority</v>
      </c>
      <c r="O66" t="str">
        <f>tblComponents[Criticality]</f>
        <v>Low</v>
      </c>
      <c r="P66">
        <f>tblComponents[Planned_Production_or_Procurement]</f>
        <v>2885</v>
      </c>
      <c r="Q66">
        <f t="shared" si="3"/>
        <v>204.83499999999998</v>
      </c>
      <c r="R66" t="str">
        <f t="shared" si="4"/>
        <v>Low</v>
      </c>
      <c r="S66" t="str">
        <f t="shared" si="5"/>
        <v>Medium Priority</v>
      </c>
    </row>
    <row r="67" spans="1:19" x14ac:dyDescent="0.35">
      <c r="A67" s="12" t="str">
        <f>tblComponents[Component_ID]</f>
        <v>C066</v>
      </c>
      <c r="B67" s="12" t="str">
        <f>tblComponents[Component_Name]</f>
        <v>Component 066</v>
      </c>
      <c r="C67" t="str">
        <f>tblComponents[Sourcing_Type]</f>
        <v>Make</v>
      </c>
      <c r="D67">
        <f>tblComponents[Forecast_Demand]</f>
        <v>369</v>
      </c>
      <c r="E67">
        <f>tblComponents[Selling_Price_Per_Unit]</f>
        <v>2693.03</v>
      </c>
      <c r="F67">
        <f>tblComponents[Variable_Cost_Per_Unit]</f>
        <v>1859.75</v>
      </c>
      <c r="G67">
        <f>tblComponents[Direct_Labor_Cost_Per_Unit]</f>
        <v>36.94</v>
      </c>
      <c r="H67">
        <f>tblComponents[Contribution_Per_Unit]</f>
        <v>833.28</v>
      </c>
      <c r="I67">
        <f>tblComponents[Contribution_Margin]</f>
        <v>0.30940000000000001</v>
      </c>
      <c r="J67">
        <f>tblComponents[Actual_Cycle_Time_Min]/60</f>
        <v>0.17566666666666667</v>
      </c>
      <c r="K67">
        <f t="shared" ref="K67:K130" si="9">IFERROR(H67/J67,0)</f>
        <v>4743.5294117647054</v>
      </c>
      <c r="L67">
        <f>H67*tblComponents[Planned_Production_or_Procurement]</f>
        <v>1969040.64</v>
      </c>
      <c r="M67">
        <f t="shared" ref="M67:M130" si="10">IF(C67="Make",1+COUNTIFS($C$2:$C$501,"Make",$K$2:$K$501,"&gt;"&amp;K67),"")</f>
        <v>109</v>
      </c>
      <c r="N67" t="str">
        <f t="shared" ref="N67:N130" si="11">IF(C67="Buy","Not Applicable",IF(M67&lt;=75,"High Economic Priority",IF(M67&lt;=150,"Medium Economic Priority","Low Economic Priority")))</f>
        <v>Medium Economic Priority</v>
      </c>
      <c r="O67" t="str">
        <f>tblComponents[Criticality]</f>
        <v>Medium</v>
      </c>
      <c r="P67">
        <f>tblComponents[Planned_Production_or_Procurement]</f>
        <v>2363</v>
      </c>
      <c r="Q67">
        <f t="shared" ref="Q67:Q130" si="12">J67*P67</f>
        <v>415.10033333333331</v>
      </c>
      <c r="R67" t="str">
        <f t="shared" ref="R67:R130" si="13">IF(O67="Critical","Critical",IF(O67="High","High",IF(O67="Medium","Medium","Low")))</f>
        <v>Medium</v>
      </c>
      <c r="S67" t="str">
        <f t="shared" ref="S67:S130" si="14">IF(C67="Buy","Not Applicable",
IF(O67="Critical","Critical Priority",
IF(AND(N67="High Economic Priority",O67="High"),"High Priority",
IF(AND(N67="High Economic Priority",O67="Medium"),"High Priority",
IF(AND(N67="High Economic Priority",O67="Low"),"High Priority",
IF(AND(N67="Medium Economic Priority",O67="High"),"High Priority",
IF(AND(N67="Medium Economic Priority",O67="Medium"),"Medium Priority",
IF(AND(N67="Medium Economic Priority",O67="Low"),"Medium Priority",
IF(AND(N67="Low Economic Priority",O67="High"),"High Priority",
IF(AND(N67="Low Economic Priority",O67="Medium"),"Medium Priority","Low Priority"))))))))))</f>
        <v>Medium Priority</v>
      </c>
    </row>
    <row r="68" spans="1:19" x14ac:dyDescent="0.35">
      <c r="A68" s="12" t="str">
        <f>tblComponents[Component_ID]</f>
        <v>C067</v>
      </c>
      <c r="B68" s="12" t="str">
        <f>tblComponents[Component_Name]</f>
        <v>Component 067</v>
      </c>
      <c r="C68" t="str">
        <f>tblComponents[Sourcing_Type]</f>
        <v>Make</v>
      </c>
      <c r="D68">
        <f>tblComponents[Forecast_Demand]</f>
        <v>1564</v>
      </c>
      <c r="E68">
        <f>tblComponents[Selling_Price_Per_Unit]</f>
        <v>1105.33</v>
      </c>
      <c r="F68">
        <f>tblComponents[Variable_Cost_Per_Unit]</f>
        <v>872.65</v>
      </c>
      <c r="G68">
        <f>tblComponents[Direct_Labor_Cost_Per_Unit]</f>
        <v>32.82</v>
      </c>
      <c r="H68">
        <f>tblComponents[Contribution_Per_Unit]</f>
        <v>232.68</v>
      </c>
      <c r="I68">
        <f>tblComponents[Contribution_Margin]</f>
        <v>0.21049999999999999</v>
      </c>
      <c r="J68">
        <f>tblComponents[Actual_Cycle_Time_Min]/60</f>
        <v>6.6500000000000004E-2</v>
      </c>
      <c r="K68">
        <f t="shared" si="9"/>
        <v>3498.9473684210525</v>
      </c>
      <c r="L68">
        <f>H68*tblComponents[Planned_Production_or_Procurement]</f>
        <v>3565588.3200000003</v>
      </c>
      <c r="M68">
        <f t="shared" si="10"/>
        <v>151</v>
      </c>
      <c r="N68" t="str">
        <f t="shared" si="11"/>
        <v>Low Economic Priority</v>
      </c>
      <c r="O68" t="str">
        <f>tblComponents[Criticality]</f>
        <v>Low</v>
      </c>
      <c r="P68">
        <f>tblComponents[Planned_Production_or_Procurement]</f>
        <v>15324</v>
      </c>
      <c r="Q68">
        <f t="shared" si="12"/>
        <v>1019.046</v>
      </c>
      <c r="R68" t="str">
        <f t="shared" si="13"/>
        <v>Low</v>
      </c>
      <c r="S68" t="str">
        <f t="shared" si="14"/>
        <v>Low Priority</v>
      </c>
    </row>
    <row r="69" spans="1:19" x14ac:dyDescent="0.35">
      <c r="A69" s="12" t="str">
        <f>tblComponents[Component_ID]</f>
        <v>C068</v>
      </c>
      <c r="B69" s="12" t="str">
        <f>tblComponents[Component_Name]</f>
        <v>Component 068</v>
      </c>
      <c r="C69" t="str">
        <f>tblComponents[Sourcing_Type]</f>
        <v>Make</v>
      </c>
      <c r="D69">
        <f>tblComponents[Forecast_Demand]</f>
        <v>1895</v>
      </c>
      <c r="E69">
        <f>tblComponents[Selling_Price_Per_Unit]</f>
        <v>1094.02</v>
      </c>
      <c r="F69">
        <f>tblComponents[Variable_Cost_Per_Unit]</f>
        <v>734.62</v>
      </c>
      <c r="G69">
        <f>tblComponents[Direct_Labor_Cost_Per_Unit]</f>
        <v>27.97</v>
      </c>
      <c r="H69">
        <f>tblComponents[Contribution_Per_Unit]</f>
        <v>359.4</v>
      </c>
      <c r="I69">
        <f>tblComponents[Contribution_Margin]</f>
        <v>0.32850000000000001</v>
      </c>
      <c r="J69">
        <f>tblComponents[Actual_Cycle_Time_Min]/60</f>
        <v>6.5000000000000002E-2</v>
      </c>
      <c r="K69">
        <f t="shared" si="9"/>
        <v>5529.2307692307686</v>
      </c>
      <c r="L69">
        <f>H69*tblComponents[Planned_Production_or_Procurement]</f>
        <v>8207258.3999999994</v>
      </c>
      <c r="M69">
        <f t="shared" si="10"/>
        <v>87</v>
      </c>
      <c r="N69" t="str">
        <f t="shared" si="11"/>
        <v>Medium Economic Priority</v>
      </c>
      <c r="O69" t="str">
        <f>tblComponents[Criticality]</f>
        <v>Low</v>
      </c>
      <c r="P69">
        <f>tblComponents[Planned_Production_or_Procurement]</f>
        <v>22836</v>
      </c>
      <c r="Q69">
        <f t="shared" si="12"/>
        <v>1484.3400000000001</v>
      </c>
      <c r="R69" t="str">
        <f t="shared" si="13"/>
        <v>Low</v>
      </c>
      <c r="S69" t="str">
        <f t="shared" si="14"/>
        <v>Medium Priority</v>
      </c>
    </row>
    <row r="70" spans="1:19" x14ac:dyDescent="0.35">
      <c r="A70" s="12" t="str">
        <f>tblComponents[Component_ID]</f>
        <v>C069</v>
      </c>
      <c r="B70" s="12" t="str">
        <f>tblComponents[Component_Name]</f>
        <v>Component 069</v>
      </c>
      <c r="C70" t="str">
        <f>tblComponents[Sourcing_Type]</f>
        <v>Make</v>
      </c>
      <c r="D70">
        <f>tblComponents[Forecast_Demand]</f>
        <v>228</v>
      </c>
      <c r="E70">
        <f>tblComponents[Selling_Price_Per_Unit]</f>
        <v>2010.39</v>
      </c>
      <c r="F70">
        <f>tblComponents[Variable_Cost_Per_Unit]</f>
        <v>1662.9</v>
      </c>
      <c r="G70">
        <f>tblComponents[Direct_Labor_Cost_Per_Unit]</f>
        <v>20.94</v>
      </c>
      <c r="H70">
        <f>tblComponents[Contribution_Per_Unit]</f>
        <v>347.49</v>
      </c>
      <c r="I70">
        <f>tblComponents[Contribution_Margin]</f>
        <v>0.17280000000000001</v>
      </c>
      <c r="J70">
        <f>tblComponents[Actual_Cycle_Time_Min]/60</f>
        <v>0.25650000000000001</v>
      </c>
      <c r="K70">
        <f t="shared" si="9"/>
        <v>1354.7368421052631</v>
      </c>
      <c r="L70">
        <f>H70*tblComponents[Planned_Production_or_Procurement]</f>
        <v>353744.82</v>
      </c>
      <c r="M70">
        <f t="shared" si="10"/>
        <v>266</v>
      </c>
      <c r="N70" t="str">
        <f t="shared" si="11"/>
        <v>Low Economic Priority</v>
      </c>
      <c r="O70" t="str">
        <f>tblComponents[Criticality]</f>
        <v>Medium</v>
      </c>
      <c r="P70">
        <f>tblComponents[Planned_Production_or_Procurement]</f>
        <v>1018</v>
      </c>
      <c r="Q70">
        <f t="shared" si="12"/>
        <v>261.11700000000002</v>
      </c>
      <c r="R70" t="str">
        <f t="shared" si="13"/>
        <v>Medium</v>
      </c>
      <c r="S70" t="str">
        <f t="shared" si="14"/>
        <v>Medium Priority</v>
      </c>
    </row>
    <row r="71" spans="1:19" x14ac:dyDescent="0.35">
      <c r="A71" s="12" t="str">
        <f>tblComponents[Component_ID]</f>
        <v>C070</v>
      </c>
      <c r="B71" s="12" t="str">
        <f>tblComponents[Component_Name]</f>
        <v>Component 070</v>
      </c>
      <c r="C71" t="str">
        <f>tblComponents[Sourcing_Type]</f>
        <v>Make</v>
      </c>
      <c r="D71">
        <f>tblComponents[Forecast_Demand]</f>
        <v>316</v>
      </c>
      <c r="E71">
        <f>tblComponents[Selling_Price_Per_Unit]</f>
        <v>1692.8</v>
      </c>
      <c r="F71">
        <f>tblComponents[Variable_Cost_Per_Unit]</f>
        <v>1354.55</v>
      </c>
      <c r="G71">
        <f>tblComponents[Direct_Labor_Cost_Per_Unit]</f>
        <v>29.47</v>
      </c>
      <c r="H71">
        <f>tblComponents[Contribution_Per_Unit]</f>
        <v>338.25</v>
      </c>
      <c r="I71">
        <f>tblComponents[Contribution_Margin]</f>
        <v>0.19980000000000001</v>
      </c>
      <c r="J71">
        <f>tblComponents[Actual_Cycle_Time_Min]/60</f>
        <v>0.12033333333333333</v>
      </c>
      <c r="K71">
        <f t="shared" si="9"/>
        <v>2810.9418282548477</v>
      </c>
      <c r="L71">
        <f>H71*tblComponents[Planned_Production_or_Procurement]</f>
        <v>1564406.25</v>
      </c>
      <c r="M71">
        <f t="shared" si="10"/>
        <v>178</v>
      </c>
      <c r="N71" t="str">
        <f t="shared" si="11"/>
        <v>Low Economic Priority</v>
      </c>
      <c r="O71" t="str">
        <f>tblComponents[Criticality]</f>
        <v>Medium</v>
      </c>
      <c r="P71">
        <f>tblComponents[Planned_Production_or_Procurement]</f>
        <v>4625</v>
      </c>
      <c r="Q71">
        <f t="shared" si="12"/>
        <v>556.54166666666663</v>
      </c>
      <c r="R71" t="str">
        <f t="shared" si="13"/>
        <v>Medium</v>
      </c>
      <c r="S71" t="str">
        <f t="shared" si="14"/>
        <v>Medium Priority</v>
      </c>
    </row>
    <row r="72" spans="1:19" x14ac:dyDescent="0.35">
      <c r="A72" s="12" t="str">
        <f>tblComponents[Component_ID]</f>
        <v>C071</v>
      </c>
      <c r="B72" s="12" t="str">
        <f>tblComponents[Component_Name]</f>
        <v>Component 071</v>
      </c>
      <c r="C72" t="str">
        <f>tblComponents[Sourcing_Type]</f>
        <v>Make</v>
      </c>
      <c r="D72">
        <f>tblComponents[Forecast_Demand]</f>
        <v>682</v>
      </c>
      <c r="E72">
        <f>tblComponents[Selling_Price_Per_Unit]</f>
        <v>2176.7199999999998</v>
      </c>
      <c r="F72">
        <f>tblComponents[Variable_Cost_Per_Unit]</f>
        <v>1372.71</v>
      </c>
      <c r="G72">
        <f>tblComponents[Direct_Labor_Cost_Per_Unit]</f>
        <v>42.96</v>
      </c>
      <c r="H72">
        <f>tblComponents[Contribution_Per_Unit]</f>
        <v>804.01</v>
      </c>
      <c r="I72">
        <f>tblComponents[Contribution_Margin]</f>
        <v>0.36940000000000001</v>
      </c>
      <c r="J72">
        <f>tblComponents[Actual_Cycle_Time_Min]/60</f>
        <v>0.17716666666666667</v>
      </c>
      <c r="K72">
        <f t="shared" si="9"/>
        <v>4538.1561618062087</v>
      </c>
      <c r="L72">
        <f>H72*tblComponents[Planned_Production_or_Procurement]</f>
        <v>2745694.15</v>
      </c>
      <c r="M72">
        <f t="shared" si="10"/>
        <v>114</v>
      </c>
      <c r="N72" t="str">
        <f t="shared" si="11"/>
        <v>Medium Economic Priority</v>
      </c>
      <c r="O72" t="str">
        <f>tblComponents[Criticality]</f>
        <v>Low</v>
      </c>
      <c r="P72">
        <f>tblComponents[Planned_Production_or_Procurement]</f>
        <v>3415</v>
      </c>
      <c r="Q72">
        <f t="shared" si="12"/>
        <v>605.0241666666667</v>
      </c>
      <c r="R72" t="str">
        <f t="shared" si="13"/>
        <v>Low</v>
      </c>
      <c r="S72" t="str">
        <f t="shared" si="14"/>
        <v>Medium Priority</v>
      </c>
    </row>
    <row r="73" spans="1:19" x14ac:dyDescent="0.35">
      <c r="A73" s="12" t="str">
        <f>tblComponents[Component_ID]</f>
        <v>C072</v>
      </c>
      <c r="B73" s="12" t="str">
        <f>tblComponents[Component_Name]</f>
        <v>Component 072</v>
      </c>
      <c r="C73" t="str">
        <f>tblComponents[Sourcing_Type]</f>
        <v>Make</v>
      </c>
      <c r="D73">
        <f>tblComponents[Forecast_Demand]</f>
        <v>550</v>
      </c>
      <c r="E73">
        <f>tblComponents[Selling_Price_Per_Unit]</f>
        <v>785.73</v>
      </c>
      <c r="F73">
        <f>tblComponents[Variable_Cost_Per_Unit]</f>
        <v>522.76</v>
      </c>
      <c r="G73">
        <f>tblComponents[Direct_Labor_Cost_Per_Unit]</f>
        <v>46.19</v>
      </c>
      <c r="H73">
        <f>tblComponents[Contribution_Per_Unit]</f>
        <v>262.97000000000003</v>
      </c>
      <c r="I73">
        <f>tblComponents[Contribution_Margin]</f>
        <v>0.3347</v>
      </c>
      <c r="J73">
        <f>tblComponents[Actual_Cycle_Time_Min]/60</f>
        <v>0.20016666666666666</v>
      </c>
      <c r="K73">
        <f t="shared" si="9"/>
        <v>1313.7552039966697</v>
      </c>
      <c r="L73">
        <f>H73*tblComponents[Planned_Production_or_Procurement]</f>
        <v>448889.79000000004</v>
      </c>
      <c r="M73">
        <f t="shared" si="10"/>
        <v>273</v>
      </c>
      <c r="N73" t="str">
        <f t="shared" si="11"/>
        <v>Low Economic Priority</v>
      </c>
      <c r="O73" t="str">
        <f>tblComponents[Criticality]</f>
        <v>Critical</v>
      </c>
      <c r="P73">
        <f>tblComponents[Planned_Production_or_Procurement]</f>
        <v>1707</v>
      </c>
      <c r="Q73">
        <f t="shared" si="12"/>
        <v>341.68450000000001</v>
      </c>
      <c r="R73" t="str">
        <f t="shared" si="13"/>
        <v>Critical</v>
      </c>
      <c r="S73" t="str">
        <f t="shared" si="14"/>
        <v>Critical Priority</v>
      </c>
    </row>
    <row r="74" spans="1:19" x14ac:dyDescent="0.35">
      <c r="A74" s="12" t="str">
        <f>tblComponents[Component_ID]</f>
        <v>C073</v>
      </c>
      <c r="B74" s="12" t="str">
        <f>tblComponents[Component_Name]</f>
        <v>Component 073</v>
      </c>
      <c r="C74" t="str">
        <f>tblComponents[Sourcing_Type]</f>
        <v>Make</v>
      </c>
      <c r="D74">
        <f>tblComponents[Forecast_Demand]</f>
        <v>1450</v>
      </c>
      <c r="E74">
        <f>tblComponents[Selling_Price_Per_Unit]</f>
        <v>2212.98</v>
      </c>
      <c r="F74">
        <f>tblComponents[Variable_Cost_Per_Unit]</f>
        <v>1873.43</v>
      </c>
      <c r="G74">
        <f>tblComponents[Direct_Labor_Cost_Per_Unit]</f>
        <v>39.39</v>
      </c>
      <c r="H74">
        <f>tblComponents[Contribution_Per_Unit]</f>
        <v>339.55</v>
      </c>
      <c r="I74">
        <f>tblComponents[Contribution_Margin]</f>
        <v>0.15340000000000001</v>
      </c>
      <c r="J74">
        <f>tblComponents[Actual_Cycle_Time_Min]/60</f>
        <v>8.1666666666666679E-2</v>
      </c>
      <c r="K74">
        <f t="shared" si="9"/>
        <v>4157.7551020408155</v>
      </c>
      <c r="L74">
        <f>H74*tblComponents[Planned_Production_or_Procurement]</f>
        <v>446168.7</v>
      </c>
      <c r="M74">
        <f t="shared" si="10"/>
        <v>129</v>
      </c>
      <c r="N74" t="str">
        <f t="shared" si="11"/>
        <v>Medium Economic Priority</v>
      </c>
      <c r="O74" t="str">
        <f>tblComponents[Criticality]</f>
        <v>Low</v>
      </c>
      <c r="P74">
        <f>tblComponents[Planned_Production_or_Procurement]</f>
        <v>1314</v>
      </c>
      <c r="Q74">
        <f t="shared" si="12"/>
        <v>107.31000000000002</v>
      </c>
      <c r="R74" t="str">
        <f t="shared" si="13"/>
        <v>Low</v>
      </c>
      <c r="S74" t="str">
        <f t="shared" si="14"/>
        <v>Medium Priority</v>
      </c>
    </row>
    <row r="75" spans="1:19" x14ac:dyDescent="0.35">
      <c r="A75" s="12" t="str">
        <f>tblComponents[Component_ID]</f>
        <v>C074</v>
      </c>
      <c r="B75" s="12" t="str">
        <f>tblComponents[Component_Name]</f>
        <v>Component 074</v>
      </c>
      <c r="C75" t="str">
        <f>tblComponents[Sourcing_Type]</f>
        <v>Make</v>
      </c>
      <c r="D75">
        <f>tblComponents[Forecast_Demand]</f>
        <v>3018</v>
      </c>
      <c r="E75">
        <f>tblComponents[Selling_Price_Per_Unit]</f>
        <v>1517.49</v>
      </c>
      <c r="F75">
        <f>tblComponents[Variable_Cost_Per_Unit]</f>
        <v>1195.6400000000001</v>
      </c>
      <c r="G75">
        <f>tblComponents[Direct_Labor_Cost_Per_Unit]</f>
        <v>47.78</v>
      </c>
      <c r="H75">
        <f>tblComponents[Contribution_Per_Unit]</f>
        <v>321.85000000000002</v>
      </c>
      <c r="I75">
        <f>tblComponents[Contribution_Margin]</f>
        <v>0.21210000000000001</v>
      </c>
      <c r="J75">
        <f>tblComponents[Actual_Cycle_Time_Min]/60</f>
        <v>4.8333333333333332E-2</v>
      </c>
      <c r="K75">
        <f t="shared" si="9"/>
        <v>6658.9655172413795</v>
      </c>
      <c r="L75">
        <f>H75*tblComponents[Planned_Production_or_Procurement]</f>
        <v>980676.95000000007</v>
      </c>
      <c r="M75">
        <f t="shared" si="10"/>
        <v>63</v>
      </c>
      <c r="N75" t="str">
        <f t="shared" si="11"/>
        <v>High Economic Priority</v>
      </c>
      <c r="O75" t="str">
        <f>tblComponents[Criticality]</f>
        <v>Medium</v>
      </c>
      <c r="P75">
        <f>tblComponents[Planned_Production_or_Procurement]</f>
        <v>3047</v>
      </c>
      <c r="Q75">
        <f t="shared" si="12"/>
        <v>147.27166666666668</v>
      </c>
      <c r="R75" t="str">
        <f t="shared" si="13"/>
        <v>Medium</v>
      </c>
      <c r="S75" t="str">
        <f t="shared" si="14"/>
        <v>High Priority</v>
      </c>
    </row>
    <row r="76" spans="1:19" x14ac:dyDescent="0.35">
      <c r="A76" s="12" t="str">
        <f>tblComponents[Component_ID]</f>
        <v>C075</v>
      </c>
      <c r="B76" s="12" t="str">
        <f>tblComponents[Component_Name]</f>
        <v>Component 075</v>
      </c>
      <c r="C76" t="str">
        <f>tblComponents[Sourcing_Type]</f>
        <v>Make</v>
      </c>
      <c r="D76">
        <f>tblComponents[Forecast_Demand]</f>
        <v>152</v>
      </c>
      <c r="E76">
        <f>tblComponents[Selling_Price_Per_Unit]</f>
        <v>2104.0500000000002</v>
      </c>
      <c r="F76">
        <f>tblComponents[Variable_Cost_Per_Unit]</f>
        <v>1675.66</v>
      </c>
      <c r="G76">
        <f>tblComponents[Direct_Labor_Cost_Per_Unit]</f>
        <v>156.28</v>
      </c>
      <c r="H76">
        <f>tblComponents[Contribution_Per_Unit]</f>
        <v>428.39</v>
      </c>
      <c r="I76">
        <f>tblComponents[Contribution_Margin]</f>
        <v>0.2036</v>
      </c>
      <c r="J76">
        <f>tblComponents[Actual_Cycle_Time_Min]/60</f>
        <v>8.666666666666667E-2</v>
      </c>
      <c r="K76">
        <f t="shared" si="9"/>
        <v>4942.9615384615381</v>
      </c>
      <c r="L76">
        <f>H76*tblComponents[Planned_Production_or_Procurement]</f>
        <v>1378987.41</v>
      </c>
      <c r="M76">
        <f t="shared" si="10"/>
        <v>101</v>
      </c>
      <c r="N76" t="str">
        <f t="shared" si="11"/>
        <v>Medium Economic Priority</v>
      </c>
      <c r="O76" t="str">
        <f>tblComponents[Criticality]</f>
        <v>Medium</v>
      </c>
      <c r="P76">
        <f>tblComponents[Planned_Production_or_Procurement]</f>
        <v>3219</v>
      </c>
      <c r="Q76">
        <f t="shared" si="12"/>
        <v>278.98</v>
      </c>
      <c r="R76" t="str">
        <f t="shared" si="13"/>
        <v>Medium</v>
      </c>
      <c r="S76" t="str">
        <f t="shared" si="14"/>
        <v>Medium Priority</v>
      </c>
    </row>
    <row r="77" spans="1:19" x14ac:dyDescent="0.35">
      <c r="A77" s="12" t="str">
        <f>tblComponents[Component_ID]</f>
        <v>C076</v>
      </c>
      <c r="B77" s="12" t="str">
        <f>tblComponents[Component_Name]</f>
        <v>Component 076</v>
      </c>
      <c r="C77" t="str">
        <f>tblComponents[Sourcing_Type]</f>
        <v>Make</v>
      </c>
      <c r="D77">
        <f>tblComponents[Forecast_Demand]</f>
        <v>807</v>
      </c>
      <c r="E77">
        <f>tblComponents[Selling_Price_Per_Unit]</f>
        <v>583.24</v>
      </c>
      <c r="F77">
        <f>tblComponents[Variable_Cost_Per_Unit]</f>
        <v>456.27</v>
      </c>
      <c r="G77">
        <f>tblComponents[Direct_Labor_Cost_Per_Unit]</f>
        <v>23.62</v>
      </c>
      <c r="H77">
        <f>tblComponents[Contribution_Per_Unit]</f>
        <v>126.97</v>
      </c>
      <c r="I77">
        <f>tblComponents[Contribution_Margin]</f>
        <v>0.2177</v>
      </c>
      <c r="J77">
        <f>tblComponents[Actual_Cycle_Time_Min]/60</f>
        <v>8.4000000000000005E-2</v>
      </c>
      <c r="K77">
        <f t="shared" si="9"/>
        <v>1511.547619047619</v>
      </c>
      <c r="L77">
        <f>H77*tblComponents[Planned_Production_or_Procurement]</f>
        <v>509149.7</v>
      </c>
      <c r="M77">
        <f t="shared" si="10"/>
        <v>257</v>
      </c>
      <c r="N77" t="str">
        <f t="shared" si="11"/>
        <v>Low Economic Priority</v>
      </c>
      <c r="O77" t="str">
        <f>tblComponents[Criticality]</f>
        <v>High</v>
      </c>
      <c r="P77">
        <f>tblComponents[Planned_Production_or_Procurement]</f>
        <v>4010</v>
      </c>
      <c r="Q77">
        <f t="shared" si="12"/>
        <v>336.84000000000003</v>
      </c>
      <c r="R77" t="str">
        <f t="shared" si="13"/>
        <v>High</v>
      </c>
      <c r="S77" t="str">
        <f t="shared" si="14"/>
        <v>High Priority</v>
      </c>
    </row>
    <row r="78" spans="1:19" x14ac:dyDescent="0.35">
      <c r="A78" s="12" t="str">
        <f>tblComponents[Component_ID]</f>
        <v>C077</v>
      </c>
      <c r="B78" s="12" t="str">
        <f>tblComponents[Component_Name]</f>
        <v>Component 077</v>
      </c>
      <c r="C78" t="str">
        <f>tblComponents[Sourcing_Type]</f>
        <v>Make</v>
      </c>
      <c r="D78">
        <f>tblComponents[Forecast_Demand]</f>
        <v>635</v>
      </c>
      <c r="E78">
        <f>tblComponents[Selling_Price_Per_Unit]</f>
        <v>1926.33</v>
      </c>
      <c r="F78">
        <f>tblComponents[Variable_Cost_Per_Unit]</f>
        <v>1518.16</v>
      </c>
      <c r="G78">
        <f>tblComponents[Direct_Labor_Cost_Per_Unit]</f>
        <v>17.88</v>
      </c>
      <c r="H78">
        <f>tblComponents[Contribution_Per_Unit]</f>
        <v>408.17</v>
      </c>
      <c r="I78">
        <f>tblComponents[Contribution_Margin]</f>
        <v>0.21190000000000001</v>
      </c>
      <c r="J78">
        <f>tblComponents[Actual_Cycle_Time_Min]/60</f>
        <v>4.1500000000000002E-2</v>
      </c>
      <c r="K78">
        <f t="shared" si="9"/>
        <v>9835.4216867469877</v>
      </c>
      <c r="L78">
        <f>H78*tblComponents[Planned_Production_or_Procurement]</f>
        <v>1111855.08</v>
      </c>
      <c r="M78">
        <f t="shared" si="10"/>
        <v>30</v>
      </c>
      <c r="N78" t="str">
        <f t="shared" si="11"/>
        <v>High Economic Priority</v>
      </c>
      <c r="O78" t="str">
        <f>tblComponents[Criticality]</f>
        <v>Critical</v>
      </c>
      <c r="P78">
        <f>tblComponents[Planned_Production_or_Procurement]</f>
        <v>2724</v>
      </c>
      <c r="Q78">
        <f t="shared" si="12"/>
        <v>113.04600000000001</v>
      </c>
      <c r="R78" t="str">
        <f t="shared" si="13"/>
        <v>Critical</v>
      </c>
      <c r="S78" t="str">
        <f t="shared" si="14"/>
        <v>Critical Priority</v>
      </c>
    </row>
    <row r="79" spans="1:19" x14ac:dyDescent="0.35">
      <c r="A79" s="12" t="str">
        <f>tblComponents[Component_ID]</f>
        <v>C078</v>
      </c>
      <c r="B79" s="12" t="str">
        <f>tblComponents[Component_Name]</f>
        <v>Component 078</v>
      </c>
      <c r="C79" t="str">
        <f>tblComponents[Sourcing_Type]</f>
        <v>Make</v>
      </c>
      <c r="D79">
        <f>tblComponents[Forecast_Demand]</f>
        <v>1408</v>
      </c>
      <c r="E79">
        <f>tblComponents[Selling_Price_Per_Unit]</f>
        <v>2038.72</v>
      </c>
      <c r="F79">
        <f>tblComponents[Variable_Cost_Per_Unit]</f>
        <v>1701.04</v>
      </c>
      <c r="G79">
        <f>tblComponents[Direct_Labor_Cost_Per_Unit]</f>
        <v>24.05</v>
      </c>
      <c r="H79">
        <f>tblComponents[Contribution_Per_Unit]</f>
        <v>337.68</v>
      </c>
      <c r="I79">
        <f>tblComponents[Contribution_Margin]</f>
        <v>0.1656</v>
      </c>
      <c r="J79">
        <f>tblComponents[Actual_Cycle_Time_Min]/60</f>
        <v>0.20783333333333334</v>
      </c>
      <c r="K79">
        <f t="shared" si="9"/>
        <v>1624.7634322373697</v>
      </c>
      <c r="L79">
        <f>H79*tblComponents[Planned_Production_or_Procurement]</f>
        <v>813133.44000000006</v>
      </c>
      <c r="M79">
        <f t="shared" si="10"/>
        <v>249</v>
      </c>
      <c r="N79" t="str">
        <f t="shared" si="11"/>
        <v>Low Economic Priority</v>
      </c>
      <c r="O79" t="str">
        <f>tblComponents[Criticality]</f>
        <v>Medium</v>
      </c>
      <c r="P79">
        <f>tblComponents[Planned_Production_or_Procurement]</f>
        <v>2408</v>
      </c>
      <c r="Q79">
        <f t="shared" si="12"/>
        <v>500.46266666666668</v>
      </c>
      <c r="R79" t="str">
        <f t="shared" si="13"/>
        <v>Medium</v>
      </c>
      <c r="S79" t="str">
        <f t="shared" si="14"/>
        <v>Medium Priority</v>
      </c>
    </row>
    <row r="80" spans="1:19" x14ac:dyDescent="0.35">
      <c r="A80" s="12" t="str">
        <f>tblComponents[Component_ID]</f>
        <v>C079</v>
      </c>
      <c r="B80" s="12" t="str">
        <f>tblComponents[Component_Name]</f>
        <v>Component 079</v>
      </c>
      <c r="C80" t="str">
        <f>tblComponents[Sourcing_Type]</f>
        <v>Make</v>
      </c>
      <c r="D80">
        <f>tblComponents[Forecast_Demand]</f>
        <v>1193</v>
      </c>
      <c r="E80">
        <f>tblComponents[Selling_Price_Per_Unit]</f>
        <v>840.47</v>
      </c>
      <c r="F80">
        <f>tblComponents[Variable_Cost_Per_Unit]</f>
        <v>617.97</v>
      </c>
      <c r="G80">
        <f>tblComponents[Direct_Labor_Cost_Per_Unit]</f>
        <v>9.24</v>
      </c>
      <c r="H80">
        <f>tblComponents[Contribution_Per_Unit]</f>
        <v>222.5</v>
      </c>
      <c r="I80">
        <f>tblComponents[Contribution_Margin]</f>
        <v>0.26469999999999999</v>
      </c>
      <c r="J80">
        <f>tblComponents[Actual_Cycle_Time_Min]/60</f>
        <v>4.6833333333333331E-2</v>
      </c>
      <c r="K80">
        <f t="shared" si="9"/>
        <v>4750.8896797153029</v>
      </c>
      <c r="L80">
        <f>H80*tblComponents[Planned_Production_or_Procurement]</f>
        <v>441662.5</v>
      </c>
      <c r="M80">
        <f t="shared" si="10"/>
        <v>107</v>
      </c>
      <c r="N80" t="str">
        <f t="shared" si="11"/>
        <v>Medium Economic Priority</v>
      </c>
      <c r="O80" t="str">
        <f>tblComponents[Criticality]</f>
        <v>Medium</v>
      </c>
      <c r="P80">
        <f>tblComponents[Planned_Production_or_Procurement]</f>
        <v>1985</v>
      </c>
      <c r="Q80">
        <f t="shared" si="12"/>
        <v>92.964166666666657</v>
      </c>
      <c r="R80" t="str">
        <f t="shared" si="13"/>
        <v>Medium</v>
      </c>
      <c r="S80" t="str">
        <f t="shared" si="14"/>
        <v>Medium Priority</v>
      </c>
    </row>
    <row r="81" spans="1:19" x14ac:dyDescent="0.35">
      <c r="A81" s="12" t="str">
        <f>tblComponents[Component_ID]</f>
        <v>C080</v>
      </c>
      <c r="B81" s="12" t="str">
        <f>tblComponents[Component_Name]</f>
        <v>Component 080</v>
      </c>
      <c r="C81" t="str">
        <f>tblComponents[Sourcing_Type]</f>
        <v>Make</v>
      </c>
      <c r="D81">
        <f>tblComponents[Forecast_Demand]</f>
        <v>413</v>
      </c>
      <c r="E81">
        <f>tblComponents[Selling_Price_Per_Unit]</f>
        <v>2380.92</v>
      </c>
      <c r="F81">
        <f>tblComponents[Variable_Cost_Per_Unit]</f>
        <v>1587.64</v>
      </c>
      <c r="G81">
        <f>tblComponents[Direct_Labor_Cost_Per_Unit]</f>
        <v>32.130000000000003</v>
      </c>
      <c r="H81">
        <f>tblComponents[Contribution_Per_Unit]</f>
        <v>793.28</v>
      </c>
      <c r="I81">
        <f>tblComponents[Contribution_Margin]</f>
        <v>0.3332</v>
      </c>
      <c r="J81">
        <f>tblComponents[Actual_Cycle_Time_Min]/60</f>
        <v>0.10916666666666666</v>
      </c>
      <c r="K81">
        <f t="shared" si="9"/>
        <v>7266.6870229007636</v>
      </c>
      <c r="L81">
        <f>H81*tblComponents[Planned_Production_or_Procurement]</f>
        <v>1303359.04</v>
      </c>
      <c r="M81">
        <f t="shared" si="10"/>
        <v>56</v>
      </c>
      <c r="N81" t="str">
        <f t="shared" si="11"/>
        <v>High Economic Priority</v>
      </c>
      <c r="O81" t="str">
        <f>tblComponents[Criticality]</f>
        <v>Critical</v>
      </c>
      <c r="P81">
        <f>tblComponents[Planned_Production_or_Procurement]</f>
        <v>1643</v>
      </c>
      <c r="Q81">
        <f t="shared" si="12"/>
        <v>179.36083333333332</v>
      </c>
      <c r="R81" t="str">
        <f t="shared" si="13"/>
        <v>Critical</v>
      </c>
      <c r="S81" t="str">
        <f t="shared" si="14"/>
        <v>Critical Priority</v>
      </c>
    </row>
    <row r="82" spans="1:19" x14ac:dyDescent="0.35">
      <c r="A82" s="12" t="str">
        <f>tblComponents[Component_ID]</f>
        <v>C081</v>
      </c>
      <c r="B82" s="12" t="str">
        <f>tblComponents[Component_Name]</f>
        <v>Component 081</v>
      </c>
      <c r="C82" t="str">
        <f>tblComponents[Sourcing_Type]</f>
        <v>Make</v>
      </c>
      <c r="D82">
        <f>tblComponents[Forecast_Demand]</f>
        <v>1870</v>
      </c>
      <c r="E82">
        <f>tblComponents[Selling_Price_Per_Unit]</f>
        <v>1763.98</v>
      </c>
      <c r="F82">
        <f>tblComponents[Variable_Cost_Per_Unit]</f>
        <v>1231.82</v>
      </c>
      <c r="G82">
        <f>tblComponents[Direct_Labor_Cost_Per_Unit]</f>
        <v>194.21</v>
      </c>
      <c r="H82">
        <f>tblComponents[Contribution_Per_Unit]</f>
        <v>532.16</v>
      </c>
      <c r="I82">
        <f>tblComponents[Contribution_Margin]</f>
        <v>0.30170000000000002</v>
      </c>
      <c r="J82">
        <f>tblComponents[Actual_Cycle_Time_Min]/60</f>
        <v>0.13033333333333333</v>
      </c>
      <c r="K82">
        <f t="shared" si="9"/>
        <v>4083.0690537084397</v>
      </c>
      <c r="L82">
        <f>H82*tblComponents[Planned_Production_or_Procurement]</f>
        <v>871678.08</v>
      </c>
      <c r="M82">
        <f t="shared" si="10"/>
        <v>131</v>
      </c>
      <c r="N82" t="str">
        <f t="shared" si="11"/>
        <v>Medium Economic Priority</v>
      </c>
      <c r="O82" t="str">
        <f>tblComponents[Criticality]</f>
        <v>Medium</v>
      </c>
      <c r="P82">
        <f>tblComponents[Planned_Production_or_Procurement]</f>
        <v>1638</v>
      </c>
      <c r="Q82">
        <f t="shared" si="12"/>
        <v>213.48599999999999</v>
      </c>
      <c r="R82" t="str">
        <f t="shared" si="13"/>
        <v>Medium</v>
      </c>
      <c r="S82" t="str">
        <f t="shared" si="14"/>
        <v>Medium Priority</v>
      </c>
    </row>
    <row r="83" spans="1:19" x14ac:dyDescent="0.35">
      <c r="A83" s="12" t="str">
        <f>tblComponents[Component_ID]</f>
        <v>C082</v>
      </c>
      <c r="B83" s="12" t="str">
        <f>tblComponents[Component_Name]</f>
        <v>Component 082</v>
      </c>
      <c r="C83" t="str">
        <f>tblComponents[Sourcing_Type]</f>
        <v>Make</v>
      </c>
      <c r="D83">
        <f>tblComponents[Forecast_Demand]</f>
        <v>353</v>
      </c>
      <c r="E83">
        <f>tblComponents[Selling_Price_Per_Unit]</f>
        <v>1065.08</v>
      </c>
      <c r="F83">
        <f>tblComponents[Variable_Cost_Per_Unit]</f>
        <v>726.15</v>
      </c>
      <c r="G83">
        <f>tblComponents[Direct_Labor_Cost_Per_Unit]</f>
        <v>20.96</v>
      </c>
      <c r="H83">
        <f>tblComponents[Contribution_Per_Unit]</f>
        <v>338.93</v>
      </c>
      <c r="I83">
        <f>tblComponents[Contribution_Margin]</f>
        <v>0.31819999999999998</v>
      </c>
      <c r="J83">
        <f>tblComponents[Actual_Cycle_Time_Min]/60</f>
        <v>2.2666666666666668E-2</v>
      </c>
      <c r="K83">
        <f t="shared" si="9"/>
        <v>14952.794117647058</v>
      </c>
      <c r="L83">
        <f>H83*tblComponents[Planned_Production_or_Procurement]</f>
        <v>1615340.3800000001</v>
      </c>
      <c r="M83">
        <f t="shared" si="10"/>
        <v>11</v>
      </c>
      <c r="N83" t="str">
        <f t="shared" si="11"/>
        <v>High Economic Priority</v>
      </c>
      <c r="O83" t="str">
        <f>tblComponents[Criticality]</f>
        <v>Medium</v>
      </c>
      <c r="P83">
        <f>tblComponents[Planned_Production_or_Procurement]</f>
        <v>4766</v>
      </c>
      <c r="Q83">
        <f t="shared" si="12"/>
        <v>108.02933333333334</v>
      </c>
      <c r="R83" t="str">
        <f t="shared" si="13"/>
        <v>Medium</v>
      </c>
      <c r="S83" t="str">
        <f t="shared" si="14"/>
        <v>High Priority</v>
      </c>
    </row>
    <row r="84" spans="1:19" x14ac:dyDescent="0.35">
      <c r="A84" s="12" t="str">
        <f>tblComponents[Component_ID]</f>
        <v>C083</v>
      </c>
      <c r="B84" s="12" t="str">
        <f>tblComponents[Component_Name]</f>
        <v>Component 083</v>
      </c>
      <c r="C84" t="str">
        <f>tblComponents[Sourcing_Type]</f>
        <v>Make</v>
      </c>
      <c r="D84">
        <f>tblComponents[Forecast_Demand]</f>
        <v>1245</v>
      </c>
      <c r="E84">
        <f>tblComponents[Selling_Price_Per_Unit]</f>
        <v>975.34</v>
      </c>
      <c r="F84">
        <f>tblComponents[Variable_Cost_Per_Unit]</f>
        <v>809.25</v>
      </c>
      <c r="G84">
        <f>tblComponents[Direct_Labor_Cost_Per_Unit]</f>
        <v>9.32</v>
      </c>
      <c r="H84">
        <f>tblComponents[Contribution_Per_Unit]</f>
        <v>166.09</v>
      </c>
      <c r="I84">
        <f>tblComponents[Contribution_Margin]</f>
        <v>0.17030000000000001</v>
      </c>
      <c r="J84">
        <f>tblComponents[Actual_Cycle_Time_Min]/60</f>
        <v>3.3166666666666664E-2</v>
      </c>
      <c r="K84">
        <f t="shared" si="9"/>
        <v>5007.7386934673368</v>
      </c>
      <c r="L84">
        <f>H84*tblComponents[Planned_Production_or_Procurement]</f>
        <v>501093.53</v>
      </c>
      <c r="M84">
        <f t="shared" si="10"/>
        <v>99</v>
      </c>
      <c r="N84" t="str">
        <f t="shared" si="11"/>
        <v>Medium Economic Priority</v>
      </c>
      <c r="O84" t="str">
        <f>tblComponents[Criticality]</f>
        <v>Low</v>
      </c>
      <c r="P84">
        <f>tblComponents[Planned_Production_or_Procurement]</f>
        <v>3017</v>
      </c>
      <c r="Q84">
        <f t="shared" si="12"/>
        <v>100.06383333333332</v>
      </c>
      <c r="R84" t="str">
        <f t="shared" si="13"/>
        <v>Low</v>
      </c>
      <c r="S84" t="str">
        <f t="shared" si="14"/>
        <v>Medium Priority</v>
      </c>
    </row>
    <row r="85" spans="1:19" x14ac:dyDescent="0.35">
      <c r="A85" s="12" t="str">
        <f>tblComponents[Component_ID]</f>
        <v>C084</v>
      </c>
      <c r="B85" s="12" t="str">
        <f>tblComponents[Component_Name]</f>
        <v>Component 084</v>
      </c>
      <c r="C85" t="str">
        <f>tblComponents[Sourcing_Type]</f>
        <v>Make</v>
      </c>
      <c r="D85">
        <f>tblComponents[Forecast_Demand]</f>
        <v>991</v>
      </c>
      <c r="E85">
        <f>tblComponents[Selling_Price_Per_Unit]</f>
        <v>544.4</v>
      </c>
      <c r="F85">
        <f>tblComponents[Variable_Cost_Per_Unit]</f>
        <v>333.24</v>
      </c>
      <c r="G85">
        <f>tblComponents[Direct_Labor_Cost_Per_Unit]</f>
        <v>10.54</v>
      </c>
      <c r="H85">
        <f>tblComponents[Contribution_Per_Unit]</f>
        <v>211.16</v>
      </c>
      <c r="I85">
        <f>tblComponents[Contribution_Margin]</f>
        <v>0.38790000000000002</v>
      </c>
      <c r="J85">
        <f>tblComponents[Actual_Cycle_Time_Min]/60</f>
        <v>9.3666666666666662E-2</v>
      </c>
      <c r="K85">
        <f t="shared" si="9"/>
        <v>2254.3772241992883</v>
      </c>
      <c r="L85">
        <f>H85*tblComponents[Planned_Production_or_Procurement]</f>
        <v>1042496.9199999999</v>
      </c>
      <c r="M85">
        <f t="shared" si="10"/>
        <v>209</v>
      </c>
      <c r="N85" t="str">
        <f t="shared" si="11"/>
        <v>Low Economic Priority</v>
      </c>
      <c r="O85" t="str">
        <f>tblComponents[Criticality]</f>
        <v>Medium</v>
      </c>
      <c r="P85">
        <f>tblComponents[Planned_Production_or_Procurement]</f>
        <v>4937</v>
      </c>
      <c r="Q85">
        <f t="shared" si="12"/>
        <v>462.4323333333333</v>
      </c>
      <c r="R85" t="str">
        <f t="shared" si="13"/>
        <v>Medium</v>
      </c>
      <c r="S85" t="str">
        <f t="shared" si="14"/>
        <v>Medium Priority</v>
      </c>
    </row>
    <row r="86" spans="1:19" x14ac:dyDescent="0.35">
      <c r="A86" s="12" t="str">
        <f>tblComponents[Component_ID]</f>
        <v>C085</v>
      </c>
      <c r="B86" s="12" t="str">
        <f>tblComponents[Component_Name]</f>
        <v>Component 085</v>
      </c>
      <c r="C86" t="str">
        <f>tblComponents[Sourcing_Type]</f>
        <v>Make</v>
      </c>
      <c r="D86">
        <f>tblComponents[Forecast_Demand]</f>
        <v>1393</v>
      </c>
      <c r="E86">
        <f>tblComponents[Selling_Price_Per_Unit]</f>
        <v>876.56</v>
      </c>
      <c r="F86">
        <f>tblComponents[Variable_Cost_Per_Unit]</f>
        <v>561.33000000000004</v>
      </c>
      <c r="G86">
        <f>tblComponents[Direct_Labor_Cost_Per_Unit]</f>
        <v>19.7</v>
      </c>
      <c r="H86">
        <f>tblComponents[Contribution_Per_Unit]</f>
        <v>315.23</v>
      </c>
      <c r="I86">
        <f>tblComponents[Contribution_Margin]</f>
        <v>0.35959999999999998</v>
      </c>
      <c r="J86">
        <f>tblComponents[Actual_Cycle_Time_Min]/60</f>
        <v>0.17083333333333334</v>
      </c>
      <c r="K86">
        <f t="shared" si="9"/>
        <v>1845.2487804878049</v>
      </c>
      <c r="L86">
        <f>H86*tblComponents[Planned_Production_or_Procurement]</f>
        <v>917634.53</v>
      </c>
      <c r="M86">
        <f t="shared" si="10"/>
        <v>235</v>
      </c>
      <c r="N86" t="str">
        <f t="shared" si="11"/>
        <v>Low Economic Priority</v>
      </c>
      <c r="O86" t="str">
        <f>tblComponents[Criticality]</f>
        <v>Medium</v>
      </c>
      <c r="P86">
        <f>tblComponents[Planned_Production_or_Procurement]</f>
        <v>2911</v>
      </c>
      <c r="Q86">
        <f t="shared" si="12"/>
        <v>497.29583333333335</v>
      </c>
      <c r="R86" t="str">
        <f t="shared" si="13"/>
        <v>Medium</v>
      </c>
      <c r="S86" t="str">
        <f t="shared" si="14"/>
        <v>Medium Priority</v>
      </c>
    </row>
    <row r="87" spans="1:19" x14ac:dyDescent="0.35">
      <c r="A87" s="12" t="str">
        <f>tblComponents[Component_ID]</f>
        <v>C086</v>
      </c>
      <c r="B87" s="12" t="str">
        <f>tblComponents[Component_Name]</f>
        <v>Component 086</v>
      </c>
      <c r="C87" t="str">
        <f>tblComponents[Sourcing_Type]</f>
        <v>Make</v>
      </c>
      <c r="D87">
        <f>tblComponents[Forecast_Demand]</f>
        <v>2402</v>
      </c>
      <c r="E87">
        <f>tblComponents[Selling_Price_Per_Unit]</f>
        <v>1704.21</v>
      </c>
      <c r="F87">
        <f>tblComponents[Variable_Cost_Per_Unit]</f>
        <v>1105.57</v>
      </c>
      <c r="G87">
        <f>tblComponents[Direct_Labor_Cost_Per_Unit]</f>
        <v>75.13</v>
      </c>
      <c r="H87">
        <f>tblComponents[Contribution_Per_Unit]</f>
        <v>598.64</v>
      </c>
      <c r="I87">
        <f>tblComponents[Contribution_Margin]</f>
        <v>0.3513</v>
      </c>
      <c r="J87">
        <f>tblComponents[Actual_Cycle_Time_Min]/60</f>
        <v>4.5499999999999999E-2</v>
      </c>
      <c r="K87">
        <f t="shared" si="9"/>
        <v>13156.923076923076</v>
      </c>
      <c r="L87">
        <f>H87*tblComponents[Planned_Production_or_Procurement]</f>
        <v>2866886.96</v>
      </c>
      <c r="M87">
        <f t="shared" si="10"/>
        <v>16</v>
      </c>
      <c r="N87" t="str">
        <f t="shared" si="11"/>
        <v>High Economic Priority</v>
      </c>
      <c r="O87" t="str">
        <f>tblComponents[Criticality]</f>
        <v>Medium</v>
      </c>
      <c r="P87">
        <f>tblComponents[Planned_Production_or_Procurement]</f>
        <v>4789</v>
      </c>
      <c r="Q87">
        <f t="shared" si="12"/>
        <v>217.89949999999999</v>
      </c>
      <c r="R87" t="str">
        <f t="shared" si="13"/>
        <v>Medium</v>
      </c>
      <c r="S87" t="str">
        <f t="shared" si="14"/>
        <v>High Priority</v>
      </c>
    </row>
    <row r="88" spans="1:19" x14ac:dyDescent="0.35">
      <c r="A88" s="12" t="str">
        <f>tblComponents[Component_ID]</f>
        <v>C087</v>
      </c>
      <c r="B88" s="12" t="str">
        <f>tblComponents[Component_Name]</f>
        <v>Component 087</v>
      </c>
      <c r="C88" t="str">
        <f>tblComponents[Sourcing_Type]</f>
        <v>Make</v>
      </c>
      <c r="D88">
        <f>tblComponents[Forecast_Demand]</f>
        <v>1327</v>
      </c>
      <c r="E88">
        <f>tblComponents[Selling_Price_Per_Unit]</f>
        <v>1504.16</v>
      </c>
      <c r="F88">
        <f>tblComponents[Variable_Cost_Per_Unit]</f>
        <v>969.06</v>
      </c>
      <c r="G88">
        <f>tblComponents[Direct_Labor_Cost_Per_Unit]</f>
        <v>21.88</v>
      </c>
      <c r="H88">
        <f>tblComponents[Contribution_Per_Unit]</f>
        <v>535.1</v>
      </c>
      <c r="I88">
        <f>tblComponents[Contribution_Margin]</f>
        <v>0.35570000000000002</v>
      </c>
      <c r="J88">
        <f>tblComponents[Actual_Cycle_Time_Min]/60</f>
        <v>0.18633333333333332</v>
      </c>
      <c r="K88">
        <f t="shared" si="9"/>
        <v>2871.7352415026835</v>
      </c>
      <c r="L88">
        <f>H88*tblComponents[Planned_Production_or_Procurement]</f>
        <v>1849840.7000000002</v>
      </c>
      <c r="M88">
        <f t="shared" si="10"/>
        <v>173</v>
      </c>
      <c r="N88" t="str">
        <f t="shared" si="11"/>
        <v>Low Economic Priority</v>
      </c>
      <c r="O88" t="str">
        <f>tblComponents[Criticality]</f>
        <v>Low</v>
      </c>
      <c r="P88">
        <f>tblComponents[Planned_Production_or_Procurement]</f>
        <v>3457</v>
      </c>
      <c r="Q88">
        <f t="shared" si="12"/>
        <v>644.15433333333328</v>
      </c>
      <c r="R88" t="str">
        <f t="shared" si="13"/>
        <v>Low</v>
      </c>
      <c r="S88" t="str">
        <f t="shared" si="14"/>
        <v>Low Priority</v>
      </c>
    </row>
    <row r="89" spans="1:19" x14ac:dyDescent="0.35">
      <c r="A89" s="12" t="str">
        <f>tblComponents[Component_ID]</f>
        <v>C088</v>
      </c>
      <c r="B89" s="12" t="str">
        <f>tblComponents[Component_Name]</f>
        <v>Component 088</v>
      </c>
      <c r="C89" t="str">
        <f>tblComponents[Sourcing_Type]</f>
        <v>Make</v>
      </c>
      <c r="D89">
        <f>tblComponents[Forecast_Demand]</f>
        <v>395</v>
      </c>
      <c r="E89">
        <f>tblComponents[Selling_Price_Per_Unit]</f>
        <v>1700.83</v>
      </c>
      <c r="F89">
        <f>tblComponents[Variable_Cost_Per_Unit]</f>
        <v>1049.1099999999999</v>
      </c>
      <c r="G89">
        <f>tblComponents[Direct_Labor_Cost_Per_Unit]</f>
        <v>74.209999999999994</v>
      </c>
      <c r="H89">
        <f>tblComponents[Contribution_Per_Unit]</f>
        <v>651.72</v>
      </c>
      <c r="I89">
        <f>tblComponents[Contribution_Margin]</f>
        <v>0.38319999999999999</v>
      </c>
      <c r="J89">
        <f>tblComponents[Actual_Cycle_Time_Min]/60</f>
        <v>0.18666666666666665</v>
      </c>
      <c r="K89">
        <f t="shared" si="9"/>
        <v>3491.3571428571436</v>
      </c>
      <c r="L89">
        <f>H89*tblComponents[Planned_Production_or_Procurement]</f>
        <v>761208.96000000008</v>
      </c>
      <c r="M89">
        <f t="shared" si="10"/>
        <v>152</v>
      </c>
      <c r="N89" t="str">
        <f t="shared" si="11"/>
        <v>Low Economic Priority</v>
      </c>
      <c r="O89" t="str">
        <f>tblComponents[Criticality]</f>
        <v>Low</v>
      </c>
      <c r="P89">
        <f>tblComponents[Planned_Production_or_Procurement]</f>
        <v>1168</v>
      </c>
      <c r="Q89">
        <f t="shared" si="12"/>
        <v>218.02666666666664</v>
      </c>
      <c r="R89" t="str">
        <f t="shared" si="13"/>
        <v>Low</v>
      </c>
      <c r="S89" t="str">
        <f t="shared" si="14"/>
        <v>Low Priority</v>
      </c>
    </row>
    <row r="90" spans="1:19" x14ac:dyDescent="0.35">
      <c r="A90" s="12" t="str">
        <f>tblComponents[Component_ID]</f>
        <v>C089</v>
      </c>
      <c r="B90" s="12" t="str">
        <f>tblComponents[Component_Name]</f>
        <v>Component 089</v>
      </c>
      <c r="C90" t="str">
        <f>tblComponents[Sourcing_Type]</f>
        <v>Make</v>
      </c>
      <c r="D90">
        <f>tblComponents[Forecast_Demand]</f>
        <v>1371</v>
      </c>
      <c r="E90">
        <f>tblComponents[Selling_Price_Per_Unit]</f>
        <v>1430.37</v>
      </c>
      <c r="F90">
        <f>tblComponents[Variable_Cost_Per_Unit]</f>
        <v>1021.19</v>
      </c>
      <c r="G90">
        <f>tblComponents[Direct_Labor_Cost_Per_Unit]</f>
        <v>183.18</v>
      </c>
      <c r="H90">
        <f>tblComponents[Contribution_Per_Unit]</f>
        <v>409.18</v>
      </c>
      <c r="I90">
        <f>tblComponents[Contribution_Margin]</f>
        <v>0.28610000000000002</v>
      </c>
      <c r="J90">
        <f>tblComponents[Actual_Cycle_Time_Min]/60</f>
        <v>2.6833333333333334E-2</v>
      </c>
      <c r="K90">
        <f t="shared" si="9"/>
        <v>15248.944099378881</v>
      </c>
      <c r="L90">
        <f>H90*tblComponents[Planned_Production_or_Procurement]</f>
        <v>541345.14</v>
      </c>
      <c r="M90">
        <f t="shared" si="10"/>
        <v>10</v>
      </c>
      <c r="N90" t="str">
        <f t="shared" si="11"/>
        <v>High Economic Priority</v>
      </c>
      <c r="O90" t="str">
        <f>tblComponents[Criticality]</f>
        <v>Low</v>
      </c>
      <c r="P90">
        <f>tblComponents[Planned_Production_or_Procurement]</f>
        <v>1323</v>
      </c>
      <c r="Q90">
        <f t="shared" si="12"/>
        <v>35.500500000000002</v>
      </c>
      <c r="R90" t="str">
        <f t="shared" si="13"/>
        <v>Low</v>
      </c>
      <c r="S90" t="str">
        <f t="shared" si="14"/>
        <v>High Priority</v>
      </c>
    </row>
    <row r="91" spans="1:19" x14ac:dyDescent="0.35">
      <c r="A91" s="12" t="str">
        <f>tblComponents[Component_ID]</f>
        <v>C090</v>
      </c>
      <c r="B91" s="12" t="str">
        <f>tblComponents[Component_Name]</f>
        <v>Component 090</v>
      </c>
      <c r="C91" t="str">
        <f>tblComponents[Sourcing_Type]</f>
        <v>Make</v>
      </c>
      <c r="D91">
        <f>tblComponents[Forecast_Demand]</f>
        <v>521</v>
      </c>
      <c r="E91">
        <f>tblComponents[Selling_Price_Per_Unit]</f>
        <v>2419.73</v>
      </c>
      <c r="F91">
        <f>tblComponents[Variable_Cost_Per_Unit]</f>
        <v>1935.61</v>
      </c>
      <c r="G91">
        <f>tblComponents[Direct_Labor_Cost_Per_Unit]</f>
        <v>93.45</v>
      </c>
      <c r="H91">
        <f>tblComponents[Contribution_Per_Unit]</f>
        <v>484.12</v>
      </c>
      <c r="I91">
        <f>tblComponents[Contribution_Margin]</f>
        <v>0.2001</v>
      </c>
      <c r="J91">
        <f>tblComponents[Actual_Cycle_Time_Min]/60</f>
        <v>0.255</v>
      </c>
      <c r="K91">
        <f t="shared" si="9"/>
        <v>1898.5098039215686</v>
      </c>
      <c r="L91">
        <f>H91*tblComponents[Planned_Production_or_Procurement]</f>
        <v>368899.44</v>
      </c>
      <c r="M91">
        <f t="shared" si="10"/>
        <v>230</v>
      </c>
      <c r="N91" t="str">
        <f t="shared" si="11"/>
        <v>Low Economic Priority</v>
      </c>
      <c r="O91" t="str">
        <f>tblComponents[Criticality]</f>
        <v>Medium</v>
      </c>
      <c r="P91">
        <f>tblComponents[Planned_Production_or_Procurement]</f>
        <v>762</v>
      </c>
      <c r="Q91">
        <f t="shared" si="12"/>
        <v>194.31</v>
      </c>
      <c r="R91" t="str">
        <f t="shared" si="13"/>
        <v>Medium</v>
      </c>
      <c r="S91" t="str">
        <f t="shared" si="14"/>
        <v>Medium Priority</v>
      </c>
    </row>
    <row r="92" spans="1:19" x14ac:dyDescent="0.35">
      <c r="A92" s="12" t="str">
        <f>tblComponents[Component_ID]</f>
        <v>C091</v>
      </c>
      <c r="B92" s="12" t="str">
        <f>tblComponents[Component_Name]</f>
        <v>Component 091</v>
      </c>
      <c r="C92" t="str">
        <f>tblComponents[Sourcing_Type]</f>
        <v>Make</v>
      </c>
      <c r="D92">
        <f>tblComponents[Forecast_Demand]</f>
        <v>1715</v>
      </c>
      <c r="E92">
        <f>tblComponents[Selling_Price_Per_Unit]</f>
        <v>501.51</v>
      </c>
      <c r="F92">
        <f>tblComponents[Variable_Cost_Per_Unit]</f>
        <v>348.95</v>
      </c>
      <c r="G92">
        <f>tblComponents[Direct_Labor_Cost_Per_Unit]</f>
        <v>19.010000000000002</v>
      </c>
      <c r="H92">
        <f>tblComponents[Contribution_Per_Unit]</f>
        <v>152.56</v>
      </c>
      <c r="I92">
        <f>tblComponents[Contribution_Margin]</f>
        <v>0.30420000000000003</v>
      </c>
      <c r="J92">
        <f>tblComponents[Actual_Cycle_Time_Min]/60</f>
        <v>3.4666666666666665E-2</v>
      </c>
      <c r="K92">
        <f t="shared" si="9"/>
        <v>4400.7692307692314</v>
      </c>
      <c r="L92">
        <f>H92*tblComponents[Planned_Production_or_Procurement]</f>
        <v>248825.36000000002</v>
      </c>
      <c r="M92">
        <f t="shared" si="10"/>
        <v>121</v>
      </c>
      <c r="N92" t="str">
        <f t="shared" si="11"/>
        <v>Medium Economic Priority</v>
      </c>
      <c r="O92" t="str">
        <f>tblComponents[Criticality]</f>
        <v>High</v>
      </c>
      <c r="P92">
        <f>tblComponents[Planned_Production_or_Procurement]</f>
        <v>1631</v>
      </c>
      <c r="Q92">
        <f t="shared" si="12"/>
        <v>56.541333333333334</v>
      </c>
      <c r="R92" t="str">
        <f t="shared" si="13"/>
        <v>High</v>
      </c>
      <c r="S92" t="str">
        <f t="shared" si="14"/>
        <v>High Priority</v>
      </c>
    </row>
    <row r="93" spans="1:19" x14ac:dyDescent="0.35">
      <c r="A93" s="12" t="str">
        <f>tblComponents[Component_ID]</f>
        <v>C092</v>
      </c>
      <c r="B93" s="12" t="str">
        <f>tblComponents[Component_Name]</f>
        <v>Component 092</v>
      </c>
      <c r="C93" t="str">
        <f>tblComponents[Sourcing_Type]</f>
        <v>Make</v>
      </c>
      <c r="D93">
        <f>tblComponents[Forecast_Demand]</f>
        <v>403</v>
      </c>
      <c r="E93">
        <f>tblComponents[Selling_Price_Per_Unit]</f>
        <v>1113.0899999999999</v>
      </c>
      <c r="F93">
        <f>tblComponents[Variable_Cost_Per_Unit]</f>
        <v>739.4</v>
      </c>
      <c r="G93">
        <f>tblComponents[Direct_Labor_Cost_Per_Unit]</f>
        <v>15.27</v>
      </c>
      <c r="H93">
        <f>tblComponents[Contribution_Per_Unit]</f>
        <v>373.69</v>
      </c>
      <c r="I93">
        <f>tblComponents[Contribution_Margin]</f>
        <v>0.3357</v>
      </c>
      <c r="J93">
        <f>tblComponents[Actual_Cycle_Time_Min]/60</f>
        <v>0.16449999999999998</v>
      </c>
      <c r="K93">
        <f t="shared" si="9"/>
        <v>2271.6717325227964</v>
      </c>
      <c r="L93">
        <f>H93*tblComponents[Planned_Production_or_Procurement]</f>
        <v>895361.24</v>
      </c>
      <c r="M93">
        <f t="shared" si="10"/>
        <v>205</v>
      </c>
      <c r="N93" t="str">
        <f t="shared" si="11"/>
        <v>Low Economic Priority</v>
      </c>
      <c r="O93" t="str">
        <f>tblComponents[Criticality]</f>
        <v>Medium</v>
      </c>
      <c r="P93">
        <f>tblComponents[Planned_Production_or_Procurement]</f>
        <v>2396</v>
      </c>
      <c r="Q93">
        <f t="shared" si="12"/>
        <v>394.14199999999994</v>
      </c>
      <c r="R93" t="str">
        <f t="shared" si="13"/>
        <v>Medium</v>
      </c>
      <c r="S93" t="str">
        <f t="shared" si="14"/>
        <v>Medium Priority</v>
      </c>
    </row>
    <row r="94" spans="1:19" x14ac:dyDescent="0.35">
      <c r="A94" s="12" t="str">
        <f>tblComponents[Component_ID]</f>
        <v>C093</v>
      </c>
      <c r="B94" s="12" t="str">
        <f>tblComponents[Component_Name]</f>
        <v>Component 093</v>
      </c>
      <c r="C94" t="str">
        <f>tblComponents[Sourcing_Type]</f>
        <v>Make</v>
      </c>
      <c r="D94">
        <f>tblComponents[Forecast_Demand]</f>
        <v>1281</v>
      </c>
      <c r="E94">
        <f>tblComponents[Selling_Price_Per_Unit]</f>
        <v>2822.11</v>
      </c>
      <c r="F94">
        <f>tblComponents[Variable_Cost_Per_Unit]</f>
        <v>1878.17</v>
      </c>
      <c r="G94">
        <f>tblComponents[Direct_Labor_Cost_Per_Unit]</f>
        <v>37.479999999999997</v>
      </c>
      <c r="H94">
        <f>tblComponents[Contribution_Per_Unit]</f>
        <v>943.94</v>
      </c>
      <c r="I94">
        <f>tblComponents[Contribution_Margin]</f>
        <v>0.33450000000000002</v>
      </c>
      <c r="J94">
        <f>tblComponents[Actual_Cycle_Time_Min]/60</f>
        <v>0.22016666666666668</v>
      </c>
      <c r="K94">
        <f t="shared" si="9"/>
        <v>4287.3883421650262</v>
      </c>
      <c r="L94">
        <f>H94*tblComponents[Planned_Production_or_Procurement]</f>
        <v>1045885.52</v>
      </c>
      <c r="M94">
        <f t="shared" si="10"/>
        <v>127</v>
      </c>
      <c r="N94" t="str">
        <f t="shared" si="11"/>
        <v>Medium Economic Priority</v>
      </c>
      <c r="O94" t="str">
        <f>tblComponents[Criticality]</f>
        <v>Low</v>
      </c>
      <c r="P94">
        <f>tblComponents[Planned_Production_or_Procurement]</f>
        <v>1108</v>
      </c>
      <c r="Q94">
        <f t="shared" si="12"/>
        <v>243.94466666666668</v>
      </c>
      <c r="R94" t="str">
        <f t="shared" si="13"/>
        <v>Low</v>
      </c>
      <c r="S94" t="str">
        <f t="shared" si="14"/>
        <v>Medium Priority</v>
      </c>
    </row>
    <row r="95" spans="1:19" x14ac:dyDescent="0.35">
      <c r="A95" s="12" t="str">
        <f>tblComponents[Component_ID]</f>
        <v>C094</v>
      </c>
      <c r="B95" s="12" t="str">
        <f>tblComponents[Component_Name]</f>
        <v>Component 094</v>
      </c>
      <c r="C95" t="str">
        <f>tblComponents[Sourcing_Type]</f>
        <v>Make</v>
      </c>
      <c r="D95">
        <f>tblComponents[Forecast_Demand]</f>
        <v>770</v>
      </c>
      <c r="E95">
        <f>tblComponents[Selling_Price_Per_Unit]</f>
        <v>2802.81</v>
      </c>
      <c r="F95">
        <f>tblComponents[Variable_Cost_Per_Unit]</f>
        <v>2017.01</v>
      </c>
      <c r="G95">
        <f>tblComponents[Direct_Labor_Cost_Per_Unit]</f>
        <v>91.72</v>
      </c>
      <c r="H95">
        <f>tblComponents[Contribution_Per_Unit]</f>
        <v>785.8</v>
      </c>
      <c r="I95">
        <f>tblComponents[Contribution_Margin]</f>
        <v>0.28039999999999998</v>
      </c>
      <c r="J95">
        <f>tblComponents[Actual_Cycle_Time_Min]/60</f>
        <v>0.49299999999999999</v>
      </c>
      <c r="K95">
        <f t="shared" si="9"/>
        <v>1593.9148073022311</v>
      </c>
      <c r="L95">
        <f>H95*tblComponents[Planned_Production_or_Procurement]</f>
        <v>231811</v>
      </c>
      <c r="M95">
        <f t="shared" si="10"/>
        <v>250</v>
      </c>
      <c r="N95" t="str">
        <f t="shared" si="11"/>
        <v>Low Economic Priority</v>
      </c>
      <c r="O95" t="str">
        <f>tblComponents[Criticality]</f>
        <v>High</v>
      </c>
      <c r="P95">
        <f>tblComponents[Planned_Production_or_Procurement]</f>
        <v>295</v>
      </c>
      <c r="Q95">
        <f t="shared" si="12"/>
        <v>145.435</v>
      </c>
      <c r="R95" t="str">
        <f t="shared" si="13"/>
        <v>High</v>
      </c>
      <c r="S95" t="str">
        <f t="shared" si="14"/>
        <v>High Priority</v>
      </c>
    </row>
    <row r="96" spans="1:19" x14ac:dyDescent="0.35">
      <c r="A96" s="12" t="str">
        <f>tblComponents[Component_ID]</f>
        <v>C095</v>
      </c>
      <c r="B96" s="12" t="str">
        <f>tblComponents[Component_Name]</f>
        <v>Component 095</v>
      </c>
      <c r="C96" t="str">
        <f>tblComponents[Sourcing_Type]</f>
        <v>Make</v>
      </c>
      <c r="D96">
        <f>tblComponents[Forecast_Demand]</f>
        <v>375</v>
      </c>
      <c r="E96">
        <f>tblComponents[Selling_Price_Per_Unit]</f>
        <v>607.62</v>
      </c>
      <c r="F96">
        <f>tblComponents[Variable_Cost_Per_Unit]</f>
        <v>506.08</v>
      </c>
      <c r="G96">
        <f>tblComponents[Direct_Labor_Cost_Per_Unit]</f>
        <v>29.08</v>
      </c>
      <c r="H96">
        <f>tblComponents[Contribution_Per_Unit]</f>
        <v>101.54</v>
      </c>
      <c r="I96">
        <f>tblComponents[Contribution_Margin]</f>
        <v>0.1671</v>
      </c>
      <c r="J96">
        <f>tblComponents[Actual_Cycle_Time_Min]/60</f>
        <v>1.3333333333333334E-2</v>
      </c>
      <c r="K96">
        <f t="shared" si="9"/>
        <v>7615.5</v>
      </c>
      <c r="L96">
        <f>H96*tblComponents[Planned_Production_or_Procurement]</f>
        <v>1378811.6600000001</v>
      </c>
      <c r="M96">
        <f t="shared" si="10"/>
        <v>51</v>
      </c>
      <c r="N96" t="str">
        <f t="shared" si="11"/>
        <v>High Economic Priority</v>
      </c>
      <c r="O96" t="str">
        <f>tblComponents[Criticality]</f>
        <v>Medium</v>
      </c>
      <c r="P96">
        <f>tblComponents[Planned_Production_or_Procurement]</f>
        <v>13579</v>
      </c>
      <c r="Q96">
        <f t="shared" si="12"/>
        <v>181.05333333333334</v>
      </c>
      <c r="R96" t="str">
        <f t="shared" si="13"/>
        <v>Medium</v>
      </c>
      <c r="S96" t="str">
        <f t="shared" si="14"/>
        <v>High Priority</v>
      </c>
    </row>
    <row r="97" spans="1:19" x14ac:dyDescent="0.35">
      <c r="A97" s="12" t="str">
        <f>tblComponents[Component_ID]</f>
        <v>C096</v>
      </c>
      <c r="B97" s="12" t="str">
        <f>tblComponents[Component_Name]</f>
        <v>Component 096</v>
      </c>
      <c r="C97" t="str">
        <f>tblComponents[Sourcing_Type]</f>
        <v>Make</v>
      </c>
      <c r="D97">
        <f>tblComponents[Forecast_Demand]</f>
        <v>735</v>
      </c>
      <c r="E97">
        <f>tblComponents[Selling_Price_Per_Unit]</f>
        <v>1765.35</v>
      </c>
      <c r="F97">
        <f>tblComponents[Variable_Cost_Per_Unit]</f>
        <v>1336.76</v>
      </c>
      <c r="G97">
        <f>tblComponents[Direct_Labor_Cost_Per_Unit]</f>
        <v>10.28</v>
      </c>
      <c r="H97">
        <f>tblComponents[Contribution_Per_Unit]</f>
        <v>428.59</v>
      </c>
      <c r="I97">
        <f>tblComponents[Contribution_Margin]</f>
        <v>0.24279999999999999</v>
      </c>
      <c r="J97">
        <f>tblComponents[Actual_Cycle_Time_Min]/60</f>
        <v>6.2166666666666669E-2</v>
      </c>
      <c r="K97">
        <f t="shared" si="9"/>
        <v>6894.209115281501</v>
      </c>
      <c r="L97">
        <f>H97*tblComponents[Planned_Production_or_Procurement]</f>
        <v>1627784.8199999998</v>
      </c>
      <c r="M97">
        <f t="shared" si="10"/>
        <v>61</v>
      </c>
      <c r="N97" t="str">
        <f t="shared" si="11"/>
        <v>High Economic Priority</v>
      </c>
      <c r="O97" t="str">
        <f>tblComponents[Criticality]</f>
        <v>Medium</v>
      </c>
      <c r="P97">
        <f>tblComponents[Planned_Production_or_Procurement]</f>
        <v>3798</v>
      </c>
      <c r="Q97">
        <f t="shared" si="12"/>
        <v>236.10900000000001</v>
      </c>
      <c r="R97" t="str">
        <f t="shared" si="13"/>
        <v>Medium</v>
      </c>
      <c r="S97" t="str">
        <f t="shared" si="14"/>
        <v>High Priority</v>
      </c>
    </row>
    <row r="98" spans="1:19" x14ac:dyDescent="0.35">
      <c r="A98" s="12" t="str">
        <f>tblComponents[Component_ID]</f>
        <v>C097</v>
      </c>
      <c r="B98" s="12" t="str">
        <f>tblComponents[Component_Name]</f>
        <v>Component 097</v>
      </c>
      <c r="C98" t="str">
        <f>tblComponents[Sourcing_Type]</f>
        <v>Make</v>
      </c>
      <c r="D98">
        <f>tblComponents[Forecast_Demand]</f>
        <v>118</v>
      </c>
      <c r="E98">
        <f>tblComponents[Selling_Price_Per_Unit]</f>
        <v>1148.97</v>
      </c>
      <c r="F98">
        <f>tblComponents[Variable_Cost_Per_Unit]</f>
        <v>712.14</v>
      </c>
      <c r="G98">
        <f>tblComponents[Direct_Labor_Cost_Per_Unit]</f>
        <v>87.69</v>
      </c>
      <c r="H98">
        <f>tblComponents[Contribution_Per_Unit]</f>
        <v>436.83</v>
      </c>
      <c r="I98">
        <f>tblComponents[Contribution_Margin]</f>
        <v>0.38019999999999998</v>
      </c>
      <c r="J98">
        <f>tblComponents[Actual_Cycle_Time_Min]/60</f>
        <v>7.8166666666666676E-2</v>
      </c>
      <c r="K98">
        <f t="shared" si="9"/>
        <v>5588.4434968017049</v>
      </c>
      <c r="L98">
        <f>H98*tblComponents[Planned_Production_or_Procurement]</f>
        <v>738242.7</v>
      </c>
      <c r="M98">
        <f t="shared" si="10"/>
        <v>86</v>
      </c>
      <c r="N98" t="str">
        <f t="shared" si="11"/>
        <v>Medium Economic Priority</v>
      </c>
      <c r="O98" t="str">
        <f>tblComponents[Criticality]</f>
        <v>Medium</v>
      </c>
      <c r="P98">
        <f>tblComponents[Planned_Production_or_Procurement]</f>
        <v>1690</v>
      </c>
      <c r="Q98">
        <f t="shared" si="12"/>
        <v>132.10166666666669</v>
      </c>
      <c r="R98" t="str">
        <f t="shared" si="13"/>
        <v>Medium</v>
      </c>
      <c r="S98" t="str">
        <f t="shared" si="14"/>
        <v>Medium Priority</v>
      </c>
    </row>
    <row r="99" spans="1:19" x14ac:dyDescent="0.35">
      <c r="A99" s="12" t="str">
        <f>tblComponents[Component_ID]</f>
        <v>C098</v>
      </c>
      <c r="B99" s="12" t="str">
        <f>tblComponents[Component_Name]</f>
        <v>Component 098</v>
      </c>
      <c r="C99" t="str">
        <f>tblComponents[Sourcing_Type]</f>
        <v>Make</v>
      </c>
      <c r="D99">
        <f>tblComponents[Forecast_Demand]</f>
        <v>2626</v>
      </c>
      <c r="E99">
        <f>tblComponents[Selling_Price_Per_Unit]</f>
        <v>2158.64</v>
      </c>
      <c r="F99">
        <f>tblComponents[Variable_Cost_Per_Unit]</f>
        <v>1519.44</v>
      </c>
      <c r="G99">
        <f>tblComponents[Direct_Labor_Cost_Per_Unit]</f>
        <v>21.1</v>
      </c>
      <c r="H99">
        <f>tblComponents[Contribution_Per_Unit]</f>
        <v>639.20000000000005</v>
      </c>
      <c r="I99">
        <f>tblComponents[Contribution_Margin]</f>
        <v>0.29609999999999997</v>
      </c>
      <c r="J99">
        <f>tblComponents[Actual_Cycle_Time_Min]/60</f>
        <v>4.7833333333333332E-2</v>
      </c>
      <c r="K99">
        <f t="shared" si="9"/>
        <v>13363.066202090593</v>
      </c>
      <c r="L99">
        <f>H99*tblComponents[Planned_Production_or_Procurement]</f>
        <v>1086000.8</v>
      </c>
      <c r="M99">
        <f t="shared" si="10"/>
        <v>15</v>
      </c>
      <c r="N99" t="str">
        <f t="shared" si="11"/>
        <v>High Economic Priority</v>
      </c>
      <c r="O99" t="str">
        <f>tblComponents[Criticality]</f>
        <v>High</v>
      </c>
      <c r="P99">
        <f>tblComponents[Planned_Production_or_Procurement]</f>
        <v>1699</v>
      </c>
      <c r="Q99">
        <f t="shared" si="12"/>
        <v>81.268833333333333</v>
      </c>
      <c r="R99" t="str">
        <f t="shared" si="13"/>
        <v>High</v>
      </c>
      <c r="S99" t="str">
        <f t="shared" si="14"/>
        <v>High Priority</v>
      </c>
    </row>
    <row r="100" spans="1:19" x14ac:dyDescent="0.35">
      <c r="A100" s="12" t="str">
        <f>tblComponents[Component_ID]</f>
        <v>C099</v>
      </c>
      <c r="B100" s="12" t="str">
        <f>tblComponents[Component_Name]</f>
        <v>Component 099</v>
      </c>
      <c r="C100" t="str">
        <f>tblComponents[Sourcing_Type]</f>
        <v>Make</v>
      </c>
      <c r="D100">
        <f>tblComponents[Forecast_Demand]</f>
        <v>1174</v>
      </c>
      <c r="E100">
        <f>tblComponents[Selling_Price_Per_Unit]</f>
        <v>1592.85</v>
      </c>
      <c r="F100">
        <f>tblComponents[Variable_Cost_Per_Unit]</f>
        <v>1139.55</v>
      </c>
      <c r="G100">
        <f>tblComponents[Direct_Labor_Cost_Per_Unit]</f>
        <v>171.42</v>
      </c>
      <c r="H100">
        <f>tblComponents[Contribution_Per_Unit]</f>
        <v>453.3</v>
      </c>
      <c r="I100">
        <f>tblComponents[Contribution_Margin]</f>
        <v>0.28460000000000002</v>
      </c>
      <c r="J100">
        <f>tblComponents[Actual_Cycle_Time_Min]/60</f>
        <v>0.20716666666666667</v>
      </c>
      <c r="K100">
        <f t="shared" si="9"/>
        <v>2188.0933226065972</v>
      </c>
      <c r="L100">
        <f>H100*tblComponents[Planned_Production_or_Procurement]</f>
        <v>377145.60000000003</v>
      </c>
      <c r="M100">
        <f t="shared" si="10"/>
        <v>213</v>
      </c>
      <c r="N100" t="str">
        <f t="shared" si="11"/>
        <v>Low Economic Priority</v>
      </c>
      <c r="O100" t="str">
        <f>tblComponents[Criticality]</f>
        <v>Critical</v>
      </c>
      <c r="P100">
        <f>tblComponents[Planned_Production_or_Procurement]</f>
        <v>832</v>
      </c>
      <c r="Q100">
        <f t="shared" si="12"/>
        <v>172.36266666666666</v>
      </c>
      <c r="R100" t="str">
        <f t="shared" si="13"/>
        <v>Critical</v>
      </c>
      <c r="S100" t="str">
        <f t="shared" si="14"/>
        <v>Critical Priority</v>
      </c>
    </row>
    <row r="101" spans="1:19" x14ac:dyDescent="0.35">
      <c r="A101" s="12" t="str">
        <f>tblComponents[Component_ID]</f>
        <v>C100</v>
      </c>
      <c r="B101" s="12" t="str">
        <f>tblComponents[Component_Name]</f>
        <v>Component 100</v>
      </c>
      <c r="C101" t="str">
        <f>tblComponents[Sourcing_Type]</f>
        <v>Make</v>
      </c>
      <c r="D101">
        <f>tblComponents[Forecast_Demand]</f>
        <v>495</v>
      </c>
      <c r="E101">
        <f>tblComponents[Selling_Price_Per_Unit]</f>
        <v>1316.72</v>
      </c>
      <c r="F101">
        <f>tblComponents[Variable_Cost_Per_Unit]</f>
        <v>1030.71</v>
      </c>
      <c r="G101">
        <f>tblComponents[Direct_Labor_Cost_Per_Unit]</f>
        <v>60.04</v>
      </c>
      <c r="H101">
        <f>tblComponents[Contribution_Per_Unit]</f>
        <v>286.01</v>
      </c>
      <c r="I101">
        <f>tblComponents[Contribution_Margin]</f>
        <v>0.2172</v>
      </c>
      <c r="J101">
        <f>tblComponents[Actual_Cycle_Time_Min]/60</f>
        <v>6.1499999999999999E-2</v>
      </c>
      <c r="K101">
        <f t="shared" si="9"/>
        <v>4650.5691056910564</v>
      </c>
      <c r="L101">
        <f>H101*tblComponents[Planned_Production_or_Procurement]</f>
        <v>289728.13</v>
      </c>
      <c r="M101">
        <f t="shared" si="10"/>
        <v>113</v>
      </c>
      <c r="N101" t="str">
        <f t="shared" si="11"/>
        <v>Medium Economic Priority</v>
      </c>
      <c r="O101" t="str">
        <f>tblComponents[Criticality]</f>
        <v>Low</v>
      </c>
      <c r="P101">
        <f>tblComponents[Planned_Production_or_Procurement]</f>
        <v>1013</v>
      </c>
      <c r="Q101">
        <f t="shared" si="12"/>
        <v>62.299500000000002</v>
      </c>
      <c r="R101" t="str">
        <f t="shared" si="13"/>
        <v>Low</v>
      </c>
      <c r="S101" t="str">
        <f t="shared" si="14"/>
        <v>Medium Priority</v>
      </c>
    </row>
    <row r="102" spans="1:19" x14ac:dyDescent="0.35">
      <c r="A102" s="12" t="str">
        <f>tblComponents[Component_ID]</f>
        <v>C101</v>
      </c>
      <c r="B102" s="12" t="str">
        <f>tblComponents[Component_Name]</f>
        <v>Component 101</v>
      </c>
      <c r="C102" t="str">
        <f>tblComponents[Sourcing_Type]</f>
        <v>Make</v>
      </c>
      <c r="D102">
        <f>tblComponents[Forecast_Demand]</f>
        <v>377</v>
      </c>
      <c r="E102">
        <f>tblComponents[Selling_Price_Per_Unit]</f>
        <v>1423.26</v>
      </c>
      <c r="F102">
        <f>tblComponents[Variable_Cost_Per_Unit]</f>
        <v>1078.67</v>
      </c>
      <c r="G102">
        <f>tblComponents[Direct_Labor_Cost_Per_Unit]</f>
        <v>9.16</v>
      </c>
      <c r="H102">
        <f>tblComponents[Contribution_Per_Unit]</f>
        <v>344.59</v>
      </c>
      <c r="I102">
        <f>tblComponents[Contribution_Margin]</f>
        <v>0.24210000000000001</v>
      </c>
      <c r="J102">
        <f>tblComponents[Actual_Cycle_Time_Min]/60</f>
        <v>0.11366666666666667</v>
      </c>
      <c r="K102">
        <f t="shared" si="9"/>
        <v>3031.5835777126099</v>
      </c>
      <c r="L102">
        <f>H102*tblComponents[Planned_Production_or_Procurement]</f>
        <v>1227774.17</v>
      </c>
      <c r="M102">
        <f t="shared" si="10"/>
        <v>170</v>
      </c>
      <c r="N102" t="str">
        <f t="shared" si="11"/>
        <v>Low Economic Priority</v>
      </c>
      <c r="O102" t="str">
        <f>tblComponents[Criticality]</f>
        <v>Low</v>
      </c>
      <c r="P102">
        <f>tblComponents[Planned_Production_or_Procurement]</f>
        <v>3563</v>
      </c>
      <c r="Q102">
        <f t="shared" si="12"/>
        <v>404.99433333333332</v>
      </c>
      <c r="R102" t="str">
        <f t="shared" si="13"/>
        <v>Low</v>
      </c>
      <c r="S102" t="str">
        <f t="shared" si="14"/>
        <v>Low Priority</v>
      </c>
    </row>
    <row r="103" spans="1:19" x14ac:dyDescent="0.35">
      <c r="A103" s="12" t="str">
        <f>tblComponents[Component_ID]</f>
        <v>C102</v>
      </c>
      <c r="B103" s="12" t="str">
        <f>tblComponents[Component_Name]</f>
        <v>Component 102</v>
      </c>
      <c r="C103" t="str">
        <f>tblComponents[Sourcing_Type]</f>
        <v>Make</v>
      </c>
      <c r="D103">
        <f>tblComponents[Forecast_Demand]</f>
        <v>1495</v>
      </c>
      <c r="E103">
        <f>tblComponents[Selling_Price_Per_Unit]</f>
        <v>1471.23</v>
      </c>
      <c r="F103">
        <f>tblComponents[Variable_Cost_Per_Unit]</f>
        <v>921.23</v>
      </c>
      <c r="G103">
        <f>tblComponents[Direct_Labor_Cost_Per_Unit]</f>
        <v>28.65</v>
      </c>
      <c r="H103">
        <f>tblComponents[Contribution_Per_Unit]</f>
        <v>550</v>
      </c>
      <c r="I103">
        <f>tblComponents[Contribution_Margin]</f>
        <v>0.37380000000000002</v>
      </c>
      <c r="J103">
        <f>tblComponents[Actual_Cycle_Time_Min]/60</f>
        <v>1.9833333333333331E-2</v>
      </c>
      <c r="K103">
        <f t="shared" si="9"/>
        <v>27731.092436974792</v>
      </c>
      <c r="L103">
        <f>H103*tblComponents[Planned_Production_or_Procurement]</f>
        <v>4461050</v>
      </c>
      <c r="M103">
        <f t="shared" si="10"/>
        <v>3</v>
      </c>
      <c r="N103" t="str">
        <f t="shared" si="11"/>
        <v>High Economic Priority</v>
      </c>
      <c r="O103" t="str">
        <f>tblComponents[Criticality]</f>
        <v>Medium</v>
      </c>
      <c r="P103">
        <f>tblComponents[Planned_Production_or_Procurement]</f>
        <v>8111</v>
      </c>
      <c r="Q103">
        <f t="shared" si="12"/>
        <v>160.86816666666664</v>
      </c>
      <c r="R103" t="str">
        <f t="shared" si="13"/>
        <v>Medium</v>
      </c>
      <c r="S103" t="str">
        <f t="shared" si="14"/>
        <v>High Priority</v>
      </c>
    </row>
    <row r="104" spans="1:19" x14ac:dyDescent="0.35">
      <c r="A104" s="12" t="str">
        <f>tblComponents[Component_ID]</f>
        <v>C103</v>
      </c>
      <c r="B104" s="12" t="str">
        <f>tblComponents[Component_Name]</f>
        <v>Component 103</v>
      </c>
      <c r="C104" t="str">
        <f>tblComponents[Sourcing_Type]</f>
        <v>Make</v>
      </c>
      <c r="D104">
        <f>tblComponents[Forecast_Demand]</f>
        <v>741</v>
      </c>
      <c r="E104">
        <f>tblComponents[Selling_Price_Per_Unit]</f>
        <v>3064.98</v>
      </c>
      <c r="F104">
        <f>tblComponents[Variable_Cost_Per_Unit]</f>
        <v>2094.56</v>
      </c>
      <c r="G104">
        <f>tblComponents[Direct_Labor_Cost_Per_Unit]</f>
        <v>75.69</v>
      </c>
      <c r="H104">
        <f>tblComponents[Contribution_Per_Unit]</f>
        <v>970.42</v>
      </c>
      <c r="I104">
        <f>tblComponents[Contribution_Margin]</f>
        <v>0.31659999999999999</v>
      </c>
      <c r="J104">
        <f>tblComponents[Actual_Cycle_Time_Min]/60</f>
        <v>0.15783333333333335</v>
      </c>
      <c r="K104">
        <f t="shared" si="9"/>
        <v>6148.3843717001046</v>
      </c>
      <c r="L104">
        <f>H104*tblComponents[Planned_Production_or_Procurement]</f>
        <v>663767.28</v>
      </c>
      <c r="M104">
        <f t="shared" si="10"/>
        <v>74</v>
      </c>
      <c r="N104" t="str">
        <f t="shared" si="11"/>
        <v>High Economic Priority</v>
      </c>
      <c r="O104" t="str">
        <f>tblComponents[Criticality]</f>
        <v>Medium</v>
      </c>
      <c r="P104">
        <f>tblComponents[Planned_Production_or_Procurement]</f>
        <v>684</v>
      </c>
      <c r="Q104">
        <f t="shared" si="12"/>
        <v>107.95800000000001</v>
      </c>
      <c r="R104" t="str">
        <f t="shared" si="13"/>
        <v>Medium</v>
      </c>
      <c r="S104" t="str">
        <f t="shared" si="14"/>
        <v>High Priority</v>
      </c>
    </row>
    <row r="105" spans="1:19" x14ac:dyDescent="0.35">
      <c r="A105" s="12" t="str">
        <f>tblComponents[Component_ID]</f>
        <v>C104</v>
      </c>
      <c r="B105" s="12" t="str">
        <f>tblComponents[Component_Name]</f>
        <v>Component 104</v>
      </c>
      <c r="C105" t="str">
        <f>tblComponents[Sourcing_Type]</f>
        <v>Make</v>
      </c>
      <c r="D105">
        <f>tblComponents[Forecast_Demand]</f>
        <v>2118</v>
      </c>
      <c r="E105">
        <f>tblComponents[Selling_Price_Per_Unit]</f>
        <v>2133.1</v>
      </c>
      <c r="F105">
        <f>tblComponents[Variable_Cost_Per_Unit]</f>
        <v>1393.24</v>
      </c>
      <c r="G105">
        <f>tblComponents[Direct_Labor_Cost_Per_Unit]</f>
        <v>15.79</v>
      </c>
      <c r="H105">
        <f>tblComponents[Contribution_Per_Unit]</f>
        <v>739.86</v>
      </c>
      <c r="I105">
        <f>tblComponents[Contribution_Margin]</f>
        <v>0.3468</v>
      </c>
      <c r="J105">
        <f>tblComponents[Actual_Cycle_Time_Min]/60</f>
        <v>8.6500000000000007E-2</v>
      </c>
      <c r="K105">
        <f t="shared" si="9"/>
        <v>8553.2947976878604</v>
      </c>
      <c r="L105">
        <f>H105*tblComponents[Planned_Production_or_Procurement]</f>
        <v>13438817.040000001</v>
      </c>
      <c r="M105">
        <f t="shared" si="10"/>
        <v>41</v>
      </c>
      <c r="N105" t="str">
        <f t="shared" si="11"/>
        <v>High Economic Priority</v>
      </c>
      <c r="O105" t="str">
        <f>tblComponents[Criticality]</f>
        <v>Low</v>
      </c>
      <c r="P105">
        <f>tblComponents[Planned_Production_or_Procurement]</f>
        <v>18164</v>
      </c>
      <c r="Q105">
        <f t="shared" si="12"/>
        <v>1571.1860000000001</v>
      </c>
      <c r="R105" t="str">
        <f t="shared" si="13"/>
        <v>Low</v>
      </c>
      <c r="S105" t="str">
        <f t="shared" si="14"/>
        <v>High Priority</v>
      </c>
    </row>
    <row r="106" spans="1:19" x14ac:dyDescent="0.35">
      <c r="A106" s="12" t="str">
        <f>tblComponents[Component_ID]</f>
        <v>C105</v>
      </c>
      <c r="B106" s="12" t="str">
        <f>tblComponents[Component_Name]</f>
        <v>Component 105</v>
      </c>
      <c r="C106" t="str">
        <f>tblComponents[Sourcing_Type]</f>
        <v>Make</v>
      </c>
      <c r="D106">
        <f>tblComponents[Forecast_Demand]</f>
        <v>298</v>
      </c>
      <c r="E106">
        <f>tblComponents[Selling_Price_Per_Unit]</f>
        <v>2881.76</v>
      </c>
      <c r="F106">
        <f>tblComponents[Variable_Cost_Per_Unit]</f>
        <v>2122.17</v>
      </c>
      <c r="G106">
        <f>tblComponents[Direct_Labor_Cost_Per_Unit]</f>
        <v>72.09</v>
      </c>
      <c r="H106">
        <f>tblComponents[Contribution_Per_Unit]</f>
        <v>759.59</v>
      </c>
      <c r="I106">
        <f>tblComponents[Contribution_Margin]</f>
        <v>0.2636</v>
      </c>
      <c r="J106">
        <f>tblComponents[Actual_Cycle_Time_Min]/60</f>
        <v>0.18916666666666665</v>
      </c>
      <c r="K106">
        <f t="shared" si="9"/>
        <v>4015.4537444933926</v>
      </c>
      <c r="L106">
        <f>H106*tblComponents[Planned_Production_or_Procurement]</f>
        <v>3006457.22</v>
      </c>
      <c r="M106">
        <f t="shared" si="10"/>
        <v>133</v>
      </c>
      <c r="N106" t="str">
        <f t="shared" si="11"/>
        <v>Medium Economic Priority</v>
      </c>
      <c r="O106" t="str">
        <f>tblComponents[Criticality]</f>
        <v>Critical</v>
      </c>
      <c r="P106">
        <f>tblComponents[Planned_Production_or_Procurement]</f>
        <v>3958</v>
      </c>
      <c r="Q106">
        <f t="shared" si="12"/>
        <v>748.72166666666658</v>
      </c>
      <c r="R106" t="str">
        <f t="shared" si="13"/>
        <v>Critical</v>
      </c>
      <c r="S106" t="str">
        <f t="shared" si="14"/>
        <v>Critical Priority</v>
      </c>
    </row>
    <row r="107" spans="1:19" x14ac:dyDescent="0.35">
      <c r="A107" s="12" t="str">
        <f>tblComponents[Component_ID]</f>
        <v>C106</v>
      </c>
      <c r="B107" s="12" t="str">
        <f>tblComponents[Component_Name]</f>
        <v>Component 106</v>
      </c>
      <c r="C107" t="str">
        <f>tblComponents[Sourcing_Type]</f>
        <v>Make</v>
      </c>
      <c r="D107">
        <f>tblComponents[Forecast_Demand]</f>
        <v>118</v>
      </c>
      <c r="E107">
        <f>tblComponents[Selling_Price_Per_Unit]</f>
        <v>644.05999999999995</v>
      </c>
      <c r="F107">
        <f>tblComponents[Variable_Cost_Per_Unit]</f>
        <v>445.97</v>
      </c>
      <c r="G107">
        <f>tblComponents[Direct_Labor_Cost_Per_Unit]</f>
        <v>57.36</v>
      </c>
      <c r="H107">
        <f>tblComponents[Contribution_Per_Unit]</f>
        <v>198.09</v>
      </c>
      <c r="I107">
        <f>tblComponents[Contribution_Margin]</f>
        <v>0.30759999999999998</v>
      </c>
      <c r="J107">
        <f>tblComponents[Actual_Cycle_Time_Min]/60</f>
        <v>0.12000000000000001</v>
      </c>
      <c r="K107">
        <f t="shared" si="9"/>
        <v>1650.75</v>
      </c>
      <c r="L107">
        <f>H107*tblComponents[Planned_Production_or_Procurement]</f>
        <v>1020955.86</v>
      </c>
      <c r="M107">
        <f t="shared" si="10"/>
        <v>248</v>
      </c>
      <c r="N107" t="str">
        <f t="shared" si="11"/>
        <v>Low Economic Priority</v>
      </c>
      <c r="O107" t="str">
        <f>tblComponents[Criticality]</f>
        <v>Medium</v>
      </c>
      <c r="P107">
        <f>tblComponents[Planned_Production_or_Procurement]</f>
        <v>5154</v>
      </c>
      <c r="Q107">
        <f t="shared" si="12"/>
        <v>618.48</v>
      </c>
      <c r="R107" t="str">
        <f t="shared" si="13"/>
        <v>Medium</v>
      </c>
      <c r="S107" t="str">
        <f t="shared" si="14"/>
        <v>Medium Priority</v>
      </c>
    </row>
    <row r="108" spans="1:19" x14ac:dyDescent="0.35">
      <c r="A108" s="12" t="str">
        <f>tblComponents[Component_ID]</f>
        <v>C107</v>
      </c>
      <c r="B108" s="12" t="str">
        <f>tblComponents[Component_Name]</f>
        <v>Component 107</v>
      </c>
      <c r="C108" t="str">
        <f>tblComponents[Sourcing_Type]</f>
        <v>Make</v>
      </c>
      <c r="D108">
        <f>tblComponents[Forecast_Demand]</f>
        <v>2766</v>
      </c>
      <c r="E108">
        <f>tblComponents[Selling_Price_Per_Unit]</f>
        <v>1234.73</v>
      </c>
      <c r="F108">
        <f>tblComponents[Variable_Cost_Per_Unit]</f>
        <v>972.85</v>
      </c>
      <c r="G108">
        <f>tblComponents[Direct_Labor_Cost_Per_Unit]</f>
        <v>39.96</v>
      </c>
      <c r="H108">
        <f>tblComponents[Contribution_Per_Unit]</f>
        <v>261.88</v>
      </c>
      <c r="I108">
        <f>tblComponents[Contribution_Margin]</f>
        <v>0.21210000000000001</v>
      </c>
      <c r="J108">
        <f>tblComponents[Actual_Cycle_Time_Min]/60</f>
        <v>0.186</v>
      </c>
      <c r="K108">
        <f t="shared" si="9"/>
        <v>1407.9569892473119</v>
      </c>
      <c r="L108">
        <f>H108*tblComponents[Planned_Production_or_Procurement]</f>
        <v>545234.16</v>
      </c>
      <c r="M108">
        <f t="shared" si="10"/>
        <v>264</v>
      </c>
      <c r="N108" t="str">
        <f t="shared" si="11"/>
        <v>Low Economic Priority</v>
      </c>
      <c r="O108" t="str">
        <f>tblComponents[Criticality]</f>
        <v>Medium</v>
      </c>
      <c r="P108">
        <f>tblComponents[Planned_Production_or_Procurement]</f>
        <v>2082</v>
      </c>
      <c r="Q108">
        <f t="shared" si="12"/>
        <v>387.25200000000001</v>
      </c>
      <c r="R108" t="str">
        <f t="shared" si="13"/>
        <v>Medium</v>
      </c>
      <c r="S108" t="str">
        <f t="shared" si="14"/>
        <v>Medium Priority</v>
      </c>
    </row>
    <row r="109" spans="1:19" x14ac:dyDescent="0.35">
      <c r="A109" s="12" t="str">
        <f>tblComponents[Component_ID]</f>
        <v>C108</v>
      </c>
      <c r="B109" s="12" t="str">
        <f>tblComponents[Component_Name]</f>
        <v>Component 108</v>
      </c>
      <c r="C109" t="str">
        <f>tblComponents[Sourcing_Type]</f>
        <v>Make</v>
      </c>
      <c r="D109">
        <f>tblComponents[Forecast_Demand]</f>
        <v>1127</v>
      </c>
      <c r="E109">
        <f>tblComponents[Selling_Price_Per_Unit]</f>
        <v>2071.1999999999998</v>
      </c>
      <c r="F109">
        <f>tblComponents[Variable_Cost_Per_Unit]</f>
        <v>1395.23</v>
      </c>
      <c r="G109">
        <f>tblComponents[Direct_Labor_Cost_Per_Unit]</f>
        <v>35.58</v>
      </c>
      <c r="H109">
        <f>tblComponents[Contribution_Per_Unit]</f>
        <v>675.97</v>
      </c>
      <c r="I109">
        <f>tblComponents[Contribution_Margin]</f>
        <v>0.32640000000000002</v>
      </c>
      <c r="J109">
        <f>tblComponents[Actual_Cycle_Time_Min]/60</f>
        <v>0.156</v>
      </c>
      <c r="K109">
        <f t="shared" si="9"/>
        <v>4333.1410256410254</v>
      </c>
      <c r="L109">
        <f>H109*tblComponents[Planned_Production_or_Procurement]</f>
        <v>1132249.75</v>
      </c>
      <c r="M109">
        <f t="shared" si="10"/>
        <v>126</v>
      </c>
      <c r="N109" t="str">
        <f t="shared" si="11"/>
        <v>Medium Economic Priority</v>
      </c>
      <c r="O109" t="str">
        <f>tblComponents[Criticality]</f>
        <v>Critical</v>
      </c>
      <c r="P109">
        <f>tblComponents[Planned_Production_or_Procurement]</f>
        <v>1675</v>
      </c>
      <c r="Q109">
        <f t="shared" si="12"/>
        <v>261.3</v>
      </c>
      <c r="R109" t="str">
        <f t="shared" si="13"/>
        <v>Critical</v>
      </c>
      <c r="S109" t="str">
        <f t="shared" si="14"/>
        <v>Critical Priority</v>
      </c>
    </row>
    <row r="110" spans="1:19" x14ac:dyDescent="0.35">
      <c r="A110" s="12" t="str">
        <f>tblComponents[Component_ID]</f>
        <v>C109</v>
      </c>
      <c r="B110" s="12" t="str">
        <f>tblComponents[Component_Name]</f>
        <v>Component 109</v>
      </c>
      <c r="C110" t="str">
        <f>tblComponents[Sourcing_Type]</f>
        <v>Make</v>
      </c>
      <c r="D110">
        <f>tblComponents[Forecast_Demand]</f>
        <v>1135</v>
      </c>
      <c r="E110">
        <f>tblComponents[Selling_Price_Per_Unit]</f>
        <v>1211.0899999999999</v>
      </c>
      <c r="F110">
        <f>tblComponents[Variable_Cost_Per_Unit]</f>
        <v>899.96</v>
      </c>
      <c r="G110">
        <f>tblComponents[Direct_Labor_Cost_Per_Unit]</f>
        <v>11.38</v>
      </c>
      <c r="H110">
        <f>tblComponents[Contribution_Per_Unit]</f>
        <v>311.13</v>
      </c>
      <c r="I110">
        <f>tblComponents[Contribution_Margin]</f>
        <v>0.25690000000000002</v>
      </c>
      <c r="J110">
        <f>tblComponents[Actual_Cycle_Time_Min]/60</f>
        <v>9.0000000000000011E-2</v>
      </c>
      <c r="K110">
        <f t="shared" si="9"/>
        <v>3456.9999999999995</v>
      </c>
      <c r="L110">
        <f>H110*tblComponents[Planned_Production_or_Procurement]</f>
        <v>1466044.56</v>
      </c>
      <c r="M110">
        <f t="shared" si="10"/>
        <v>155</v>
      </c>
      <c r="N110" t="str">
        <f t="shared" si="11"/>
        <v>Low Economic Priority</v>
      </c>
      <c r="O110" t="str">
        <f>tblComponents[Criticality]</f>
        <v>Medium</v>
      </c>
      <c r="P110">
        <f>tblComponents[Planned_Production_or_Procurement]</f>
        <v>4712</v>
      </c>
      <c r="Q110">
        <f t="shared" si="12"/>
        <v>424.08000000000004</v>
      </c>
      <c r="R110" t="str">
        <f t="shared" si="13"/>
        <v>Medium</v>
      </c>
      <c r="S110" t="str">
        <f t="shared" si="14"/>
        <v>Medium Priority</v>
      </c>
    </row>
    <row r="111" spans="1:19" x14ac:dyDescent="0.35">
      <c r="A111" s="12" t="str">
        <f>tblComponents[Component_ID]</f>
        <v>C110</v>
      </c>
      <c r="B111" s="12" t="str">
        <f>tblComponents[Component_Name]</f>
        <v>Component 110</v>
      </c>
      <c r="C111" t="str">
        <f>tblComponents[Sourcing_Type]</f>
        <v>Make</v>
      </c>
      <c r="D111">
        <f>tblComponents[Forecast_Demand]</f>
        <v>710</v>
      </c>
      <c r="E111">
        <f>tblComponents[Selling_Price_Per_Unit]</f>
        <v>1507.95</v>
      </c>
      <c r="F111">
        <f>tblComponents[Variable_Cost_Per_Unit]</f>
        <v>1114.92</v>
      </c>
      <c r="G111">
        <f>tblComponents[Direct_Labor_Cost_Per_Unit]</f>
        <v>4.41</v>
      </c>
      <c r="H111">
        <f>tblComponents[Contribution_Per_Unit]</f>
        <v>393.03</v>
      </c>
      <c r="I111">
        <f>tblComponents[Contribution_Margin]</f>
        <v>0.2606</v>
      </c>
      <c r="J111">
        <f>tblComponents[Actual_Cycle_Time_Min]/60</f>
        <v>0.15733333333333333</v>
      </c>
      <c r="K111">
        <f t="shared" si="9"/>
        <v>2498.0720338983051</v>
      </c>
      <c r="L111">
        <f>H111*tblComponents[Planned_Production_or_Procurement]</f>
        <v>811213.91999999993</v>
      </c>
      <c r="M111">
        <f t="shared" si="10"/>
        <v>194</v>
      </c>
      <c r="N111" t="str">
        <f t="shared" si="11"/>
        <v>Low Economic Priority</v>
      </c>
      <c r="O111" t="str">
        <f>tblComponents[Criticality]</f>
        <v>Low</v>
      </c>
      <c r="P111">
        <f>tblComponents[Planned_Production_or_Procurement]</f>
        <v>2064</v>
      </c>
      <c r="Q111">
        <f t="shared" si="12"/>
        <v>324.73599999999999</v>
      </c>
      <c r="R111" t="str">
        <f t="shared" si="13"/>
        <v>Low</v>
      </c>
      <c r="S111" t="str">
        <f t="shared" si="14"/>
        <v>Low Priority</v>
      </c>
    </row>
    <row r="112" spans="1:19" x14ac:dyDescent="0.35">
      <c r="A112" s="12" t="str">
        <f>tblComponents[Component_ID]</f>
        <v>C111</v>
      </c>
      <c r="B112" s="12" t="str">
        <f>tblComponents[Component_Name]</f>
        <v>Component 111</v>
      </c>
      <c r="C112" t="str">
        <f>tblComponents[Sourcing_Type]</f>
        <v>Make</v>
      </c>
      <c r="D112">
        <f>tblComponents[Forecast_Demand]</f>
        <v>270</v>
      </c>
      <c r="E112">
        <f>tblComponents[Selling_Price_Per_Unit]</f>
        <v>499.6</v>
      </c>
      <c r="F112">
        <f>tblComponents[Variable_Cost_Per_Unit]</f>
        <v>343.56</v>
      </c>
      <c r="G112">
        <f>tblComponents[Direct_Labor_Cost_Per_Unit]</f>
        <v>13.5</v>
      </c>
      <c r="H112">
        <f>tblComponents[Contribution_Per_Unit]</f>
        <v>156.04</v>
      </c>
      <c r="I112">
        <f>tblComponents[Contribution_Margin]</f>
        <v>0.31230000000000002</v>
      </c>
      <c r="J112">
        <f>tblComponents[Actual_Cycle_Time_Min]/60</f>
        <v>0.10349999999999999</v>
      </c>
      <c r="K112">
        <f t="shared" si="9"/>
        <v>1507.6328502415458</v>
      </c>
      <c r="L112">
        <f>H112*tblComponents[Planned_Production_or_Procurement]</f>
        <v>1569762.4</v>
      </c>
      <c r="M112">
        <f t="shared" si="10"/>
        <v>259</v>
      </c>
      <c r="N112" t="str">
        <f t="shared" si="11"/>
        <v>Low Economic Priority</v>
      </c>
      <c r="O112" t="str">
        <f>tblComponents[Criticality]</f>
        <v>Low</v>
      </c>
      <c r="P112">
        <f>tblComponents[Planned_Production_or_Procurement]</f>
        <v>10060</v>
      </c>
      <c r="Q112">
        <f t="shared" si="12"/>
        <v>1041.21</v>
      </c>
      <c r="R112" t="str">
        <f t="shared" si="13"/>
        <v>Low</v>
      </c>
      <c r="S112" t="str">
        <f t="shared" si="14"/>
        <v>Low Priority</v>
      </c>
    </row>
    <row r="113" spans="1:19" x14ac:dyDescent="0.35">
      <c r="A113" s="12" t="str">
        <f>tblComponents[Component_ID]</f>
        <v>C112</v>
      </c>
      <c r="B113" s="12" t="str">
        <f>tblComponents[Component_Name]</f>
        <v>Component 112</v>
      </c>
      <c r="C113" t="str">
        <f>tblComponents[Sourcing_Type]</f>
        <v>Make</v>
      </c>
      <c r="D113">
        <f>tblComponents[Forecast_Demand]</f>
        <v>3062</v>
      </c>
      <c r="E113">
        <f>tblComponents[Selling_Price_Per_Unit]</f>
        <v>855.31</v>
      </c>
      <c r="F113">
        <f>tblComponents[Variable_Cost_Per_Unit]</f>
        <v>526.80999999999995</v>
      </c>
      <c r="G113">
        <f>tblComponents[Direct_Labor_Cost_Per_Unit]</f>
        <v>11.54</v>
      </c>
      <c r="H113">
        <f>tblComponents[Contribution_Per_Unit]</f>
        <v>328.5</v>
      </c>
      <c r="I113">
        <f>tblComponents[Contribution_Margin]</f>
        <v>0.3841</v>
      </c>
      <c r="J113">
        <f>tblComponents[Actual_Cycle_Time_Min]/60</f>
        <v>0.16633333333333333</v>
      </c>
      <c r="K113">
        <f t="shared" si="9"/>
        <v>1974.9498997995993</v>
      </c>
      <c r="L113">
        <f>H113*tblComponents[Planned_Production_or_Procurement]</f>
        <v>692149.5</v>
      </c>
      <c r="M113">
        <f t="shared" si="10"/>
        <v>224</v>
      </c>
      <c r="N113" t="str">
        <f t="shared" si="11"/>
        <v>Low Economic Priority</v>
      </c>
      <c r="O113" t="str">
        <f>tblComponents[Criticality]</f>
        <v>Low</v>
      </c>
      <c r="P113">
        <f>tblComponents[Planned_Production_or_Procurement]</f>
        <v>2107</v>
      </c>
      <c r="Q113">
        <f t="shared" si="12"/>
        <v>350.46433333333334</v>
      </c>
      <c r="R113" t="str">
        <f t="shared" si="13"/>
        <v>Low</v>
      </c>
      <c r="S113" t="str">
        <f t="shared" si="14"/>
        <v>Low Priority</v>
      </c>
    </row>
    <row r="114" spans="1:19" x14ac:dyDescent="0.35">
      <c r="A114" s="12" t="str">
        <f>tblComponents[Component_ID]</f>
        <v>C113</v>
      </c>
      <c r="B114" s="12" t="str">
        <f>tblComponents[Component_Name]</f>
        <v>Component 113</v>
      </c>
      <c r="C114" t="str">
        <f>tblComponents[Sourcing_Type]</f>
        <v>Make</v>
      </c>
      <c r="D114">
        <f>tblComponents[Forecast_Demand]</f>
        <v>1372</v>
      </c>
      <c r="E114">
        <f>tblComponents[Selling_Price_Per_Unit]</f>
        <v>1808.8</v>
      </c>
      <c r="F114">
        <f>tblComponents[Variable_Cost_Per_Unit]</f>
        <v>1508.54</v>
      </c>
      <c r="G114">
        <f>tblComponents[Direct_Labor_Cost_Per_Unit]</f>
        <v>26.25</v>
      </c>
      <c r="H114">
        <f>tblComponents[Contribution_Per_Unit]</f>
        <v>300.26</v>
      </c>
      <c r="I114">
        <f>tblComponents[Contribution_Margin]</f>
        <v>0.16600000000000001</v>
      </c>
      <c r="J114">
        <f>tblComponents[Actual_Cycle_Time_Min]/60</f>
        <v>0.12416666666666668</v>
      </c>
      <c r="K114">
        <f t="shared" si="9"/>
        <v>2418.2013422818791</v>
      </c>
      <c r="L114">
        <f>H114*tblComponents[Planned_Production_or_Procurement]</f>
        <v>548575.02</v>
      </c>
      <c r="M114">
        <f t="shared" si="10"/>
        <v>198</v>
      </c>
      <c r="N114" t="str">
        <f t="shared" si="11"/>
        <v>Low Economic Priority</v>
      </c>
      <c r="O114" t="str">
        <f>tblComponents[Criticality]</f>
        <v>Low</v>
      </c>
      <c r="P114">
        <f>tblComponents[Planned_Production_or_Procurement]</f>
        <v>1827</v>
      </c>
      <c r="Q114">
        <f t="shared" si="12"/>
        <v>226.85250000000002</v>
      </c>
      <c r="R114" t="str">
        <f t="shared" si="13"/>
        <v>Low</v>
      </c>
      <c r="S114" t="str">
        <f t="shared" si="14"/>
        <v>Low Priority</v>
      </c>
    </row>
    <row r="115" spans="1:19" x14ac:dyDescent="0.35">
      <c r="A115" s="12" t="str">
        <f>tblComponents[Component_ID]</f>
        <v>C114</v>
      </c>
      <c r="B115" s="12" t="str">
        <f>tblComponents[Component_Name]</f>
        <v>Component 114</v>
      </c>
      <c r="C115" t="str">
        <f>tblComponents[Sourcing_Type]</f>
        <v>Make</v>
      </c>
      <c r="D115">
        <f>tblComponents[Forecast_Demand]</f>
        <v>2814</v>
      </c>
      <c r="E115">
        <f>tblComponents[Selling_Price_Per_Unit]</f>
        <v>1826.43</v>
      </c>
      <c r="F115">
        <f>tblComponents[Variable_Cost_Per_Unit]</f>
        <v>1175.8800000000001</v>
      </c>
      <c r="G115">
        <f>tblComponents[Direct_Labor_Cost_Per_Unit]</f>
        <v>72.88</v>
      </c>
      <c r="H115">
        <f>tblComponents[Contribution_Per_Unit]</f>
        <v>650.54999999999995</v>
      </c>
      <c r="I115">
        <f>tblComponents[Contribution_Margin]</f>
        <v>0.35620000000000002</v>
      </c>
      <c r="J115">
        <f>tblComponents[Actual_Cycle_Time_Min]/60</f>
        <v>0.17816666666666667</v>
      </c>
      <c r="K115">
        <f t="shared" si="9"/>
        <v>3651.3564078578106</v>
      </c>
      <c r="L115">
        <f>H115*tblComponents[Planned_Production_or_Procurement]</f>
        <v>1063649.25</v>
      </c>
      <c r="M115">
        <f t="shared" si="10"/>
        <v>144</v>
      </c>
      <c r="N115" t="str">
        <f t="shared" si="11"/>
        <v>Medium Economic Priority</v>
      </c>
      <c r="O115" t="str">
        <f>tblComponents[Criticality]</f>
        <v>High</v>
      </c>
      <c r="P115">
        <f>tblComponents[Planned_Production_or_Procurement]</f>
        <v>1635</v>
      </c>
      <c r="Q115">
        <f t="shared" si="12"/>
        <v>291.30250000000001</v>
      </c>
      <c r="R115" t="str">
        <f t="shared" si="13"/>
        <v>High</v>
      </c>
      <c r="S115" t="str">
        <f t="shared" si="14"/>
        <v>High Priority</v>
      </c>
    </row>
    <row r="116" spans="1:19" x14ac:dyDescent="0.35">
      <c r="A116" s="12" t="str">
        <f>tblComponents[Component_ID]</f>
        <v>C115</v>
      </c>
      <c r="B116" s="12" t="str">
        <f>tblComponents[Component_Name]</f>
        <v>Component 115</v>
      </c>
      <c r="C116" t="str">
        <f>tblComponents[Sourcing_Type]</f>
        <v>Make</v>
      </c>
      <c r="D116">
        <f>tblComponents[Forecast_Demand]</f>
        <v>434</v>
      </c>
      <c r="E116">
        <f>tblComponents[Selling_Price_Per_Unit]</f>
        <v>1597.28</v>
      </c>
      <c r="F116">
        <f>tblComponents[Variable_Cost_Per_Unit]</f>
        <v>1240.93</v>
      </c>
      <c r="G116">
        <f>tblComponents[Direct_Labor_Cost_Per_Unit]</f>
        <v>72.44</v>
      </c>
      <c r="H116">
        <f>tblComponents[Contribution_Per_Unit]</f>
        <v>356.35</v>
      </c>
      <c r="I116">
        <f>tblComponents[Contribution_Margin]</f>
        <v>0.22309999999999999</v>
      </c>
      <c r="J116">
        <f>tblComponents[Actual_Cycle_Time_Min]/60</f>
        <v>0.20716666666666667</v>
      </c>
      <c r="K116">
        <f t="shared" si="9"/>
        <v>1720.1126307320999</v>
      </c>
      <c r="L116">
        <f>H116*tblComponents[Planned_Production_or_Procurement]</f>
        <v>502097.15</v>
      </c>
      <c r="M116">
        <f t="shared" si="10"/>
        <v>243</v>
      </c>
      <c r="N116" t="str">
        <f t="shared" si="11"/>
        <v>Low Economic Priority</v>
      </c>
      <c r="O116" t="str">
        <f>tblComponents[Criticality]</f>
        <v>Medium</v>
      </c>
      <c r="P116">
        <f>tblComponents[Planned_Production_or_Procurement]</f>
        <v>1409</v>
      </c>
      <c r="Q116">
        <f t="shared" si="12"/>
        <v>291.89783333333332</v>
      </c>
      <c r="R116" t="str">
        <f t="shared" si="13"/>
        <v>Medium</v>
      </c>
      <c r="S116" t="str">
        <f t="shared" si="14"/>
        <v>Medium Priority</v>
      </c>
    </row>
    <row r="117" spans="1:19" x14ac:dyDescent="0.35">
      <c r="A117" s="12" t="str">
        <f>tblComponents[Component_ID]</f>
        <v>C116</v>
      </c>
      <c r="B117" s="12" t="str">
        <f>tblComponents[Component_Name]</f>
        <v>Component 116</v>
      </c>
      <c r="C117" t="str">
        <f>tblComponents[Sourcing_Type]</f>
        <v>Make</v>
      </c>
      <c r="D117">
        <f>tblComponents[Forecast_Demand]</f>
        <v>446</v>
      </c>
      <c r="E117">
        <f>tblComponents[Selling_Price_Per_Unit]</f>
        <v>2487.44</v>
      </c>
      <c r="F117">
        <f>tblComponents[Variable_Cost_Per_Unit]</f>
        <v>1838.27</v>
      </c>
      <c r="G117">
        <f>tblComponents[Direct_Labor_Cost_Per_Unit]</f>
        <v>35.08</v>
      </c>
      <c r="H117">
        <f>tblComponents[Contribution_Per_Unit]</f>
        <v>649.16999999999996</v>
      </c>
      <c r="I117">
        <f>tblComponents[Contribution_Margin]</f>
        <v>0.26100000000000001</v>
      </c>
      <c r="J117">
        <f>tblComponents[Actual_Cycle_Time_Min]/60</f>
        <v>0.10200000000000001</v>
      </c>
      <c r="K117">
        <f t="shared" si="9"/>
        <v>6364.4117647058811</v>
      </c>
      <c r="L117">
        <f>H117*tblComponents[Planned_Production_or_Procurement]</f>
        <v>7125289.9199999999</v>
      </c>
      <c r="M117">
        <f t="shared" si="10"/>
        <v>69</v>
      </c>
      <c r="N117" t="str">
        <f t="shared" si="11"/>
        <v>High Economic Priority</v>
      </c>
      <c r="O117" t="str">
        <f>tblComponents[Criticality]</f>
        <v>High</v>
      </c>
      <c r="P117">
        <f>tblComponents[Planned_Production_or_Procurement]</f>
        <v>10976</v>
      </c>
      <c r="Q117">
        <f t="shared" si="12"/>
        <v>1119.5520000000001</v>
      </c>
      <c r="R117" t="str">
        <f t="shared" si="13"/>
        <v>High</v>
      </c>
      <c r="S117" t="str">
        <f t="shared" si="14"/>
        <v>High Priority</v>
      </c>
    </row>
    <row r="118" spans="1:19" x14ac:dyDescent="0.35">
      <c r="A118" s="12" t="str">
        <f>tblComponents[Component_ID]</f>
        <v>C117</v>
      </c>
      <c r="B118" s="12" t="str">
        <f>tblComponents[Component_Name]</f>
        <v>Component 117</v>
      </c>
      <c r="C118" t="str">
        <f>tblComponents[Sourcing_Type]</f>
        <v>Make</v>
      </c>
      <c r="D118">
        <f>tblComponents[Forecast_Demand]</f>
        <v>1161</v>
      </c>
      <c r="E118">
        <f>tblComponents[Selling_Price_Per_Unit]</f>
        <v>1678.44</v>
      </c>
      <c r="F118">
        <f>tblComponents[Variable_Cost_Per_Unit]</f>
        <v>1417.48</v>
      </c>
      <c r="G118">
        <f>tblComponents[Direct_Labor_Cost_Per_Unit]</f>
        <v>61.52</v>
      </c>
      <c r="H118">
        <f>tblComponents[Contribution_Per_Unit]</f>
        <v>260.95999999999998</v>
      </c>
      <c r="I118">
        <f>tblComponents[Contribution_Margin]</f>
        <v>0.1555</v>
      </c>
      <c r="J118">
        <f>tblComponents[Actual_Cycle_Time_Min]/60</f>
        <v>2.0666666666666667E-2</v>
      </c>
      <c r="K118">
        <f t="shared" si="9"/>
        <v>12627.096774193547</v>
      </c>
      <c r="L118">
        <f>H118*tblComponents[Planned_Production_or_Procurement]</f>
        <v>652400</v>
      </c>
      <c r="M118">
        <f t="shared" si="10"/>
        <v>18</v>
      </c>
      <c r="N118" t="str">
        <f t="shared" si="11"/>
        <v>High Economic Priority</v>
      </c>
      <c r="O118" t="str">
        <f>tblComponents[Criticality]</f>
        <v>Critical</v>
      </c>
      <c r="P118">
        <f>tblComponents[Planned_Production_or_Procurement]</f>
        <v>2500</v>
      </c>
      <c r="Q118">
        <f t="shared" si="12"/>
        <v>51.666666666666664</v>
      </c>
      <c r="R118" t="str">
        <f t="shared" si="13"/>
        <v>Critical</v>
      </c>
      <c r="S118" t="str">
        <f t="shared" si="14"/>
        <v>Critical Priority</v>
      </c>
    </row>
    <row r="119" spans="1:19" x14ac:dyDescent="0.35">
      <c r="A119" s="12" t="str">
        <f>tblComponents[Component_ID]</f>
        <v>C118</v>
      </c>
      <c r="B119" s="12" t="str">
        <f>tblComponents[Component_Name]</f>
        <v>Component 118</v>
      </c>
      <c r="C119" t="str">
        <f>tblComponents[Sourcing_Type]</f>
        <v>Make</v>
      </c>
      <c r="D119">
        <f>tblComponents[Forecast_Demand]</f>
        <v>1649</v>
      </c>
      <c r="E119">
        <f>tblComponents[Selling_Price_Per_Unit]</f>
        <v>1196.1300000000001</v>
      </c>
      <c r="F119">
        <f>tblComponents[Variable_Cost_Per_Unit]</f>
        <v>926.69</v>
      </c>
      <c r="G119">
        <f>tblComponents[Direct_Labor_Cost_Per_Unit]</f>
        <v>46.07</v>
      </c>
      <c r="H119">
        <f>tblComponents[Contribution_Per_Unit]</f>
        <v>269.44</v>
      </c>
      <c r="I119">
        <f>tblComponents[Contribution_Margin]</f>
        <v>0.2253</v>
      </c>
      <c r="J119">
        <f>tblComponents[Actual_Cycle_Time_Min]/60</f>
        <v>8.5833333333333345E-2</v>
      </c>
      <c r="K119">
        <f t="shared" si="9"/>
        <v>3139.1067961165045</v>
      </c>
      <c r="L119">
        <f>H119*tblComponents[Planned_Production_or_Procurement]</f>
        <v>489572.48</v>
      </c>
      <c r="M119">
        <f t="shared" si="10"/>
        <v>165</v>
      </c>
      <c r="N119" t="str">
        <f t="shared" si="11"/>
        <v>Low Economic Priority</v>
      </c>
      <c r="O119" t="str">
        <f>tblComponents[Criticality]</f>
        <v>Medium</v>
      </c>
      <c r="P119">
        <f>tblComponents[Planned_Production_or_Procurement]</f>
        <v>1817</v>
      </c>
      <c r="Q119">
        <f t="shared" si="12"/>
        <v>155.95916666666668</v>
      </c>
      <c r="R119" t="str">
        <f t="shared" si="13"/>
        <v>Medium</v>
      </c>
      <c r="S119" t="str">
        <f t="shared" si="14"/>
        <v>Medium Priority</v>
      </c>
    </row>
    <row r="120" spans="1:19" x14ac:dyDescent="0.35">
      <c r="A120" s="12" t="str">
        <f>tblComponents[Component_ID]</f>
        <v>C119</v>
      </c>
      <c r="B120" s="12" t="str">
        <f>tblComponents[Component_Name]</f>
        <v>Component 119</v>
      </c>
      <c r="C120" t="str">
        <f>tblComponents[Sourcing_Type]</f>
        <v>Make</v>
      </c>
      <c r="D120">
        <f>tblComponents[Forecast_Demand]</f>
        <v>1026</v>
      </c>
      <c r="E120">
        <f>tblComponents[Selling_Price_Per_Unit]</f>
        <v>1194.5899999999999</v>
      </c>
      <c r="F120">
        <f>tblComponents[Variable_Cost_Per_Unit]</f>
        <v>865.29</v>
      </c>
      <c r="G120">
        <f>tblComponents[Direct_Labor_Cost_Per_Unit]</f>
        <v>38.18</v>
      </c>
      <c r="H120">
        <f>tblComponents[Contribution_Per_Unit]</f>
        <v>329.3</v>
      </c>
      <c r="I120">
        <f>tblComponents[Contribution_Margin]</f>
        <v>0.2757</v>
      </c>
      <c r="J120">
        <f>tblComponents[Actual_Cycle_Time_Min]/60</f>
        <v>0.21816666666666668</v>
      </c>
      <c r="K120">
        <f t="shared" si="9"/>
        <v>1509.396485867074</v>
      </c>
      <c r="L120">
        <f>H120*tblComponents[Planned_Production_or_Procurement]</f>
        <v>357290.5</v>
      </c>
      <c r="M120">
        <f t="shared" si="10"/>
        <v>258</v>
      </c>
      <c r="N120" t="str">
        <f t="shared" si="11"/>
        <v>Low Economic Priority</v>
      </c>
      <c r="O120" t="str">
        <f>tblComponents[Criticality]</f>
        <v>Medium</v>
      </c>
      <c r="P120">
        <f>tblComponents[Planned_Production_or_Procurement]</f>
        <v>1085</v>
      </c>
      <c r="Q120">
        <f t="shared" si="12"/>
        <v>236.71083333333334</v>
      </c>
      <c r="R120" t="str">
        <f t="shared" si="13"/>
        <v>Medium</v>
      </c>
      <c r="S120" t="str">
        <f t="shared" si="14"/>
        <v>Medium Priority</v>
      </c>
    </row>
    <row r="121" spans="1:19" x14ac:dyDescent="0.35">
      <c r="A121" s="12" t="str">
        <f>tblComponents[Component_ID]</f>
        <v>C120</v>
      </c>
      <c r="B121" s="12" t="str">
        <f>tblComponents[Component_Name]</f>
        <v>Component 120</v>
      </c>
      <c r="C121" t="str">
        <f>tblComponents[Sourcing_Type]</f>
        <v>Make</v>
      </c>
      <c r="D121">
        <f>tblComponents[Forecast_Demand]</f>
        <v>175</v>
      </c>
      <c r="E121">
        <f>tblComponents[Selling_Price_Per_Unit]</f>
        <v>808.44</v>
      </c>
      <c r="F121">
        <f>tblComponents[Variable_Cost_Per_Unit]</f>
        <v>675.82</v>
      </c>
      <c r="G121">
        <f>tblComponents[Direct_Labor_Cost_Per_Unit]</f>
        <v>116.78</v>
      </c>
      <c r="H121">
        <f>tblComponents[Contribution_Per_Unit]</f>
        <v>132.62</v>
      </c>
      <c r="I121">
        <f>tblComponents[Contribution_Margin]</f>
        <v>0.16400000000000001</v>
      </c>
      <c r="J121">
        <f>tblComponents[Actual_Cycle_Time_Min]/60</f>
        <v>0.13300000000000001</v>
      </c>
      <c r="K121">
        <f t="shared" si="9"/>
        <v>997.14285714285711</v>
      </c>
      <c r="L121">
        <f>H121*tblComponents[Planned_Production_or_Procurement]</f>
        <v>113920.58</v>
      </c>
      <c r="M121">
        <f t="shared" si="10"/>
        <v>287</v>
      </c>
      <c r="N121" t="str">
        <f t="shared" si="11"/>
        <v>Low Economic Priority</v>
      </c>
      <c r="O121" t="str">
        <f>tblComponents[Criticality]</f>
        <v>Medium</v>
      </c>
      <c r="P121">
        <f>tblComponents[Planned_Production_or_Procurement]</f>
        <v>859</v>
      </c>
      <c r="Q121">
        <f t="shared" si="12"/>
        <v>114.247</v>
      </c>
      <c r="R121" t="str">
        <f t="shared" si="13"/>
        <v>Medium</v>
      </c>
      <c r="S121" t="str">
        <f t="shared" si="14"/>
        <v>Medium Priority</v>
      </c>
    </row>
    <row r="122" spans="1:19" x14ac:dyDescent="0.35">
      <c r="A122" s="12" t="str">
        <f>tblComponents[Component_ID]</f>
        <v>C121</v>
      </c>
      <c r="B122" s="12" t="str">
        <f>tblComponents[Component_Name]</f>
        <v>Component 121</v>
      </c>
      <c r="C122" t="str">
        <f>tblComponents[Sourcing_Type]</f>
        <v>Make</v>
      </c>
      <c r="D122">
        <f>tblComponents[Forecast_Demand]</f>
        <v>2976</v>
      </c>
      <c r="E122">
        <f>tblComponents[Selling_Price_Per_Unit]</f>
        <v>2250.65</v>
      </c>
      <c r="F122">
        <f>tblComponents[Variable_Cost_Per_Unit]</f>
        <v>1636.73</v>
      </c>
      <c r="G122">
        <f>tblComponents[Direct_Labor_Cost_Per_Unit]</f>
        <v>8.14</v>
      </c>
      <c r="H122">
        <f>tblComponents[Contribution_Per_Unit]</f>
        <v>613.91999999999996</v>
      </c>
      <c r="I122">
        <f>tblComponents[Contribution_Margin]</f>
        <v>0.27279999999999999</v>
      </c>
      <c r="J122">
        <f>tblComponents[Actual_Cycle_Time_Min]/60</f>
        <v>0.21916666666666668</v>
      </c>
      <c r="K122">
        <f t="shared" si="9"/>
        <v>2801.1558935361213</v>
      </c>
      <c r="L122">
        <f>H122*tblComponents[Planned_Production_or_Procurement]</f>
        <v>1746602.4</v>
      </c>
      <c r="M122">
        <f t="shared" si="10"/>
        <v>179</v>
      </c>
      <c r="N122" t="str">
        <f t="shared" si="11"/>
        <v>Low Economic Priority</v>
      </c>
      <c r="O122" t="str">
        <f>tblComponents[Criticality]</f>
        <v>Low</v>
      </c>
      <c r="P122">
        <f>tblComponents[Planned_Production_or_Procurement]</f>
        <v>2845</v>
      </c>
      <c r="Q122">
        <f t="shared" si="12"/>
        <v>623.5291666666667</v>
      </c>
      <c r="R122" t="str">
        <f t="shared" si="13"/>
        <v>Low</v>
      </c>
      <c r="S122" t="str">
        <f t="shared" si="14"/>
        <v>Low Priority</v>
      </c>
    </row>
    <row r="123" spans="1:19" x14ac:dyDescent="0.35">
      <c r="A123" s="12" t="str">
        <f>tblComponents[Component_ID]</f>
        <v>C122</v>
      </c>
      <c r="B123" s="12" t="str">
        <f>tblComponents[Component_Name]</f>
        <v>Component 122</v>
      </c>
      <c r="C123" t="str">
        <f>tblComponents[Sourcing_Type]</f>
        <v>Make</v>
      </c>
      <c r="D123">
        <f>tblComponents[Forecast_Demand]</f>
        <v>1254</v>
      </c>
      <c r="E123">
        <f>tblComponents[Selling_Price_Per_Unit]</f>
        <v>3003.82</v>
      </c>
      <c r="F123">
        <f>tblComponents[Variable_Cost_Per_Unit]</f>
        <v>1857.03</v>
      </c>
      <c r="G123">
        <f>tblComponents[Direct_Labor_Cost_Per_Unit]</f>
        <v>43.4</v>
      </c>
      <c r="H123">
        <f>tblComponents[Contribution_Per_Unit]</f>
        <v>1146.79</v>
      </c>
      <c r="I123">
        <f>tblComponents[Contribution_Margin]</f>
        <v>0.38179999999999997</v>
      </c>
      <c r="J123">
        <f>tblComponents[Actual_Cycle_Time_Min]/60</f>
        <v>0.13066666666666665</v>
      </c>
      <c r="K123">
        <f t="shared" si="9"/>
        <v>8776.4540816326535</v>
      </c>
      <c r="L123">
        <f>H123*tblComponents[Planned_Production_or_Procurement]</f>
        <v>2344038.7599999998</v>
      </c>
      <c r="M123">
        <f t="shared" si="10"/>
        <v>40</v>
      </c>
      <c r="N123" t="str">
        <f t="shared" si="11"/>
        <v>High Economic Priority</v>
      </c>
      <c r="O123" t="str">
        <f>tblComponents[Criticality]</f>
        <v>Medium</v>
      </c>
      <c r="P123">
        <f>tblComponents[Planned_Production_or_Procurement]</f>
        <v>2044</v>
      </c>
      <c r="Q123">
        <f t="shared" si="12"/>
        <v>267.08266666666663</v>
      </c>
      <c r="R123" t="str">
        <f t="shared" si="13"/>
        <v>Medium</v>
      </c>
      <c r="S123" t="str">
        <f t="shared" si="14"/>
        <v>High Priority</v>
      </c>
    </row>
    <row r="124" spans="1:19" x14ac:dyDescent="0.35">
      <c r="A124" s="12" t="str">
        <f>tblComponents[Component_ID]</f>
        <v>C123</v>
      </c>
      <c r="B124" s="12" t="str">
        <f>tblComponents[Component_Name]</f>
        <v>Component 123</v>
      </c>
      <c r="C124" t="str">
        <f>tblComponents[Sourcing_Type]</f>
        <v>Make</v>
      </c>
      <c r="D124">
        <f>tblComponents[Forecast_Demand]</f>
        <v>333</v>
      </c>
      <c r="E124">
        <f>tblComponents[Selling_Price_Per_Unit]</f>
        <v>640.94000000000005</v>
      </c>
      <c r="F124">
        <f>tblComponents[Variable_Cost_Per_Unit]</f>
        <v>527.91</v>
      </c>
      <c r="G124">
        <f>tblComponents[Direct_Labor_Cost_Per_Unit]</f>
        <v>34.61</v>
      </c>
      <c r="H124">
        <f>tblComponents[Contribution_Per_Unit]</f>
        <v>113.03</v>
      </c>
      <c r="I124">
        <f>tblComponents[Contribution_Margin]</f>
        <v>0.1764</v>
      </c>
      <c r="J124">
        <f>tblComponents[Actual_Cycle_Time_Min]/60</f>
        <v>0.17099999999999999</v>
      </c>
      <c r="K124">
        <f t="shared" si="9"/>
        <v>660.99415204678371</v>
      </c>
      <c r="L124">
        <f>H124*tblComponents[Planned_Production_or_Procurement]</f>
        <v>168866.82</v>
      </c>
      <c r="M124">
        <f t="shared" si="10"/>
        <v>298</v>
      </c>
      <c r="N124" t="str">
        <f t="shared" si="11"/>
        <v>Low Economic Priority</v>
      </c>
      <c r="O124" t="str">
        <f>tblComponents[Criticality]</f>
        <v>Medium</v>
      </c>
      <c r="P124">
        <f>tblComponents[Planned_Production_or_Procurement]</f>
        <v>1494</v>
      </c>
      <c r="Q124">
        <f t="shared" si="12"/>
        <v>255.47399999999999</v>
      </c>
      <c r="R124" t="str">
        <f t="shared" si="13"/>
        <v>Medium</v>
      </c>
      <c r="S124" t="str">
        <f t="shared" si="14"/>
        <v>Medium Priority</v>
      </c>
    </row>
    <row r="125" spans="1:19" x14ac:dyDescent="0.35">
      <c r="A125" s="12" t="str">
        <f>tblComponents[Component_ID]</f>
        <v>C124</v>
      </c>
      <c r="B125" s="12" t="str">
        <f>tblComponents[Component_Name]</f>
        <v>Component 124</v>
      </c>
      <c r="C125" t="str">
        <f>tblComponents[Sourcing_Type]</f>
        <v>Make</v>
      </c>
      <c r="D125">
        <f>tblComponents[Forecast_Demand]</f>
        <v>772</v>
      </c>
      <c r="E125">
        <f>tblComponents[Selling_Price_Per_Unit]</f>
        <v>549.52</v>
      </c>
      <c r="F125">
        <f>tblComponents[Variable_Cost_Per_Unit]</f>
        <v>362.07</v>
      </c>
      <c r="G125">
        <f>tblComponents[Direct_Labor_Cost_Per_Unit]</f>
        <v>13.48</v>
      </c>
      <c r="H125">
        <f>tblComponents[Contribution_Per_Unit]</f>
        <v>187.45</v>
      </c>
      <c r="I125">
        <f>tblComponents[Contribution_Margin]</f>
        <v>0.34110000000000001</v>
      </c>
      <c r="J125">
        <f>tblComponents[Actual_Cycle_Time_Min]/60</f>
        <v>3.95E-2</v>
      </c>
      <c r="K125">
        <f t="shared" si="9"/>
        <v>4745.5696202531644</v>
      </c>
      <c r="L125">
        <f>H125*tblComponents[Planned_Production_or_Procurement]</f>
        <v>851397.89999999991</v>
      </c>
      <c r="M125">
        <f t="shared" si="10"/>
        <v>108</v>
      </c>
      <c r="N125" t="str">
        <f t="shared" si="11"/>
        <v>Medium Economic Priority</v>
      </c>
      <c r="O125" t="str">
        <f>tblComponents[Criticality]</f>
        <v>Medium</v>
      </c>
      <c r="P125">
        <f>tblComponents[Planned_Production_or_Procurement]</f>
        <v>4542</v>
      </c>
      <c r="Q125">
        <f t="shared" si="12"/>
        <v>179.40899999999999</v>
      </c>
      <c r="R125" t="str">
        <f t="shared" si="13"/>
        <v>Medium</v>
      </c>
      <c r="S125" t="str">
        <f t="shared" si="14"/>
        <v>Medium Priority</v>
      </c>
    </row>
    <row r="126" spans="1:19" x14ac:dyDescent="0.35">
      <c r="A126" s="12" t="str">
        <f>tblComponents[Component_ID]</f>
        <v>C125</v>
      </c>
      <c r="B126" s="12" t="str">
        <f>tblComponents[Component_Name]</f>
        <v>Component 125</v>
      </c>
      <c r="C126" t="str">
        <f>tblComponents[Sourcing_Type]</f>
        <v>Make</v>
      </c>
      <c r="D126">
        <f>tblComponents[Forecast_Demand]</f>
        <v>775</v>
      </c>
      <c r="E126">
        <f>tblComponents[Selling_Price_Per_Unit]</f>
        <v>1142.94</v>
      </c>
      <c r="F126">
        <f>tblComponents[Variable_Cost_Per_Unit]</f>
        <v>854.44</v>
      </c>
      <c r="G126">
        <f>tblComponents[Direct_Labor_Cost_Per_Unit]</f>
        <v>36.89</v>
      </c>
      <c r="H126">
        <f>tblComponents[Contribution_Per_Unit]</f>
        <v>288.5</v>
      </c>
      <c r="I126">
        <f>tblComponents[Contribution_Margin]</f>
        <v>0.25240000000000001</v>
      </c>
      <c r="J126">
        <f>tblComponents[Actual_Cycle_Time_Min]/60</f>
        <v>0.10183333333333335</v>
      </c>
      <c r="K126">
        <f t="shared" si="9"/>
        <v>2833.0605564648113</v>
      </c>
      <c r="L126">
        <f>H126*tblComponents[Planned_Production_or_Procurement]</f>
        <v>309849</v>
      </c>
      <c r="M126">
        <f t="shared" si="10"/>
        <v>177</v>
      </c>
      <c r="N126" t="str">
        <f t="shared" si="11"/>
        <v>Low Economic Priority</v>
      </c>
      <c r="O126" t="str">
        <f>tblComponents[Criticality]</f>
        <v>Medium</v>
      </c>
      <c r="P126">
        <f>tblComponents[Planned_Production_or_Procurement]</f>
        <v>1074</v>
      </c>
      <c r="Q126">
        <f t="shared" si="12"/>
        <v>109.36900000000001</v>
      </c>
      <c r="R126" t="str">
        <f t="shared" si="13"/>
        <v>Medium</v>
      </c>
      <c r="S126" t="str">
        <f t="shared" si="14"/>
        <v>Medium Priority</v>
      </c>
    </row>
    <row r="127" spans="1:19" x14ac:dyDescent="0.35">
      <c r="A127" s="12" t="str">
        <f>tblComponents[Component_ID]</f>
        <v>C126</v>
      </c>
      <c r="B127" s="12" t="str">
        <f>tblComponents[Component_Name]</f>
        <v>Component 126</v>
      </c>
      <c r="C127" t="str">
        <f>tblComponents[Sourcing_Type]</f>
        <v>Make</v>
      </c>
      <c r="D127">
        <f>tblComponents[Forecast_Demand]</f>
        <v>1017</v>
      </c>
      <c r="E127">
        <f>tblComponents[Selling_Price_Per_Unit]</f>
        <v>802.31</v>
      </c>
      <c r="F127">
        <f>tblComponents[Variable_Cost_Per_Unit]</f>
        <v>550.54999999999995</v>
      </c>
      <c r="G127">
        <f>tblComponents[Direct_Labor_Cost_Per_Unit]</f>
        <v>18.09</v>
      </c>
      <c r="H127">
        <f>tblComponents[Contribution_Per_Unit]</f>
        <v>251.76</v>
      </c>
      <c r="I127">
        <f>tblComponents[Contribution_Margin]</f>
        <v>0.31380000000000002</v>
      </c>
      <c r="J127">
        <f>tblComponents[Actual_Cycle_Time_Min]/60</f>
        <v>0.16550000000000001</v>
      </c>
      <c r="K127">
        <f t="shared" si="9"/>
        <v>1521.2084592145013</v>
      </c>
      <c r="L127">
        <f>H127*tblComponents[Planned_Production_or_Procurement]</f>
        <v>880152.96</v>
      </c>
      <c r="M127">
        <f t="shared" si="10"/>
        <v>255</v>
      </c>
      <c r="N127" t="str">
        <f t="shared" si="11"/>
        <v>Low Economic Priority</v>
      </c>
      <c r="O127" t="str">
        <f>tblComponents[Criticality]</f>
        <v>High</v>
      </c>
      <c r="P127">
        <f>tblComponents[Planned_Production_or_Procurement]</f>
        <v>3496</v>
      </c>
      <c r="Q127">
        <f t="shared" si="12"/>
        <v>578.58800000000008</v>
      </c>
      <c r="R127" t="str">
        <f t="shared" si="13"/>
        <v>High</v>
      </c>
      <c r="S127" t="str">
        <f t="shared" si="14"/>
        <v>High Priority</v>
      </c>
    </row>
    <row r="128" spans="1:19" x14ac:dyDescent="0.35">
      <c r="A128" s="12" t="str">
        <f>tblComponents[Component_ID]</f>
        <v>C127</v>
      </c>
      <c r="B128" s="12" t="str">
        <f>tblComponents[Component_Name]</f>
        <v>Component 127</v>
      </c>
      <c r="C128" t="str">
        <f>tblComponents[Sourcing_Type]</f>
        <v>Make</v>
      </c>
      <c r="D128">
        <f>tblComponents[Forecast_Demand]</f>
        <v>1033</v>
      </c>
      <c r="E128">
        <f>tblComponents[Selling_Price_Per_Unit]</f>
        <v>1227.53</v>
      </c>
      <c r="F128">
        <f>tblComponents[Variable_Cost_Per_Unit]</f>
        <v>963.54</v>
      </c>
      <c r="G128">
        <f>tblComponents[Direct_Labor_Cost_Per_Unit]</f>
        <v>35.53</v>
      </c>
      <c r="H128">
        <f>tblComponents[Contribution_Per_Unit]</f>
        <v>263.99</v>
      </c>
      <c r="I128">
        <f>tblComponents[Contribution_Margin]</f>
        <v>0.21510000000000001</v>
      </c>
      <c r="J128">
        <f>tblComponents[Actual_Cycle_Time_Min]/60</f>
        <v>5.8333333333333334E-2</v>
      </c>
      <c r="K128">
        <f t="shared" si="9"/>
        <v>4525.5428571428574</v>
      </c>
      <c r="L128">
        <f>H128*tblComponents[Planned_Production_or_Procurement]</f>
        <v>3642534.02</v>
      </c>
      <c r="M128">
        <f t="shared" si="10"/>
        <v>115</v>
      </c>
      <c r="N128" t="str">
        <f t="shared" si="11"/>
        <v>Medium Economic Priority</v>
      </c>
      <c r="O128" t="str">
        <f>tblComponents[Criticality]</f>
        <v>Critical</v>
      </c>
      <c r="P128">
        <f>tblComponents[Planned_Production_or_Procurement]</f>
        <v>13798</v>
      </c>
      <c r="Q128">
        <f t="shared" si="12"/>
        <v>804.88333333333333</v>
      </c>
      <c r="R128" t="str">
        <f t="shared" si="13"/>
        <v>Critical</v>
      </c>
      <c r="S128" t="str">
        <f t="shared" si="14"/>
        <v>Critical Priority</v>
      </c>
    </row>
    <row r="129" spans="1:19" x14ac:dyDescent="0.35">
      <c r="A129" s="12" t="str">
        <f>tblComponents[Component_ID]</f>
        <v>C128</v>
      </c>
      <c r="B129" s="12" t="str">
        <f>tblComponents[Component_Name]</f>
        <v>Component 128</v>
      </c>
      <c r="C129" t="str">
        <f>tblComponents[Sourcing_Type]</f>
        <v>Make</v>
      </c>
      <c r="D129">
        <f>tblComponents[Forecast_Demand]</f>
        <v>271</v>
      </c>
      <c r="E129">
        <f>tblComponents[Selling_Price_Per_Unit]</f>
        <v>2475.04</v>
      </c>
      <c r="F129">
        <f>tblComponents[Variable_Cost_Per_Unit]</f>
        <v>2005.1</v>
      </c>
      <c r="G129">
        <f>tblComponents[Direct_Labor_Cost_Per_Unit]</f>
        <v>78.62</v>
      </c>
      <c r="H129">
        <f>tblComponents[Contribution_Per_Unit]</f>
        <v>469.94</v>
      </c>
      <c r="I129">
        <f>tblComponents[Contribution_Margin]</f>
        <v>0.18990000000000001</v>
      </c>
      <c r="J129">
        <f>tblComponents[Actual_Cycle_Time_Min]/60</f>
        <v>0.13533333333333333</v>
      </c>
      <c r="K129">
        <f t="shared" si="9"/>
        <v>3472.463054187192</v>
      </c>
      <c r="L129">
        <f>H129*tblComponents[Planned_Production_or_Procurement]</f>
        <v>1219494.3</v>
      </c>
      <c r="M129">
        <f t="shared" si="10"/>
        <v>153</v>
      </c>
      <c r="N129" t="str">
        <f t="shared" si="11"/>
        <v>Low Economic Priority</v>
      </c>
      <c r="O129" t="str">
        <f>tblComponents[Criticality]</f>
        <v>Low</v>
      </c>
      <c r="P129">
        <f>tblComponents[Planned_Production_or_Procurement]</f>
        <v>2595</v>
      </c>
      <c r="Q129">
        <f t="shared" si="12"/>
        <v>351.19</v>
      </c>
      <c r="R129" t="str">
        <f t="shared" si="13"/>
        <v>Low</v>
      </c>
      <c r="S129" t="str">
        <f t="shared" si="14"/>
        <v>Low Priority</v>
      </c>
    </row>
    <row r="130" spans="1:19" x14ac:dyDescent="0.35">
      <c r="A130" s="12" t="str">
        <f>tblComponents[Component_ID]</f>
        <v>C129</v>
      </c>
      <c r="B130" s="12" t="str">
        <f>tblComponents[Component_Name]</f>
        <v>Component 129</v>
      </c>
      <c r="C130" t="str">
        <f>tblComponents[Sourcing_Type]</f>
        <v>Make</v>
      </c>
      <c r="D130">
        <f>tblComponents[Forecast_Demand]</f>
        <v>344</v>
      </c>
      <c r="E130">
        <f>tblComponents[Selling_Price_Per_Unit]</f>
        <v>1278.7</v>
      </c>
      <c r="F130">
        <f>tblComponents[Variable_Cost_Per_Unit]</f>
        <v>1035.5999999999999</v>
      </c>
      <c r="G130">
        <f>tblComponents[Direct_Labor_Cost_Per_Unit]</f>
        <v>48.38</v>
      </c>
      <c r="H130">
        <f>tblComponents[Contribution_Per_Unit]</f>
        <v>243.1</v>
      </c>
      <c r="I130">
        <f>tblComponents[Contribution_Margin]</f>
        <v>0.19009999999999999</v>
      </c>
      <c r="J130">
        <f>tblComponents[Actual_Cycle_Time_Min]/60</f>
        <v>0.13783333333333334</v>
      </c>
      <c r="K130">
        <f t="shared" si="9"/>
        <v>1763.7243047158404</v>
      </c>
      <c r="L130">
        <f>H130*tblComponents[Planned_Production_or_Procurement]</f>
        <v>202745.4</v>
      </c>
      <c r="M130">
        <f t="shared" si="10"/>
        <v>240</v>
      </c>
      <c r="N130" t="str">
        <f t="shared" si="11"/>
        <v>Low Economic Priority</v>
      </c>
      <c r="O130" t="str">
        <f>tblComponents[Criticality]</f>
        <v>Medium</v>
      </c>
      <c r="P130">
        <f>tblComponents[Planned_Production_or_Procurement]</f>
        <v>834</v>
      </c>
      <c r="Q130">
        <f t="shared" si="12"/>
        <v>114.953</v>
      </c>
      <c r="R130" t="str">
        <f t="shared" si="13"/>
        <v>Medium</v>
      </c>
      <c r="S130" t="str">
        <f t="shared" si="14"/>
        <v>Medium Priority</v>
      </c>
    </row>
    <row r="131" spans="1:19" x14ac:dyDescent="0.35">
      <c r="A131" s="12" t="str">
        <f>tblComponents[Component_ID]</f>
        <v>C130</v>
      </c>
      <c r="B131" s="12" t="str">
        <f>tblComponents[Component_Name]</f>
        <v>Component 130</v>
      </c>
      <c r="C131" t="str">
        <f>tblComponents[Sourcing_Type]</f>
        <v>Make</v>
      </c>
      <c r="D131">
        <f>tblComponents[Forecast_Demand]</f>
        <v>265</v>
      </c>
      <c r="E131">
        <f>tblComponents[Selling_Price_Per_Unit]</f>
        <v>1593.09</v>
      </c>
      <c r="F131">
        <f>tblComponents[Variable_Cost_Per_Unit]</f>
        <v>1326.05</v>
      </c>
      <c r="G131">
        <f>tblComponents[Direct_Labor_Cost_Per_Unit]</f>
        <v>169.83</v>
      </c>
      <c r="H131">
        <f>tblComponents[Contribution_Per_Unit]</f>
        <v>267.04000000000002</v>
      </c>
      <c r="I131">
        <f>tblComponents[Contribution_Margin]</f>
        <v>0.1676</v>
      </c>
      <c r="J131">
        <f>tblComponents[Actual_Cycle_Time_Min]/60</f>
        <v>0.27283333333333337</v>
      </c>
      <c r="K131">
        <f t="shared" ref="K131:K194" si="15">IFERROR(H131/J131,0)</f>
        <v>978.76603543066574</v>
      </c>
      <c r="L131">
        <f>H131*tblComponents[Planned_Production_or_Procurement]</f>
        <v>111889.76000000001</v>
      </c>
      <c r="M131">
        <f t="shared" ref="M131:M194" si="16">IF(C131="Make",1+COUNTIFS($C$2:$C$501,"Make",$K$2:$K$501,"&gt;"&amp;K131),"")</f>
        <v>288</v>
      </c>
      <c r="N131" t="str">
        <f t="shared" ref="N131:N194" si="17">IF(C131="Buy","Not Applicable",IF(M131&lt;=75,"High Economic Priority",IF(M131&lt;=150,"Medium Economic Priority","Low Economic Priority")))</f>
        <v>Low Economic Priority</v>
      </c>
      <c r="O131" t="str">
        <f>tblComponents[Criticality]</f>
        <v>Critical</v>
      </c>
      <c r="P131">
        <f>tblComponents[Planned_Production_or_Procurement]</f>
        <v>419</v>
      </c>
      <c r="Q131">
        <f t="shared" ref="Q131:Q194" si="18">J131*P131</f>
        <v>114.31716666666668</v>
      </c>
      <c r="R131" t="str">
        <f t="shared" ref="R131:R194" si="19">IF(O131="Critical","Critical",IF(O131="High","High",IF(O131="Medium","Medium","Low")))</f>
        <v>Critical</v>
      </c>
      <c r="S131" t="str">
        <f t="shared" ref="S131:S194" si="20">IF(C131="Buy","Not Applicable",
IF(O131="Critical","Critical Priority",
IF(AND(N131="High Economic Priority",O131="High"),"High Priority",
IF(AND(N131="High Economic Priority",O131="Medium"),"High Priority",
IF(AND(N131="High Economic Priority",O131="Low"),"High Priority",
IF(AND(N131="Medium Economic Priority",O131="High"),"High Priority",
IF(AND(N131="Medium Economic Priority",O131="Medium"),"Medium Priority",
IF(AND(N131="Medium Economic Priority",O131="Low"),"Medium Priority",
IF(AND(N131="Low Economic Priority",O131="High"),"High Priority",
IF(AND(N131="Low Economic Priority",O131="Medium"),"Medium Priority","Low Priority"))))))))))</f>
        <v>Critical Priority</v>
      </c>
    </row>
    <row r="132" spans="1:19" x14ac:dyDescent="0.35">
      <c r="A132" s="12" t="str">
        <f>tblComponents[Component_ID]</f>
        <v>C131</v>
      </c>
      <c r="B132" s="12" t="str">
        <f>tblComponents[Component_Name]</f>
        <v>Component 131</v>
      </c>
      <c r="C132" t="str">
        <f>tblComponents[Sourcing_Type]</f>
        <v>Make</v>
      </c>
      <c r="D132">
        <f>tblComponents[Forecast_Demand]</f>
        <v>2765</v>
      </c>
      <c r="E132">
        <f>tblComponents[Selling_Price_Per_Unit]</f>
        <v>2630.87</v>
      </c>
      <c r="F132">
        <f>tblComponents[Variable_Cost_Per_Unit]</f>
        <v>2114.14</v>
      </c>
      <c r="G132">
        <f>tblComponents[Direct_Labor_Cost_Per_Unit]</f>
        <v>44</v>
      </c>
      <c r="H132">
        <f>tblComponents[Contribution_Per_Unit]</f>
        <v>516.73</v>
      </c>
      <c r="I132">
        <f>tblComponents[Contribution_Margin]</f>
        <v>0.19639999999999999</v>
      </c>
      <c r="J132">
        <f>tblComponents[Actual_Cycle_Time_Min]/60</f>
        <v>0.30866666666666664</v>
      </c>
      <c r="K132">
        <f t="shared" si="15"/>
        <v>1674.0712742980563</v>
      </c>
      <c r="L132">
        <f>H132*tblComponents[Planned_Production_or_Procurement]</f>
        <v>908928.07000000007</v>
      </c>
      <c r="M132">
        <f t="shared" si="16"/>
        <v>247</v>
      </c>
      <c r="N132" t="str">
        <f t="shared" si="17"/>
        <v>Low Economic Priority</v>
      </c>
      <c r="O132" t="str">
        <f>tblComponents[Criticality]</f>
        <v>High</v>
      </c>
      <c r="P132">
        <f>tblComponents[Planned_Production_or_Procurement]</f>
        <v>1759</v>
      </c>
      <c r="Q132">
        <f t="shared" si="18"/>
        <v>542.94466666666665</v>
      </c>
      <c r="R132" t="str">
        <f t="shared" si="19"/>
        <v>High</v>
      </c>
      <c r="S132" t="str">
        <f t="shared" si="20"/>
        <v>High Priority</v>
      </c>
    </row>
    <row r="133" spans="1:19" x14ac:dyDescent="0.35">
      <c r="A133" s="12" t="str">
        <f>tblComponents[Component_ID]</f>
        <v>C132</v>
      </c>
      <c r="B133" s="12" t="str">
        <f>tblComponents[Component_Name]</f>
        <v>Component 132</v>
      </c>
      <c r="C133" t="str">
        <f>tblComponents[Sourcing_Type]</f>
        <v>Make</v>
      </c>
      <c r="D133">
        <f>tblComponents[Forecast_Demand]</f>
        <v>1419</v>
      </c>
      <c r="E133">
        <f>tblComponents[Selling_Price_Per_Unit]</f>
        <v>677.95</v>
      </c>
      <c r="F133">
        <f>tblComponents[Variable_Cost_Per_Unit]</f>
        <v>463.68</v>
      </c>
      <c r="G133">
        <f>tblComponents[Direct_Labor_Cost_Per_Unit]</f>
        <v>28.42</v>
      </c>
      <c r="H133">
        <f>tblComponents[Contribution_Per_Unit]</f>
        <v>214.27</v>
      </c>
      <c r="I133">
        <f>tblComponents[Contribution_Margin]</f>
        <v>0.31609999999999999</v>
      </c>
      <c r="J133">
        <f>tblComponents[Actual_Cycle_Time_Min]/60</f>
        <v>0.14433333333333334</v>
      </c>
      <c r="K133">
        <f t="shared" si="15"/>
        <v>1484.5496535796767</v>
      </c>
      <c r="L133">
        <f>H133*tblComponents[Planned_Production_or_Procurement]</f>
        <v>513819.46</v>
      </c>
      <c r="M133">
        <f t="shared" si="16"/>
        <v>260</v>
      </c>
      <c r="N133" t="str">
        <f t="shared" si="17"/>
        <v>Low Economic Priority</v>
      </c>
      <c r="O133" t="str">
        <f>tblComponents[Criticality]</f>
        <v>Medium</v>
      </c>
      <c r="P133">
        <f>tblComponents[Planned_Production_or_Procurement]</f>
        <v>2398</v>
      </c>
      <c r="Q133">
        <f t="shared" si="18"/>
        <v>346.11133333333333</v>
      </c>
      <c r="R133" t="str">
        <f t="shared" si="19"/>
        <v>Medium</v>
      </c>
      <c r="S133" t="str">
        <f t="shared" si="20"/>
        <v>Medium Priority</v>
      </c>
    </row>
    <row r="134" spans="1:19" x14ac:dyDescent="0.35">
      <c r="A134" s="12" t="str">
        <f>tblComponents[Component_ID]</f>
        <v>C133</v>
      </c>
      <c r="B134" s="12" t="str">
        <f>tblComponents[Component_Name]</f>
        <v>Component 133</v>
      </c>
      <c r="C134" t="str">
        <f>tblComponents[Sourcing_Type]</f>
        <v>Make</v>
      </c>
      <c r="D134">
        <f>tblComponents[Forecast_Demand]</f>
        <v>535</v>
      </c>
      <c r="E134">
        <f>tblComponents[Selling_Price_Per_Unit]</f>
        <v>1529.77</v>
      </c>
      <c r="F134">
        <f>tblComponents[Variable_Cost_Per_Unit]</f>
        <v>963.11</v>
      </c>
      <c r="G134">
        <f>tblComponents[Direct_Labor_Cost_Per_Unit]</f>
        <v>64.28</v>
      </c>
      <c r="H134">
        <f>tblComponents[Contribution_Per_Unit]</f>
        <v>566.66</v>
      </c>
      <c r="I134">
        <f>tblComponents[Contribution_Margin]</f>
        <v>0.37040000000000001</v>
      </c>
      <c r="J134">
        <f>tblComponents[Actual_Cycle_Time_Min]/60</f>
        <v>6.0499999999999998E-2</v>
      </c>
      <c r="K134">
        <f t="shared" si="15"/>
        <v>9366.2809917355371</v>
      </c>
      <c r="L134">
        <f>H134*tblComponents[Planned_Production_or_Procurement]</f>
        <v>1209819.0999999999</v>
      </c>
      <c r="M134">
        <f t="shared" si="16"/>
        <v>37</v>
      </c>
      <c r="N134" t="str">
        <f t="shared" si="17"/>
        <v>High Economic Priority</v>
      </c>
      <c r="O134" t="str">
        <f>tblComponents[Criticality]</f>
        <v>Critical</v>
      </c>
      <c r="P134">
        <f>tblComponents[Planned_Production_or_Procurement]</f>
        <v>2135</v>
      </c>
      <c r="Q134">
        <f t="shared" si="18"/>
        <v>129.16749999999999</v>
      </c>
      <c r="R134" t="str">
        <f t="shared" si="19"/>
        <v>Critical</v>
      </c>
      <c r="S134" t="str">
        <f t="shared" si="20"/>
        <v>Critical Priority</v>
      </c>
    </row>
    <row r="135" spans="1:19" x14ac:dyDescent="0.35">
      <c r="A135" s="12" t="str">
        <f>tblComponents[Component_ID]</f>
        <v>C134</v>
      </c>
      <c r="B135" s="12" t="str">
        <f>tblComponents[Component_Name]</f>
        <v>Component 134</v>
      </c>
      <c r="C135" t="str">
        <f>tblComponents[Sourcing_Type]</f>
        <v>Make</v>
      </c>
      <c r="D135">
        <f>tblComponents[Forecast_Demand]</f>
        <v>112</v>
      </c>
      <c r="E135">
        <f>tblComponents[Selling_Price_Per_Unit]</f>
        <v>1757.07</v>
      </c>
      <c r="F135">
        <f>tblComponents[Variable_Cost_Per_Unit]</f>
        <v>1135.8900000000001</v>
      </c>
      <c r="G135">
        <f>tblComponents[Direct_Labor_Cost_Per_Unit]</f>
        <v>24.23</v>
      </c>
      <c r="H135">
        <f>tblComponents[Contribution_Per_Unit]</f>
        <v>621.17999999999995</v>
      </c>
      <c r="I135">
        <f>tblComponents[Contribution_Margin]</f>
        <v>0.35349999999999998</v>
      </c>
      <c r="J135">
        <f>tblComponents[Actual_Cycle_Time_Min]/60</f>
        <v>0.12116666666666666</v>
      </c>
      <c r="K135">
        <f t="shared" si="15"/>
        <v>5126.6574965612108</v>
      </c>
      <c r="L135">
        <f>H135*tblComponents[Planned_Production_or_Procurement]</f>
        <v>1866024.7199999997</v>
      </c>
      <c r="M135">
        <f t="shared" si="16"/>
        <v>94</v>
      </c>
      <c r="N135" t="str">
        <f t="shared" si="17"/>
        <v>Medium Economic Priority</v>
      </c>
      <c r="O135" t="str">
        <f>tblComponents[Criticality]</f>
        <v>Medium</v>
      </c>
      <c r="P135">
        <f>tblComponents[Planned_Production_or_Procurement]</f>
        <v>3004</v>
      </c>
      <c r="Q135">
        <f t="shared" si="18"/>
        <v>363.98466666666667</v>
      </c>
      <c r="R135" t="str">
        <f t="shared" si="19"/>
        <v>Medium</v>
      </c>
      <c r="S135" t="str">
        <f t="shared" si="20"/>
        <v>Medium Priority</v>
      </c>
    </row>
    <row r="136" spans="1:19" x14ac:dyDescent="0.35">
      <c r="A136" s="12" t="str">
        <f>tblComponents[Component_ID]</f>
        <v>C135</v>
      </c>
      <c r="B136" s="12" t="str">
        <f>tblComponents[Component_Name]</f>
        <v>Component 135</v>
      </c>
      <c r="C136" t="str">
        <f>tblComponents[Sourcing_Type]</f>
        <v>Make</v>
      </c>
      <c r="D136">
        <f>tblComponents[Forecast_Demand]</f>
        <v>2809</v>
      </c>
      <c r="E136">
        <f>tblComponents[Selling_Price_Per_Unit]</f>
        <v>2879.32</v>
      </c>
      <c r="F136">
        <f>tblComponents[Variable_Cost_Per_Unit]</f>
        <v>1954.24</v>
      </c>
      <c r="G136">
        <f>tblComponents[Direct_Labor_Cost_Per_Unit]</f>
        <v>68.569999999999993</v>
      </c>
      <c r="H136">
        <f>tblComponents[Contribution_Per_Unit]</f>
        <v>925.08</v>
      </c>
      <c r="I136">
        <f>tblComponents[Contribution_Margin]</f>
        <v>0.32129999999999997</v>
      </c>
      <c r="J136">
        <f>tblComponents[Actual_Cycle_Time_Min]/60</f>
        <v>0.24800000000000003</v>
      </c>
      <c r="K136">
        <f t="shared" si="15"/>
        <v>3730.1612903225805</v>
      </c>
      <c r="L136">
        <f>H136*tblComponents[Planned_Production_or_Procurement]</f>
        <v>589275.96000000008</v>
      </c>
      <c r="M136">
        <f t="shared" si="16"/>
        <v>142</v>
      </c>
      <c r="N136" t="str">
        <f t="shared" si="17"/>
        <v>Medium Economic Priority</v>
      </c>
      <c r="O136" t="str">
        <f>tblComponents[Criticality]</f>
        <v>High</v>
      </c>
      <c r="P136">
        <f>tblComponents[Planned_Production_or_Procurement]</f>
        <v>637</v>
      </c>
      <c r="Q136">
        <f t="shared" si="18"/>
        <v>157.97600000000003</v>
      </c>
      <c r="R136" t="str">
        <f t="shared" si="19"/>
        <v>High</v>
      </c>
      <c r="S136" t="str">
        <f t="shared" si="20"/>
        <v>High Priority</v>
      </c>
    </row>
    <row r="137" spans="1:19" x14ac:dyDescent="0.35">
      <c r="A137" s="12" t="str">
        <f>tblComponents[Component_ID]</f>
        <v>C136</v>
      </c>
      <c r="B137" s="12" t="str">
        <f>tblComponents[Component_Name]</f>
        <v>Component 136</v>
      </c>
      <c r="C137" t="str">
        <f>tblComponents[Sourcing_Type]</f>
        <v>Make</v>
      </c>
      <c r="D137">
        <f>tblComponents[Forecast_Demand]</f>
        <v>621</v>
      </c>
      <c r="E137">
        <f>tblComponents[Selling_Price_Per_Unit]</f>
        <v>1588.11</v>
      </c>
      <c r="F137">
        <f>tblComponents[Variable_Cost_Per_Unit]</f>
        <v>1306.05</v>
      </c>
      <c r="G137">
        <f>tblComponents[Direct_Labor_Cost_Per_Unit]</f>
        <v>73.36</v>
      </c>
      <c r="H137">
        <f>tblComponents[Contribution_Per_Unit]</f>
        <v>282.06</v>
      </c>
      <c r="I137">
        <f>tblComponents[Contribution_Margin]</f>
        <v>0.17760000000000001</v>
      </c>
      <c r="J137">
        <f>tblComponents[Actual_Cycle_Time_Min]/60</f>
        <v>0.14566666666666667</v>
      </c>
      <c r="K137">
        <f t="shared" si="15"/>
        <v>1936.3386727688787</v>
      </c>
      <c r="L137">
        <f>H137*tblComponents[Planned_Production_or_Procurement]</f>
        <v>1023877.8</v>
      </c>
      <c r="M137">
        <f t="shared" si="16"/>
        <v>227</v>
      </c>
      <c r="N137" t="str">
        <f t="shared" si="17"/>
        <v>Low Economic Priority</v>
      </c>
      <c r="O137" t="str">
        <f>tblComponents[Criticality]</f>
        <v>High</v>
      </c>
      <c r="P137">
        <f>tblComponents[Planned_Production_or_Procurement]</f>
        <v>3630</v>
      </c>
      <c r="Q137">
        <f t="shared" si="18"/>
        <v>528.77</v>
      </c>
      <c r="R137" t="str">
        <f t="shared" si="19"/>
        <v>High</v>
      </c>
      <c r="S137" t="str">
        <f t="shared" si="20"/>
        <v>High Priority</v>
      </c>
    </row>
    <row r="138" spans="1:19" x14ac:dyDescent="0.35">
      <c r="A138" s="12" t="str">
        <f>tblComponents[Component_ID]</f>
        <v>C137</v>
      </c>
      <c r="B138" s="12" t="str">
        <f>tblComponents[Component_Name]</f>
        <v>Component 137</v>
      </c>
      <c r="C138" t="str">
        <f>tblComponents[Sourcing_Type]</f>
        <v>Make</v>
      </c>
      <c r="D138">
        <f>tblComponents[Forecast_Demand]</f>
        <v>1620</v>
      </c>
      <c r="E138">
        <f>tblComponents[Selling_Price_Per_Unit]</f>
        <v>503.71</v>
      </c>
      <c r="F138">
        <f>tblComponents[Variable_Cost_Per_Unit]</f>
        <v>391.74</v>
      </c>
      <c r="G138">
        <f>tblComponents[Direct_Labor_Cost_Per_Unit]</f>
        <v>11.29</v>
      </c>
      <c r="H138">
        <f>tblComponents[Contribution_Per_Unit]</f>
        <v>111.97</v>
      </c>
      <c r="I138">
        <f>tblComponents[Contribution_Margin]</f>
        <v>0.2223</v>
      </c>
      <c r="J138">
        <f>tblComponents[Actual_Cycle_Time_Min]/60</f>
        <v>3.1000000000000003E-2</v>
      </c>
      <c r="K138">
        <f t="shared" si="15"/>
        <v>3611.9354838709673</v>
      </c>
      <c r="L138">
        <f>H138*tblComponents[Planned_Production_or_Procurement]</f>
        <v>331991.05</v>
      </c>
      <c r="M138">
        <f t="shared" si="16"/>
        <v>145</v>
      </c>
      <c r="N138" t="str">
        <f t="shared" si="17"/>
        <v>Medium Economic Priority</v>
      </c>
      <c r="O138" t="str">
        <f>tblComponents[Criticality]</f>
        <v>High</v>
      </c>
      <c r="P138">
        <f>tblComponents[Planned_Production_or_Procurement]</f>
        <v>2965</v>
      </c>
      <c r="Q138">
        <f t="shared" si="18"/>
        <v>91.915000000000006</v>
      </c>
      <c r="R138" t="str">
        <f t="shared" si="19"/>
        <v>High</v>
      </c>
      <c r="S138" t="str">
        <f t="shared" si="20"/>
        <v>High Priority</v>
      </c>
    </row>
    <row r="139" spans="1:19" x14ac:dyDescent="0.35">
      <c r="A139" s="12" t="str">
        <f>tblComponents[Component_ID]</f>
        <v>C138</v>
      </c>
      <c r="B139" s="12" t="str">
        <f>tblComponents[Component_Name]</f>
        <v>Component 138</v>
      </c>
      <c r="C139" t="str">
        <f>tblComponents[Sourcing_Type]</f>
        <v>Make</v>
      </c>
      <c r="D139">
        <f>tblComponents[Forecast_Demand]</f>
        <v>1238</v>
      </c>
      <c r="E139">
        <f>tblComponents[Selling_Price_Per_Unit]</f>
        <v>1898.44</v>
      </c>
      <c r="F139">
        <f>tblComponents[Variable_Cost_Per_Unit]</f>
        <v>1466.64</v>
      </c>
      <c r="G139">
        <f>tblComponents[Direct_Labor_Cost_Per_Unit]</f>
        <v>51.43</v>
      </c>
      <c r="H139">
        <f>tblComponents[Contribution_Per_Unit]</f>
        <v>431.8</v>
      </c>
      <c r="I139">
        <f>tblComponents[Contribution_Margin]</f>
        <v>0.22739999999999999</v>
      </c>
      <c r="J139">
        <f>tblComponents[Actual_Cycle_Time_Min]/60</f>
        <v>0.20599999999999999</v>
      </c>
      <c r="K139">
        <f t="shared" si="15"/>
        <v>2096.1165048543689</v>
      </c>
      <c r="L139">
        <f>H139*tblComponents[Planned_Production_or_Procurement]</f>
        <v>357098.60000000003</v>
      </c>
      <c r="M139">
        <f t="shared" si="16"/>
        <v>219</v>
      </c>
      <c r="N139" t="str">
        <f t="shared" si="17"/>
        <v>Low Economic Priority</v>
      </c>
      <c r="O139" t="str">
        <f>tblComponents[Criticality]</f>
        <v>Medium</v>
      </c>
      <c r="P139">
        <f>tblComponents[Planned_Production_or_Procurement]</f>
        <v>827</v>
      </c>
      <c r="Q139">
        <f t="shared" si="18"/>
        <v>170.36199999999999</v>
      </c>
      <c r="R139" t="str">
        <f t="shared" si="19"/>
        <v>Medium</v>
      </c>
      <c r="S139" t="str">
        <f t="shared" si="20"/>
        <v>Medium Priority</v>
      </c>
    </row>
    <row r="140" spans="1:19" x14ac:dyDescent="0.35">
      <c r="A140" s="12" t="str">
        <f>tblComponents[Component_ID]</f>
        <v>C139</v>
      </c>
      <c r="B140" s="12" t="str">
        <f>tblComponents[Component_Name]</f>
        <v>Component 139</v>
      </c>
      <c r="C140" t="str">
        <f>tblComponents[Sourcing_Type]</f>
        <v>Make</v>
      </c>
      <c r="D140">
        <f>tblComponents[Forecast_Demand]</f>
        <v>402</v>
      </c>
      <c r="E140">
        <f>tblComponents[Selling_Price_Per_Unit]</f>
        <v>2740.43</v>
      </c>
      <c r="F140">
        <f>tblComponents[Variable_Cost_Per_Unit]</f>
        <v>2158.12</v>
      </c>
      <c r="G140">
        <f>tblComponents[Direct_Labor_Cost_Per_Unit]</f>
        <v>91.88</v>
      </c>
      <c r="H140">
        <f>tblComponents[Contribution_Per_Unit]</f>
        <v>582.30999999999995</v>
      </c>
      <c r="I140">
        <f>tblComponents[Contribution_Margin]</f>
        <v>0.21249999999999999</v>
      </c>
      <c r="J140">
        <f>tblComponents[Actual_Cycle_Time_Min]/60</f>
        <v>0.22966666666666666</v>
      </c>
      <c r="K140">
        <f t="shared" si="15"/>
        <v>2535.4571843251088</v>
      </c>
      <c r="L140">
        <f>H140*tblComponents[Planned_Production_or_Procurement]</f>
        <v>1092995.8699999999</v>
      </c>
      <c r="M140">
        <f t="shared" si="16"/>
        <v>189</v>
      </c>
      <c r="N140" t="str">
        <f t="shared" si="17"/>
        <v>Low Economic Priority</v>
      </c>
      <c r="O140" t="str">
        <f>tblComponents[Criticality]</f>
        <v>Low</v>
      </c>
      <c r="P140">
        <f>tblComponents[Planned_Production_or_Procurement]</f>
        <v>1877</v>
      </c>
      <c r="Q140">
        <f t="shared" si="18"/>
        <v>431.08433333333329</v>
      </c>
      <c r="R140" t="str">
        <f t="shared" si="19"/>
        <v>Low</v>
      </c>
      <c r="S140" t="str">
        <f t="shared" si="20"/>
        <v>Low Priority</v>
      </c>
    </row>
    <row r="141" spans="1:19" x14ac:dyDescent="0.35">
      <c r="A141" s="12" t="str">
        <f>tblComponents[Component_ID]</f>
        <v>C140</v>
      </c>
      <c r="B141" s="12" t="str">
        <f>tblComponents[Component_Name]</f>
        <v>Component 140</v>
      </c>
      <c r="C141" t="str">
        <f>tblComponents[Sourcing_Type]</f>
        <v>Make</v>
      </c>
      <c r="D141">
        <f>tblComponents[Forecast_Demand]</f>
        <v>318</v>
      </c>
      <c r="E141">
        <f>tblComponents[Selling_Price_Per_Unit]</f>
        <v>1808.67</v>
      </c>
      <c r="F141">
        <f>tblComponents[Variable_Cost_Per_Unit]</f>
        <v>1304.5</v>
      </c>
      <c r="G141">
        <f>tblComponents[Direct_Labor_Cost_Per_Unit]</f>
        <v>22.79</v>
      </c>
      <c r="H141">
        <f>tblComponents[Contribution_Per_Unit]</f>
        <v>504.17</v>
      </c>
      <c r="I141">
        <f>tblComponents[Contribution_Margin]</f>
        <v>0.27879999999999999</v>
      </c>
      <c r="J141">
        <f>tblComponents[Actual_Cycle_Time_Min]/60</f>
        <v>4.8000000000000001E-2</v>
      </c>
      <c r="K141">
        <f t="shared" si="15"/>
        <v>10503.541666666666</v>
      </c>
      <c r="L141">
        <f>H141*tblComponents[Planned_Production_or_Procurement]</f>
        <v>6397917.2999999998</v>
      </c>
      <c r="M141">
        <f t="shared" si="16"/>
        <v>24</v>
      </c>
      <c r="N141" t="str">
        <f t="shared" si="17"/>
        <v>High Economic Priority</v>
      </c>
      <c r="O141" t="str">
        <f>tblComponents[Criticality]</f>
        <v>Medium</v>
      </c>
      <c r="P141">
        <f>tblComponents[Planned_Production_or_Procurement]</f>
        <v>12690</v>
      </c>
      <c r="Q141">
        <f t="shared" si="18"/>
        <v>609.12</v>
      </c>
      <c r="R141" t="str">
        <f t="shared" si="19"/>
        <v>Medium</v>
      </c>
      <c r="S141" t="str">
        <f t="shared" si="20"/>
        <v>High Priority</v>
      </c>
    </row>
    <row r="142" spans="1:19" x14ac:dyDescent="0.35">
      <c r="A142" s="12" t="str">
        <f>tblComponents[Component_ID]</f>
        <v>C141</v>
      </c>
      <c r="B142" s="12" t="str">
        <f>tblComponents[Component_Name]</f>
        <v>Component 141</v>
      </c>
      <c r="C142" t="str">
        <f>tblComponents[Sourcing_Type]</f>
        <v>Make</v>
      </c>
      <c r="D142">
        <f>tblComponents[Forecast_Demand]</f>
        <v>1776</v>
      </c>
      <c r="E142">
        <f>tblComponents[Selling_Price_Per_Unit]</f>
        <v>891.73</v>
      </c>
      <c r="F142">
        <f>tblComponents[Variable_Cost_Per_Unit]</f>
        <v>638.58000000000004</v>
      </c>
      <c r="G142">
        <f>tblComponents[Direct_Labor_Cost_Per_Unit]</f>
        <v>31.13</v>
      </c>
      <c r="H142">
        <f>tblComponents[Contribution_Per_Unit]</f>
        <v>253.15</v>
      </c>
      <c r="I142">
        <f>tblComponents[Contribution_Margin]</f>
        <v>0.28389999999999999</v>
      </c>
      <c r="J142">
        <f>tblComponents[Actual_Cycle_Time_Min]/60</f>
        <v>1.4666666666666666E-2</v>
      </c>
      <c r="K142">
        <f t="shared" si="15"/>
        <v>17260.227272727272</v>
      </c>
      <c r="L142">
        <f>H142*tblComponents[Planned_Production_or_Procurement]</f>
        <v>3096277.65</v>
      </c>
      <c r="M142">
        <f t="shared" si="16"/>
        <v>7</v>
      </c>
      <c r="N142" t="str">
        <f t="shared" si="17"/>
        <v>High Economic Priority</v>
      </c>
      <c r="O142" t="str">
        <f>tblComponents[Criticality]</f>
        <v>Low</v>
      </c>
      <c r="P142">
        <f>tblComponents[Planned_Production_or_Procurement]</f>
        <v>12231</v>
      </c>
      <c r="Q142">
        <f t="shared" si="18"/>
        <v>179.38800000000001</v>
      </c>
      <c r="R142" t="str">
        <f t="shared" si="19"/>
        <v>Low</v>
      </c>
      <c r="S142" t="str">
        <f t="shared" si="20"/>
        <v>High Priority</v>
      </c>
    </row>
    <row r="143" spans="1:19" x14ac:dyDescent="0.35">
      <c r="A143" s="12" t="str">
        <f>tblComponents[Component_ID]</f>
        <v>C142</v>
      </c>
      <c r="B143" s="12" t="str">
        <f>tblComponents[Component_Name]</f>
        <v>Component 142</v>
      </c>
      <c r="C143" t="str">
        <f>tblComponents[Sourcing_Type]</f>
        <v>Make</v>
      </c>
      <c r="D143">
        <f>tblComponents[Forecast_Demand]</f>
        <v>1231</v>
      </c>
      <c r="E143">
        <f>tblComponents[Selling_Price_Per_Unit]</f>
        <v>1206.75</v>
      </c>
      <c r="F143">
        <f>tblComponents[Variable_Cost_Per_Unit]</f>
        <v>918.07</v>
      </c>
      <c r="G143">
        <f>tblComponents[Direct_Labor_Cost_Per_Unit]</f>
        <v>40.46</v>
      </c>
      <c r="H143">
        <f>tblComponents[Contribution_Per_Unit]</f>
        <v>288.68</v>
      </c>
      <c r="I143">
        <f>tblComponents[Contribution_Margin]</f>
        <v>0.2392</v>
      </c>
      <c r="J143">
        <f>tblComponents[Actual_Cycle_Time_Min]/60</f>
        <v>4.65E-2</v>
      </c>
      <c r="K143">
        <f t="shared" si="15"/>
        <v>6208.1720430107525</v>
      </c>
      <c r="L143">
        <f>H143*tblComponents[Planned_Production_or_Procurement]</f>
        <v>3063183.48</v>
      </c>
      <c r="M143">
        <f t="shared" si="16"/>
        <v>72</v>
      </c>
      <c r="N143" t="str">
        <f t="shared" si="17"/>
        <v>High Economic Priority</v>
      </c>
      <c r="O143" t="str">
        <f>tblComponents[Criticality]</f>
        <v>Medium</v>
      </c>
      <c r="P143">
        <f>tblComponents[Planned_Production_or_Procurement]</f>
        <v>10611</v>
      </c>
      <c r="Q143">
        <f t="shared" si="18"/>
        <v>493.41149999999999</v>
      </c>
      <c r="R143" t="str">
        <f t="shared" si="19"/>
        <v>Medium</v>
      </c>
      <c r="S143" t="str">
        <f t="shared" si="20"/>
        <v>High Priority</v>
      </c>
    </row>
    <row r="144" spans="1:19" x14ac:dyDescent="0.35">
      <c r="A144" s="12" t="str">
        <f>tblComponents[Component_ID]</f>
        <v>C143</v>
      </c>
      <c r="B144" s="12" t="str">
        <f>tblComponents[Component_Name]</f>
        <v>Component 143</v>
      </c>
      <c r="C144" t="str">
        <f>tblComponents[Sourcing_Type]</f>
        <v>Make</v>
      </c>
      <c r="D144">
        <f>tblComponents[Forecast_Demand]</f>
        <v>314</v>
      </c>
      <c r="E144">
        <f>tblComponents[Selling_Price_Per_Unit]</f>
        <v>891.88</v>
      </c>
      <c r="F144">
        <f>tblComponents[Variable_Cost_Per_Unit]</f>
        <v>679.21</v>
      </c>
      <c r="G144">
        <f>tblComponents[Direct_Labor_Cost_Per_Unit]</f>
        <v>74.12</v>
      </c>
      <c r="H144">
        <f>tblComponents[Contribution_Per_Unit]</f>
        <v>212.67</v>
      </c>
      <c r="I144">
        <f>tblComponents[Contribution_Margin]</f>
        <v>0.23849999999999999</v>
      </c>
      <c r="J144">
        <f>tblComponents[Actual_Cycle_Time_Min]/60</f>
        <v>7.3333333333333334E-2</v>
      </c>
      <c r="K144">
        <f t="shared" si="15"/>
        <v>2900.0454545454545</v>
      </c>
      <c r="L144">
        <f>H144*tblComponents[Planned_Production_or_Procurement]</f>
        <v>1068028.74</v>
      </c>
      <c r="M144">
        <f t="shared" si="16"/>
        <v>172</v>
      </c>
      <c r="N144" t="str">
        <f t="shared" si="17"/>
        <v>Low Economic Priority</v>
      </c>
      <c r="O144" t="str">
        <f>tblComponents[Criticality]</f>
        <v>High</v>
      </c>
      <c r="P144">
        <f>tblComponents[Planned_Production_or_Procurement]</f>
        <v>5022</v>
      </c>
      <c r="Q144">
        <f t="shared" si="18"/>
        <v>368.28000000000003</v>
      </c>
      <c r="R144" t="str">
        <f t="shared" si="19"/>
        <v>High</v>
      </c>
      <c r="S144" t="str">
        <f t="shared" si="20"/>
        <v>High Priority</v>
      </c>
    </row>
    <row r="145" spans="1:19" x14ac:dyDescent="0.35">
      <c r="A145" s="12" t="str">
        <f>tblComponents[Component_ID]</f>
        <v>C144</v>
      </c>
      <c r="B145" s="12" t="str">
        <f>tblComponents[Component_Name]</f>
        <v>Component 144</v>
      </c>
      <c r="C145" t="str">
        <f>tblComponents[Sourcing_Type]</f>
        <v>Make</v>
      </c>
      <c r="D145">
        <f>tblComponents[Forecast_Demand]</f>
        <v>1343</v>
      </c>
      <c r="E145">
        <f>tblComponents[Selling_Price_Per_Unit]</f>
        <v>1410.6</v>
      </c>
      <c r="F145">
        <f>tblComponents[Variable_Cost_Per_Unit]</f>
        <v>906.82</v>
      </c>
      <c r="G145">
        <f>tblComponents[Direct_Labor_Cost_Per_Unit]</f>
        <v>17.440000000000001</v>
      </c>
      <c r="H145">
        <f>tblComponents[Contribution_Per_Unit]</f>
        <v>503.78</v>
      </c>
      <c r="I145">
        <f>tblComponents[Contribution_Margin]</f>
        <v>0.35709999999999997</v>
      </c>
      <c r="J145">
        <f>tblComponents[Actual_Cycle_Time_Min]/60</f>
        <v>6.483333333333334E-2</v>
      </c>
      <c r="K145">
        <f t="shared" si="15"/>
        <v>7770.3856041131094</v>
      </c>
      <c r="L145">
        <f>H145*tblComponents[Planned_Production_or_Procurement]</f>
        <v>3380363.8</v>
      </c>
      <c r="M145">
        <f t="shared" si="16"/>
        <v>50</v>
      </c>
      <c r="N145" t="str">
        <f t="shared" si="17"/>
        <v>High Economic Priority</v>
      </c>
      <c r="O145" t="str">
        <f>tblComponents[Criticality]</f>
        <v>Medium</v>
      </c>
      <c r="P145">
        <f>tblComponents[Planned_Production_or_Procurement]</f>
        <v>6710</v>
      </c>
      <c r="Q145">
        <f t="shared" si="18"/>
        <v>435.03166666666669</v>
      </c>
      <c r="R145" t="str">
        <f t="shared" si="19"/>
        <v>Medium</v>
      </c>
      <c r="S145" t="str">
        <f t="shared" si="20"/>
        <v>High Priority</v>
      </c>
    </row>
    <row r="146" spans="1:19" x14ac:dyDescent="0.35">
      <c r="A146" s="12" t="str">
        <f>tblComponents[Component_ID]</f>
        <v>C145</v>
      </c>
      <c r="B146" s="12" t="str">
        <f>tblComponents[Component_Name]</f>
        <v>Component 145</v>
      </c>
      <c r="C146" t="str">
        <f>tblComponents[Sourcing_Type]</f>
        <v>Make</v>
      </c>
      <c r="D146">
        <f>tblComponents[Forecast_Demand]</f>
        <v>687</v>
      </c>
      <c r="E146">
        <f>tblComponents[Selling_Price_Per_Unit]</f>
        <v>2199.9299999999998</v>
      </c>
      <c r="F146">
        <f>tblComponents[Variable_Cost_Per_Unit]</f>
        <v>1435.84</v>
      </c>
      <c r="G146">
        <f>tblComponents[Direct_Labor_Cost_Per_Unit]</f>
        <v>18.16</v>
      </c>
      <c r="H146">
        <f>tblComponents[Contribution_Per_Unit]</f>
        <v>764.09</v>
      </c>
      <c r="I146">
        <f>tblComponents[Contribution_Margin]</f>
        <v>0.3473</v>
      </c>
      <c r="J146">
        <f>tblComponents[Actual_Cycle_Time_Min]/60</f>
        <v>0.22433333333333336</v>
      </c>
      <c r="K146">
        <f t="shared" si="15"/>
        <v>3406.0475482912329</v>
      </c>
      <c r="L146">
        <f>H146*tblComponents[Planned_Production_or_Procurement]</f>
        <v>3016627.3200000003</v>
      </c>
      <c r="M146">
        <f t="shared" si="16"/>
        <v>157</v>
      </c>
      <c r="N146" t="str">
        <f t="shared" si="17"/>
        <v>Low Economic Priority</v>
      </c>
      <c r="O146" t="str">
        <f>tblComponents[Criticality]</f>
        <v>Medium</v>
      </c>
      <c r="P146">
        <f>tblComponents[Planned_Production_or_Procurement]</f>
        <v>3948</v>
      </c>
      <c r="Q146">
        <f t="shared" si="18"/>
        <v>885.66800000000012</v>
      </c>
      <c r="R146" t="str">
        <f t="shared" si="19"/>
        <v>Medium</v>
      </c>
      <c r="S146" t="str">
        <f t="shared" si="20"/>
        <v>Medium Priority</v>
      </c>
    </row>
    <row r="147" spans="1:19" x14ac:dyDescent="0.35">
      <c r="A147" s="12" t="str">
        <f>tblComponents[Component_ID]</f>
        <v>C146</v>
      </c>
      <c r="B147" s="12" t="str">
        <f>tblComponents[Component_Name]</f>
        <v>Component 146</v>
      </c>
      <c r="C147" t="str">
        <f>tblComponents[Sourcing_Type]</f>
        <v>Make</v>
      </c>
      <c r="D147">
        <f>tblComponents[Forecast_Demand]</f>
        <v>225</v>
      </c>
      <c r="E147">
        <f>tblComponents[Selling_Price_Per_Unit]</f>
        <v>1069.3499999999999</v>
      </c>
      <c r="F147">
        <f>tblComponents[Variable_Cost_Per_Unit]</f>
        <v>826.66</v>
      </c>
      <c r="G147">
        <f>tblComponents[Direct_Labor_Cost_Per_Unit]</f>
        <v>43.98</v>
      </c>
      <c r="H147">
        <f>tblComponents[Contribution_Per_Unit]</f>
        <v>242.69</v>
      </c>
      <c r="I147">
        <f>tblComponents[Contribution_Margin]</f>
        <v>0.22700000000000001</v>
      </c>
      <c r="J147">
        <f>tblComponents[Actual_Cycle_Time_Min]/60</f>
        <v>0.32983333333333331</v>
      </c>
      <c r="K147">
        <f t="shared" si="15"/>
        <v>735.79585649317846</v>
      </c>
      <c r="L147">
        <f>H147*tblComponents[Planned_Production_or_Procurement]</f>
        <v>210654.91999999998</v>
      </c>
      <c r="M147">
        <f t="shared" si="16"/>
        <v>295</v>
      </c>
      <c r="N147" t="str">
        <f t="shared" si="17"/>
        <v>Low Economic Priority</v>
      </c>
      <c r="O147" t="str">
        <f>tblComponents[Criticality]</f>
        <v>Medium</v>
      </c>
      <c r="P147">
        <f>tblComponents[Planned_Production_or_Procurement]</f>
        <v>868</v>
      </c>
      <c r="Q147">
        <f t="shared" si="18"/>
        <v>286.2953333333333</v>
      </c>
      <c r="R147" t="str">
        <f t="shared" si="19"/>
        <v>Medium</v>
      </c>
      <c r="S147" t="str">
        <f t="shared" si="20"/>
        <v>Medium Priority</v>
      </c>
    </row>
    <row r="148" spans="1:19" x14ac:dyDescent="0.35">
      <c r="A148" s="12" t="str">
        <f>tblComponents[Component_ID]</f>
        <v>C147</v>
      </c>
      <c r="B148" s="12" t="str">
        <f>tblComponents[Component_Name]</f>
        <v>Component 147</v>
      </c>
      <c r="C148" t="str">
        <f>tblComponents[Sourcing_Type]</f>
        <v>Make</v>
      </c>
      <c r="D148">
        <f>tblComponents[Forecast_Demand]</f>
        <v>568</v>
      </c>
      <c r="E148">
        <f>tblComponents[Selling_Price_Per_Unit]</f>
        <v>970.42</v>
      </c>
      <c r="F148">
        <f>tblComponents[Variable_Cost_Per_Unit]</f>
        <v>603.16999999999996</v>
      </c>
      <c r="G148">
        <f>tblComponents[Direct_Labor_Cost_Per_Unit]</f>
        <v>25.35</v>
      </c>
      <c r="H148">
        <f>tblComponents[Contribution_Per_Unit]</f>
        <v>367.25</v>
      </c>
      <c r="I148">
        <f>tblComponents[Contribution_Margin]</f>
        <v>0.37840000000000001</v>
      </c>
      <c r="J148">
        <f>tblComponents[Actual_Cycle_Time_Min]/60</f>
        <v>4.7166666666666669E-2</v>
      </c>
      <c r="K148">
        <f t="shared" si="15"/>
        <v>7786.2190812720846</v>
      </c>
      <c r="L148">
        <f>H148*tblComponents[Planned_Production_or_Procurement]</f>
        <v>8367791.25</v>
      </c>
      <c r="M148">
        <f t="shared" si="16"/>
        <v>49</v>
      </c>
      <c r="N148" t="str">
        <f t="shared" si="17"/>
        <v>High Economic Priority</v>
      </c>
      <c r="O148" t="str">
        <f>tblComponents[Criticality]</f>
        <v>Critical</v>
      </c>
      <c r="P148">
        <f>tblComponents[Planned_Production_or_Procurement]</f>
        <v>22785</v>
      </c>
      <c r="Q148">
        <f t="shared" si="18"/>
        <v>1074.6925000000001</v>
      </c>
      <c r="R148" t="str">
        <f t="shared" si="19"/>
        <v>Critical</v>
      </c>
      <c r="S148" t="str">
        <f t="shared" si="20"/>
        <v>Critical Priority</v>
      </c>
    </row>
    <row r="149" spans="1:19" x14ac:dyDescent="0.35">
      <c r="A149" s="12" t="str">
        <f>tblComponents[Component_ID]</f>
        <v>C148</v>
      </c>
      <c r="B149" s="12" t="str">
        <f>tblComponents[Component_Name]</f>
        <v>Component 148</v>
      </c>
      <c r="C149" t="str">
        <f>tblComponents[Sourcing_Type]</f>
        <v>Make</v>
      </c>
      <c r="D149">
        <f>tblComponents[Forecast_Demand]</f>
        <v>353</v>
      </c>
      <c r="E149">
        <f>tblComponents[Selling_Price_Per_Unit]</f>
        <v>1246.51</v>
      </c>
      <c r="F149">
        <f>tblComponents[Variable_Cost_Per_Unit]</f>
        <v>762.61</v>
      </c>
      <c r="G149">
        <f>tblComponents[Direct_Labor_Cost_Per_Unit]</f>
        <v>15.72</v>
      </c>
      <c r="H149">
        <f>tblComponents[Contribution_Per_Unit]</f>
        <v>483.9</v>
      </c>
      <c r="I149">
        <f>tblComponents[Contribution_Margin]</f>
        <v>0.38819999999999999</v>
      </c>
      <c r="J149">
        <f>tblComponents[Actual_Cycle_Time_Min]/60</f>
        <v>0.14083333333333331</v>
      </c>
      <c r="K149">
        <f t="shared" si="15"/>
        <v>3435.9763313609474</v>
      </c>
      <c r="L149">
        <f>H149*tblComponents[Planned_Production_or_Procurement]</f>
        <v>3359233.8</v>
      </c>
      <c r="M149">
        <f t="shared" si="16"/>
        <v>156</v>
      </c>
      <c r="N149" t="str">
        <f t="shared" si="17"/>
        <v>Low Economic Priority</v>
      </c>
      <c r="O149" t="str">
        <f>tblComponents[Criticality]</f>
        <v>High</v>
      </c>
      <c r="P149">
        <f>tblComponents[Planned_Production_or_Procurement]</f>
        <v>6942</v>
      </c>
      <c r="Q149">
        <f t="shared" si="18"/>
        <v>977.66499999999985</v>
      </c>
      <c r="R149" t="str">
        <f t="shared" si="19"/>
        <v>High</v>
      </c>
      <c r="S149" t="str">
        <f t="shared" si="20"/>
        <v>High Priority</v>
      </c>
    </row>
    <row r="150" spans="1:19" x14ac:dyDescent="0.35">
      <c r="A150" s="12" t="str">
        <f>tblComponents[Component_ID]</f>
        <v>C149</v>
      </c>
      <c r="B150" s="12" t="str">
        <f>tblComponents[Component_Name]</f>
        <v>Component 149</v>
      </c>
      <c r="C150" t="str">
        <f>tblComponents[Sourcing_Type]</f>
        <v>Make</v>
      </c>
      <c r="D150">
        <f>tblComponents[Forecast_Demand]</f>
        <v>1584</v>
      </c>
      <c r="E150">
        <f>tblComponents[Selling_Price_Per_Unit]</f>
        <v>1825.31</v>
      </c>
      <c r="F150">
        <f>tblComponents[Variable_Cost_Per_Unit]</f>
        <v>1402.41</v>
      </c>
      <c r="G150">
        <f>tblComponents[Direct_Labor_Cost_Per_Unit]</f>
        <v>25.09</v>
      </c>
      <c r="H150">
        <f>tblComponents[Contribution_Per_Unit]</f>
        <v>422.9</v>
      </c>
      <c r="I150">
        <f>tblComponents[Contribution_Margin]</f>
        <v>0.23169999999999999</v>
      </c>
      <c r="J150">
        <f>tblComponents[Actual_Cycle_Time_Min]/60</f>
        <v>6.0499999999999998E-2</v>
      </c>
      <c r="K150">
        <f t="shared" si="15"/>
        <v>6990.0826446280989</v>
      </c>
      <c r="L150">
        <f>H150*tblComponents[Planned_Production_or_Procurement]</f>
        <v>1211608.5</v>
      </c>
      <c r="M150">
        <f t="shared" si="16"/>
        <v>60</v>
      </c>
      <c r="N150" t="str">
        <f t="shared" si="17"/>
        <v>High Economic Priority</v>
      </c>
      <c r="O150" t="str">
        <f>tblComponents[Criticality]</f>
        <v>High</v>
      </c>
      <c r="P150">
        <f>tblComponents[Planned_Production_or_Procurement]</f>
        <v>2865</v>
      </c>
      <c r="Q150">
        <f t="shared" si="18"/>
        <v>173.33249999999998</v>
      </c>
      <c r="R150" t="str">
        <f t="shared" si="19"/>
        <v>High</v>
      </c>
      <c r="S150" t="str">
        <f t="shared" si="20"/>
        <v>High Priority</v>
      </c>
    </row>
    <row r="151" spans="1:19" x14ac:dyDescent="0.35">
      <c r="A151" s="12" t="str">
        <f>tblComponents[Component_ID]</f>
        <v>C150</v>
      </c>
      <c r="B151" s="12" t="str">
        <f>tblComponents[Component_Name]</f>
        <v>Component 150</v>
      </c>
      <c r="C151" t="str">
        <f>tblComponents[Sourcing_Type]</f>
        <v>Make</v>
      </c>
      <c r="D151">
        <f>tblComponents[Forecast_Demand]</f>
        <v>818</v>
      </c>
      <c r="E151">
        <f>tblComponents[Selling_Price_Per_Unit]</f>
        <v>533.5</v>
      </c>
      <c r="F151">
        <f>tblComponents[Variable_Cost_Per_Unit]</f>
        <v>406.2</v>
      </c>
      <c r="G151">
        <f>tblComponents[Direct_Labor_Cost_Per_Unit]</f>
        <v>32.08</v>
      </c>
      <c r="H151">
        <f>tblComponents[Contribution_Per_Unit]</f>
        <v>127.3</v>
      </c>
      <c r="I151">
        <f>tblComponents[Contribution_Margin]</f>
        <v>0.23860000000000001</v>
      </c>
      <c r="J151">
        <f>tblComponents[Actual_Cycle_Time_Min]/60</f>
        <v>8.3000000000000004E-2</v>
      </c>
      <c r="K151">
        <f t="shared" si="15"/>
        <v>1533.734939759036</v>
      </c>
      <c r="L151">
        <f>H151*tblComponents[Planned_Production_or_Procurement]</f>
        <v>270639.8</v>
      </c>
      <c r="M151">
        <f t="shared" si="16"/>
        <v>253</v>
      </c>
      <c r="N151" t="str">
        <f t="shared" si="17"/>
        <v>Low Economic Priority</v>
      </c>
      <c r="O151" t="str">
        <f>tblComponents[Criticality]</f>
        <v>High</v>
      </c>
      <c r="P151">
        <f>tblComponents[Planned_Production_or_Procurement]</f>
        <v>2126</v>
      </c>
      <c r="Q151">
        <f t="shared" si="18"/>
        <v>176.458</v>
      </c>
      <c r="R151" t="str">
        <f t="shared" si="19"/>
        <v>High</v>
      </c>
      <c r="S151" t="str">
        <f t="shared" si="20"/>
        <v>High Priority</v>
      </c>
    </row>
    <row r="152" spans="1:19" x14ac:dyDescent="0.35">
      <c r="A152" s="12" t="str">
        <f>tblComponents[Component_ID]</f>
        <v>C151</v>
      </c>
      <c r="B152" s="12" t="str">
        <f>tblComponents[Component_Name]</f>
        <v>Component 151</v>
      </c>
      <c r="C152" t="str">
        <f>tblComponents[Sourcing_Type]</f>
        <v>Make</v>
      </c>
      <c r="D152">
        <f>tblComponents[Forecast_Demand]</f>
        <v>331</v>
      </c>
      <c r="E152">
        <f>tblComponents[Selling_Price_Per_Unit]</f>
        <v>1934.92</v>
      </c>
      <c r="F152">
        <f>tblComponents[Variable_Cost_Per_Unit]</f>
        <v>1400.09</v>
      </c>
      <c r="G152">
        <f>tblComponents[Direct_Labor_Cost_Per_Unit]</f>
        <v>8.69</v>
      </c>
      <c r="H152">
        <f>tblComponents[Contribution_Per_Unit]</f>
        <v>534.83000000000004</v>
      </c>
      <c r="I152">
        <f>tblComponents[Contribution_Margin]</f>
        <v>0.27639999999999998</v>
      </c>
      <c r="J152">
        <f>tblComponents[Actual_Cycle_Time_Min]/60</f>
        <v>7.4166666666666672E-2</v>
      </c>
      <c r="K152">
        <f t="shared" si="15"/>
        <v>7211.1910112359546</v>
      </c>
      <c r="L152">
        <f>H152*tblComponents[Planned_Production_or_Procurement]</f>
        <v>3679095.5700000003</v>
      </c>
      <c r="M152">
        <f t="shared" si="16"/>
        <v>57</v>
      </c>
      <c r="N152" t="str">
        <f t="shared" si="17"/>
        <v>High Economic Priority</v>
      </c>
      <c r="O152" t="str">
        <f>tblComponents[Criticality]</f>
        <v>Medium</v>
      </c>
      <c r="P152">
        <f>tblComponents[Planned_Production_or_Procurement]</f>
        <v>6879</v>
      </c>
      <c r="Q152">
        <f t="shared" si="18"/>
        <v>510.19250000000005</v>
      </c>
      <c r="R152" t="str">
        <f t="shared" si="19"/>
        <v>Medium</v>
      </c>
      <c r="S152" t="str">
        <f t="shared" si="20"/>
        <v>High Priority</v>
      </c>
    </row>
    <row r="153" spans="1:19" x14ac:dyDescent="0.35">
      <c r="A153" s="12" t="str">
        <f>tblComponents[Component_ID]</f>
        <v>C152</v>
      </c>
      <c r="B153" s="12" t="str">
        <f>tblComponents[Component_Name]</f>
        <v>Component 152</v>
      </c>
      <c r="C153" t="str">
        <f>tblComponents[Sourcing_Type]</f>
        <v>Make</v>
      </c>
      <c r="D153">
        <f>tblComponents[Forecast_Demand]</f>
        <v>1508</v>
      </c>
      <c r="E153">
        <f>tblComponents[Selling_Price_Per_Unit]</f>
        <v>4755.57</v>
      </c>
      <c r="F153">
        <f>tblComponents[Variable_Cost_Per_Unit]</f>
        <v>2923.34</v>
      </c>
      <c r="G153">
        <f>tblComponents[Direct_Labor_Cost_Per_Unit]</f>
        <v>137.41</v>
      </c>
      <c r="H153">
        <f>tblComponents[Contribution_Per_Unit]</f>
        <v>1832.23</v>
      </c>
      <c r="I153">
        <f>tblComponents[Contribution_Margin]</f>
        <v>0.38529999999999998</v>
      </c>
      <c r="J153">
        <f>tblComponents[Actual_Cycle_Time_Min]/60</f>
        <v>0.13333333333333333</v>
      </c>
      <c r="K153">
        <f t="shared" si="15"/>
        <v>13741.725</v>
      </c>
      <c r="L153">
        <f>H153*tblComponents[Planned_Production_or_Procurement]</f>
        <v>1048035.56</v>
      </c>
      <c r="M153">
        <f t="shared" si="16"/>
        <v>14</v>
      </c>
      <c r="N153" t="str">
        <f t="shared" si="17"/>
        <v>High Economic Priority</v>
      </c>
      <c r="O153" t="str">
        <f>tblComponents[Criticality]</f>
        <v>Medium</v>
      </c>
      <c r="P153">
        <f>tblComponents[Planned_Production_or_Procurement]</f>
        <v>572</v>
      </c>
      <c r="Q153">
        <f t="shared" si="18"/>
        <v>76.266666666666666</v>
      </c>
      <c r="R153" t="str">
        <f t="shared" si="19"/>
        <v>Medium</v>
      </c>
      <c r="S153" t="str">
        <f t="shared" si="20"/>
        <v>High Priority</v>
      </c>
    </row>
    <row r="154" spans="1:19" x14ac:dyDescent="0.35">
      <c r="A154" s="12" t="str">
        <f>tblComponents[Component_ID]</f>
        <v>C153</v>
      </c>
      <c r="B154" s="12" t="str">
        <f>tblComponents[Component_Name]</f>
        <v>Component 153</v>
      </c>
      <c r="C154" t="str">
        <f>tblComponents[Sourcing_Type]</f>
        <v>Make</v>
      </c>
      <c r="D154">
        <f>tblComponents[Forecast_Demand]</f>
        <v>2220</v>
      </c>
      <c r="E154">
        <f>tblComponents[Selling_Price_Per_Unit]</f>
        <v>3447.06</v>
      </c>
      <c r="F154">
        <f>tblComponents[Variable_Cost_Per_Unit]</f>
        <v>2174.8200000000002</v>
      </c>
      <c r="G154">
        <f>tblComponents[Direct_Labor_Cost_Per_Unit]</f>
        <v>61.09</v>
      </c>
      <c r="H154">
        <f>tblComponents[Contribution_Per_Unit]</f>
        <v>1272.24</v>
      </c>
      <c r="I154">
        <f>tblComponents[Contribution_Margin]</f>
        <v>0.36909999999999998</v>
      </c>
      <c r="J154">
        <f>tblComponents[Actual_Cycle_Time_Min]/60</f>
        <v>0.13300000000000001</v>
      </c>
      <c r="K154">
        <f t="shared" si="15"/>
        <v>9565.7142857142844</v>
      </c>
      <c r="L154">
        <f>H154*tblComponents[Planned_Production_or_Procurement]</f>
        <v>4793800.32</v>
      </c>
      <c r="M154">
        <f t="shared" si="16"/>
        <v>34</v>
      </c>
      <c r="N154" t="str">
        <f t="shared" si="17"/>
        <v>High Economic Priority</v>
      </c>
      <c r="O154" t="str">
        <f>tblComponents[Criticality]</f>
        <v>Medium</v>
      </c>
      <c r="P154">
        <f>tblComponents[Planned_Production_or_Procurement]</f>
        <v>3768</v>
      </c>
      <c r="Q154">
        <f t="shared" si="18"/>
        <v>501.14400000000001</v>
      </c>
      <c r="R154" t="str">
        <f t="shared" si="19"/>
        <v>Medium</v>
      </c>
      <c r="S154" t="str">
        <f t="shared" si="20"/>
        <v>High Priority</v>
      </c>
    </row>
    <row r="155" spans="1:19" x14ac:dyDescent="0.35">
      <c r="A155" s="12" t="str">
        <f>tblComponents[Component_ID]</f>
        <v>C154</v>
      </c>
      <c r="B155" s="12" t="str">
        <f>tblComponents[Component_Name]</f>
        <v>Component 154</v>
      </c>
      <c r="C155" t="str">
        <f>tblComponents[Sourcing_Type]</f>
        <v>Make</v>
      </c>
      <c r="D155">
        <f>tblComponents[Forecast_Demand]</f>
        <v>2476</v>
      </c>
      <c r="E155">
        <f>tblComponents[Selling_Price_Per_Unit]</f>
        <v>2739.5</v>
      </c>
      <c r="F155">
        <f>tblComponents[Variable_Cost_Per_Unit]</f>
        <v>2258.33</v>
      </c>
      <c r="G155">
        <f>tblComponents[Direct_Labor_Cost_Per_Unit]</f>
        <v>81.28</v>
      </c>
      <c r="H155">
        <f>tblComponents[Contribution_Per_Unit]</f>
        <v>481.17</v>
      </c>
      <c r="I155">
        <f>tblComponents[Contribution_Margin]</f>
        <v>0.17560000000000001</v>
      </c>
      <c r="J155">
        <f>tblComponents[Actual_Cycle_Time_Min]/60</f>
        <v>5.9499999999999997E-2</v>
      </c>
      <c r="K155">
        <f t="shared" si="15"/>
        <v>8086.8907563025214</v>
      </c>
      <c r="L155">
        <f>H155*tblComponents[Planned_Production_or_Procurement]</f>
        <v>865143.66</v>
      </c>
      <c r="M155">
        <f t="shared" si="16"/>
        <v>46</v>
      </c>
      <c r="N155" t="str">
        <f t="shared" si="17"/>
        <v>High Economic Priority</v>
      </c>
      <c r="O155" t="str">
        <f>tblComponents[Criticality]</f>
        <v>Medium</v>
      </c>
      <c r="P155">
        <f>tblComponents[Planned_Production_or_Procurement]</f>
        <v>1798</v>
      </c>
      <c r="Q155">
        <f t="shared" si="18"/>
        <v>106.98099999999999</v>
      </c>
      <c r="R155" t="str">
        <f t="shared" si="19"/>
        <v>Medium</v>
      </c>
      <c r="S155" t="str">
        <f t="shared" si="20"/>
        <v>High Priority</v>
      </c>
    </row>
    <row r="156" spans="1:19" x14ac:dyDescent="0.35">
      <c r="A156" s="12" t="str">
        <f>tblComponents[Component_ID]</f>
        <v>C155</v>
      </c>
      <c r="B156" s="12" t="str">
        <f>tblComponents[Component_Name]</f>
        <v>Component 155</v>
      </c>
      <c r="C156" t="str">
        <f>tblComponents[Sourcing_Type]</f>
        <v>Make</v>
      </c>
      <c r="D156">
        <f>tblComponents[Forecast_Demand]</f>
        <v>400</v>
      </c>
      <c r="E156">
        <f>tblComponents[Selling_Price_Per_Unit]</f>
        <v>1038.31</v>
      </c>
      <c r="F156">
        <f>tblComponents[Variable_Cost_Per_Unit]</f>
        <v>780.62</v>
      </c>
      <c r="G156">
        <f>tblComponents[Direct_Labor_Cost_Per_Unit]</f>
        <v>36.32</v>
      </c>
      <c r="H156">
        <f>tblComponents[Contribution_Per_Unit]</f>
        <v>257.69</v>
      </c>
      <c r="I156">
        <f>tblComponents[Contribution_Margin]</f>
        <v>0.2482</v>
      </c>
      <c r="J156">
        <f>tblComponents[Actual_Cycle_Time_Min]/60</f>
        <v>1.4666666666666666E-2</v>
      </c>
      <c r="K156">
        <f t="shared" si="15"/>
        <v>17569.772727272728</v>
      </c>
      <c r="L156">
        <f>H156*tblComponents[Planned_Production_or_Procurement]</f>
        <v>2669668.4</v>
      </c>
      <c r="M156">
        <f t="shared" si="16"/>
        <v>6</v>
      </c>
      <c r="N156" t="str">
        <f t="shared" si="17"/>
        <v>High Economic Priority</v>
      </c>
      <c r="O156" t="str">
        <f>tblComponents[Criticality]</f>
        <v>Low</v>
      </c>
      <c r="P156">
        <f>tblComponents[Planned_Production_or_Procurement]</f>
        <v>10360</v>
      </c>
      <c r="Q156">
        <f t="shared" si="18"/>
        <v>151.94666666666666</v>
      </c>
      <c r="R156" t="str">
        <f t="shared" si="19"/>
        <v>Low</v>
      </c>
      <c r="S156" t="str">
        <f t="shared" si="20"/>
        <v>High Priority</v>
      </c>
    </row>
    <row r="157" spans="1:19" x14ac:dyDescent="0.35">
      <c r="A157" s="12" t="str">
        <f>tblComponents[Component_ID]</f>
        <v>C156</v>
      </c>
      <c r="B157" s="12" t="str">
        <f>tblComponents[Component_Name]</f>
        <v>Component 156</v>
      </c>
      <c r="C157" t="str">
        <f>tblComponents[Sourcing_Type]</f>
        <v>Make</v>
      </c>
      <c r="D157">
        <f>tblComponents[Forecast_Demand]</f>
        <v>1320</v>
      </c>
      <c r="E157">
        <f>tblComponents[Selling_Price_Per_Unit]</f>
        <v>1245.5</v>
      </c>
      <c r="F157">
        <f>tblComponents[Variable_Cost_Per_Unit]</f>
        <v>886.37</v>
      </c>
      <c r="G157">
        <f>tblComponents[Direct_Labor_Cost_Per_Unit]</f>
        <v>32.25</v>
      </c>
      <c r="H157">
        <f>tblComponents[Contribution_Per_Unit]</f>
        <v>359.13</v>
      </c>
      <c r="I157">
        <f>tblComponents[Contribution_Margin]</f>
        <v>0.2883</v>
      </c>
      <c r="J157">
        <f>tblComponents[Actual_Cycle_Time_Min]/60</f>
        <v>0.14199999999999999</v>
      </c>
      <c r="K157">
        <f t="shared" si="15"/>
        <v>2529.0845070422538</v>
      </c>
      <c r="L157">
        <f>H157*tblComponents[Planned_Production_or_Procurement]</f>
        <v>2353378.89</v>
      </c>
      <c r="M157">
        <f t="shared" si="16"/>
        <v>190</v>
      </c>
      <c r="N157" t="str">
        <f t="shared" si="17"/>
        <v>Low Economic Priority</v>
      </c>
      <c r="O157" t="str">
        <f>tblComponents[Criticality]</f>
        <v>High</v>
      </c>
      <c r="P157">
        <f>tblComponents[Planned_Production_or_Procurement]</f>
        <v>6553</v>
      </c>
      <c r="Q157">
        <f t="shared" si="18"/>
        <v>930.52599999999995</v>
      </c>
      <c r="R157" t="str">
        <f t="shared" si="19"/>
        <v>High</v>
      </c>
      <c r="S157" t="str">
        <f t="shared" si="20"/>
        <v>High Priority</v>
      </c>
    </row>
    <row r="158" spans="1:19" x14ac:dyDescent="0.35">
      <c r="A158" s="12" t="str">
        <f>tblComponents[Component_ID]</f>
        <v>C157</v>
      </c>
      <c r="B158" s="12" t="str">
        <f>tblComponents[Component_Name]</f>
        <v>Component 157</v>
      </c>
      <c r="C158" t="str">
        <f>tblComponents[Sourcing_Type]</f>
        <v>Make</v>
      </c>
      <c r="D158">
        <f>tblComponents[Forecast_Demand]</f>
        <v>2521</v>
      </c>
      <c r="E158">
        <f>tblComponents[Selling_Price_Per_Unit]</f>
        <v>498.84</v>
      </c>
      <c r="F158">
        <f>tblComponents[Variable_Cost_Per_Unit]</f>
        <v>361.27</v>
      </c>
      <c r="G158">
        <f>tblComponents[Direct_Labor_Cost_Per_Unit]</f>
        <v>41.08</v>
      </c>
      <c r="H158">
        <f>tblComponents[Contribution_Per_Unit]</f>
        <v>137.57</v>
      </c>
      <c r="I158">
        <f>tblComponents[Contribution_Margin]</f>
        <v>0.27579999999999999</v>
      </c>
      <c r="J158">
        <f>tblComponents[Actual_Cycle_Time_Min]/60</f>
        <v>0.10583333333333332</v>
      </c>
      <c r="K158">
        <f t="shared" si="15"/>
        <v>1299.8740157480315</v>
      </c>
      <c r="L158">
        <f>H158*tblComponents[Planned_Production_or_Procurement]</f>
        <v>133993.18</v>
      </c>
      <c r="M158">
        <f t="shared" si="16"/>
        <v>275</v>
      </c>
      <c r="N158" t="str">
        <f t="shared" si="17"/>
        <v>Low Economic Priority</v>
      </c>
      <c r="O158" t="str">
        <f>tblComponents[Criticality]</f>
        <v>Medium</v>
      </c>
      <c r="P158">
        <f>tblComponents[Planned_Production_or_Procurement]</f>
        <v>974</v>
      </c>
      <c r="Q158">
        <f t="shared" si="18"/>
        <v>103.08166666666665</v>
      </c>
      <c r="R158" t="str">
        <f t="shared" si="19"/>
        <v>Medium</v>
      </c>
      <c r="S158" t="str">
        <f t="shared" si="20"/>
        <v>Medium Priority</v>
      </c>
    </row>
    <row r="159" spans="1:19" x14ac:dyDescent="0.35">
      <c r="A159" s="12" t="str">
        <f>tblComponents[Component_ID]</f>
        <v>C158</v>
      </c>
      <c r="B159" s="12" t="str">
        <f>tblComponents[Component_Name]</f>
        <v>Component 158</v>
      </c>
      <c r="C159" t="str">
        <f>tblComponents[Sourcing_Type]</f>
        <v>Make</v>
      </c>
      <c r="D159">
        <f>tblComponents[Forecast_Demand]</f>
        <v>1123</v>
      </c>
      <c r="E159">
        <f>tblComponents[Selling_Price_Per_Unit]</f>
        <v>953.61</v>
      </c>
      <c r="F159">
        <f>tblComponents[Variable_Cost_Per_Unit]</f>
        <v>764.35</v>
      </c>
      <c r="G159">
        <f>tblComponents[Direct_Labor_Cost_Per_Unit]</f>
        <v>43.01</v>
      </c>
      <c r="H159">
        <f>tblComponents[Contribution_Per_Unit]</f>
        <v>189.26</v>
      </c>
      <c r="I159">
        <f>tblComponents[Contribution_Margin]</f>
        <v>0.19850000000000001</v>
      </c>
      <c r="J159">
        <f>tblComponents[Actual_Cycle_Time_Min]/60</f>
        <v>0.1585</v>
      </c>
      <c r="K159">
        <f t="shared" si="15"/>
        <v>1194.0694006309147</v>
      </c>
      <c r="L159">
        <f>H159*tblComponents[Planned_Production_or_Procurement]</f>
        <v>310197.14</v>
      </c>
      <c r="M159">
        <f t="shared" si="16"/>
        <v>281</v>
      </c>
      <c r="N159" t="str">
        <f t="shared" si="17"/>
        <v>Low Economic Priority</v>
      </c>
      <c r="O159" t="str">
        <f>tblComponents[Criticality]</f>
        <v>Low</v>
      </c>
      <c r="P159">
        <f>tblComponents[Planned_Production_or_Procurement]</f>
        <v>1639</v>
      </c>
      <c r="Q159">
        <f t="shared" si="18"/>
        <v>259.78149999999999</v>
      </c>
      <c r="R159" t="str">
        <f t="shared" si="19"/>
        <v>Low</v>
      </c>
      <c r="S159" t="str">
        <f t="shared" si="20"/>
        <v>Low Priority</v>
      </c>
    </row>
    <row r="160" spans="1:19" x14ac:dyDescent="0.35">
      <c r="A160" s="12" t="str">
        <f>tblComponents[Component_ID]</f>
        <v>C159</v>
      </c>
      <c r="B160" s="12" t="str">
        <f>tblComponents[Component_Name]</f>
        <v>Component 159</v>
      </c>
      <c r="C160" t="str">
        <f>tblComponents[Sourcing_Type]</f>
        <v>Make</v>
      </c>
      <c r="D160">
        <f>tblComponents[Forecast_Demand]</f>
        <v>619</v>
      </c>
      <c r="E160">
        <f>tblComponents[Selling_Price_Per_Unit]</f>
        <v>647.29999999999995</v>
      </c>
      <c r="F160">
        <f>tblComponents[Variable_Cost_Per_Unit]</f>
        <v>411.23</v>
      </c>
      <c r="G160">
        <f>tblComponents[Direct_Labor_Cost_Per_Unit]</f>
        <v>69.61</v>
      </c>
      <c r="H160">
        <f>tblComponents[Contribution_Per_Unit]</f>
        <v>236.07</v>
      </c>
      <c r="I160">
        <f>tblComponents[Contribution_Margin]</f>
        <v>0.36470000000000002</v>
      </c>
      <c r="J160">
        <f>tblComponents[Actual_Cycle_Time_Min]/60</f>
        <v>4.6833333333333331E-2</v>
      </c>
      <c r="K160">
        <f t="shared" si="15"/>
        <v>5040.6405693950182</v>
      </c>
      <c r="L160">
        <f>H160*tblComponents[Planned_Production_or_Procurement]</f>
        <v>423273.51</v>
      </c>
      <c r="M160">
        <f t="shared" si="16"/>
        <v>97</v>
      </c>
      <c r="N160" t="str">
        <f t="shared" si="17"/>
        <v>Medium Economic Priority</v>
      </c>
      <c r="O160" t="str">
        <f>tblComponents[Criticality]</f>
        <v>High</v>
      </c>
      <c r="P160">
        <f>tblComponents[Planned_Production_or_Procurement]</f>
        <v>1793</v>
      </c>
      <c r="Q160">
        <f t="shared" si="18"/>
        <v>83.972166666666666</v>
      </c>
      <c r="R160" t="str">
        <f t="shared" si="19"/>
        <v>High</v>
      </c>
      <c r="S160" t="str">
        <f t="shared" si="20"/>
        <v>High Priority</v>
      </c>
    </row>
    <row r="161" spans="1:19" x14ac:dyDescent="0.35">
      <c r="A161" s="12" t="str">
        <f>tblComponents[Component_ID]</f>
        <v>C160</v>
      </c>
      <c r="B161" s="12" t="str">
        <f>tblComponents[Component_Name]</f>
        <v>Component 160</v>
      </c>
      <c r="C161" t="str">
        <f>tblComponents[Sourcing_Type]</f>
        <v>Make</v>
      </c>
      <c r="D161">
        <f>tblComponents[Forecast_Demand]</f>
        <v>2747</v>
      </c>
      <c r="E161">
        <f>tblComponents[Selling_Price_Per_Unit]</f>
        <v>1616.76</v>
      </c>
      <c r="F161">
        <f>tblComponents[Variable_Cost_Per_Unit]</f>
        <v>1100.6300000000001</v>
      </c>
      <c r="G161">
        <f>tblComponents[Direct_Labor_Cost_Per_Unit]</f>
        <v>29.29</v>
      </c>
      <c r="H161">
        <f>tblComponents[Contribution_Per_Unit]</f>
        <v>516.13</v>
      </c>
      <c r="I161">
        <f>tblComponents[Contribution_Margin]</f>
        <v>0.31919999999999998</v>
      </c>
      <c r="J161">
        <f>tblComponents[Actual_Cycle_Time_Min]/60</f>
        <v>0.1555</v>
      </c>
      <c r="K161">
        <f t="shared" si="15"/>
        <v>3319.1639871382636</v>
      </c>
      <c r="L161">
        <f>H161*tblComponents[Planned_Production_or_Procurement]</f>
        <v>1896261.6199999999</v>
      </c>
      <c r="M161">
        <f t="shared" si="16"/>
        <v>159</v>
      </c>
      <c r="N161" t="str">
        <f t="shared" si="17"/>
        <v>Low Economic Priority</v>
      </c>
      <c r="O161" t="str">
        <f>tblComponents[Criticality]</f>
        <v>High</v>
      </c>
      <c r="P161">
        <f>tblComponents[Planned_Production_or_Procurement]</f>
        <v>3674</v>
      </c>
      <c r="Q161">
        <f t="shared" si="18"/>
        <v>571.30700000000002</v>
      </c>
      <c r="R161" t="str">
        <f t="shared" si="19"/>
        <v>High</v>
      </c>
      <c r="S161" t="str">
        <f t="shared" si="20"/>
        <v>High Priority</v>
      </c>
    </row>
    <row r="162" spans="1:19" x14ac:dyDescent="0.35">
      <c r="A162" s="12" t="str">
        <f>tblComponents[Component_ID]</f>
        <v>C161</v>
      </c>
      <c r="B162" s="12" t="str">
        <f>tblComponents[Component_Name]</f>
        <v>Component 161</v>
      </c>
      <c r="C162" t="str">
        <f>tblComponents[Sourcing_Type]</f>
        <v>Make</v>
      </c>
      <c r="D162">
        <f>tblComponents[Forecast_Demand]</f>
        <v>2525</v>
      </c>
      <c r="E162">
        <f>tblComponents[Selling_Price_Per_Unit]</f>
        <v>1833.81</v>
      </c>
      <c r="F162">
        <f>tblComponents[Variable_Cost_Per_Unit]</f>
        <v>1174.5999999999999</v>
      </c>
      <c r="G162">
        <f>tblComponents[Direct_Labor_Cost_Per_Unit]</f>
        <v>12.33</v>
      </c>
      <c r="H162">
        <f>tblComponents[Contribution_Per_Unit]</f>
        <v>659.21</v>
      </c>
      <c r="I162">
        <f>tblComponents[Contribution_Margin]</f>
        <v>0.35949999999999999</v>
      </c>
      <c r="J162">
        <f>tblComponents[Actual_Cycle_Time_Min]/60</f>
        <v>9.2333333333333337E-2</v>
      </c>
      <c r="K162">
        <f t="shared" si="15"/>
        <v>7139.4584837545126</v>
      </c>
      <c r="L162">
        <f>H162*tblComponents[Planned_Production_or_Procurement]</f>
        <v>667120.52</v>
      </c>
      <c r="M162">
        <f t="shared" si="16"/>
        <v>58</v>
      </c>
      <c r="N162" t="str">
        <f t="shared" si="17"/>
        <v>High Economic Priority</v>
      </c>
      <c r="O162" t="str">
        <f>tblComponents[Criticality]</f>
        <v>Medium</v>
      </c>
      <c r="P162">
        <f>tblComponents[Planned_Production_or_Procurement]</f>
        <v>1012</v>
      </c>
      <c r="Q162">
        <f t="shared" si="18"/>
        <v>93.441333333333333</v>
      </c>
      <c r="R162" t="str">
        <f t="shared" si="19"/>
        <v>Medium</v>
      </c>
      <c r="S162" t="str">
        <f t="shared" si="20"/>
        <v>High Priority</v>
      </c>
    </row>
    <row r="163" spans="1:19" x14ac:dyDescent="0.35">
      <c r="A163" s="12" t="str">
        <f>tblComponents[Component_ID]</f>
        <v>C162</v>
      </c>
      <c r="B163" s="12" t="str">
        <f>tblComponents[Component_Name]</f>
        <v>Component 162</v>
      </c>
      <c r="C163" t="str">
        <f>tblComponents[Sourcing_Type]</f>
        <v>Make</v>
      </c>
      <c r="D163">
        <f>tblComponents[Forecast_Demand]</f>
        <v>1038</v>
      </c>
      <c r="E163">
        <f>tblComponents[Selling_Price_Per_Unit]</f>
        <v>1448.05</v>
      </c>
      <c r="F163">
        <f>tblComponents[Variable_Cost_Per_Unit]</f>
        <v>919.96</v>
      </c>
      <c r="G163">
        <f>tblComponents[Direct_Labor_Cost_Per_Unit]</f>
        <v>72.62</v>
      </c>
      <c r="H163">
        <f>tblComponents[Contribution_Per_Unit]</f>
        <v>528.09</v>
      </c>
      <c r="I163">
        <f>tblComponents[Contribution_Margin]</f>
        <v>0.36470000000000002</v>
      </c>
      <c r="J163">
        <f>tblComponents[Actual_Cycle_Time_Min]/60</f>
        <v>0.14649999999999999</v>
      </c>
      <c r="K163">
        <f t="shared" si="15"/>
        <v>3604.7098976109219</v>
      </c>
      <c r="L163">
        <f>H163*tblComponents[Planned_Production_or_Procurement]</f>
        <v>1013932.8</v>
      </c>
      <c r="M163">
        <f t="shared" si="16"/>
        <v>146</v>
      </c>
      <c r="N163" t="str">
        <f t="shared" si="17"/>
        <v>Medium Economic Priority</v>
      </c>
      <c r="O163" t="str">
        <f>tblComponents[Criticality]</f>
        <v>Medium</v>
      </c>
      <c r="P163">
        <f>tblComponents[Planned_Production_or_Procurement]</f>
        <v>1920</v>
      </c>
      <c r="Q163">
        <f t="shared" si="18"/>
        <v>281.27999999999997</v>
      </c>
      <c r="R163" t="str">
        <f t="shared" si="19"/>
        <v>Medium</v>
      </c>
      <c r="S163" t="str">
        <f t="shared" si="20"/>
        <v>Medium Priority</v>
      </c>
    </row>
    <row r="164" spans="1:19" x14ac:dyDescent="0.35">
      <c r="A164" s="12" t="str">
        <f>tblComponents[Component_ID]</f>
        <v>C163</v>
      </c>
      <c r="B164" s="12" t="str">
        <f>tblComponents[Component_Name]</f>
        <v>Component 163</v>
      </c>
      <c r="C164" t="str">
        <f>tblComponents[Sourcing_Type]</f>
        <v>Make</v>
      </c>
      <c r="D164">
        <f>tblComponents[Forecast_Demand]</f>
        <v>149</v>
      </c>
      <c r="E164">
        <f>tblComponents[Selling_Price_Per_Unit]</f>
        <v>1872.39</v>
      </c>
      <c r="F164">
        <f>tblComponents[Variable_Cost_Per_Unit]</f>
        <v>1241.23</v>
      </c>
      <c r="G164">
        <f>tblComponents[Direct_Labor_Cost_Per_Unit]</f>
        <v>18.02</v>
      </c>
      <c r="H164">
        <f>tblComponents[Contribution_Per_Unit]</f>
        <v>631.16</v>
      </c>
      <c r="I164">
        <f>tblComponents[Contribution_Margin]</f>
        <v>0.33710000000000001</v>
      </c>
      <c r="J164">
        <f>tblComponents[Actual_Cycle_Time_Min]/60</f>
        <v>0.14116666666666669</v>
      </c>
      <c r="K164">
        <f t="shared" si="15"/>
        <v>4471.0271546635176</v>
      </c>
      <c r="L164">
        <f>H164*tblComponents[Planned_Production_or_Procurement]</f>
        <v>497985.24</v>
      </c>
      <c r="M164">
        <f t="shared" si="16"/>
        <v>118</v>
      </c>
      <c r="N164" t="str">
        <f t="shared" si="17"/>
        <v>Medium Economic Priority</v>
      </c>
      <c r="O164" t="str">
        <f>tblComponents[Criticality]</f>
        <v>High</v>
      </c>
      <c r="P164">
        <f>tblComponents[Planned_Production_or_Procurement]</f>
        <v>789</v>
      </c>
      <c r="Q164">
        <f t="shared" si="18"/>
        <v>111.38050000000001</v>
      </c>
      <c r="R164" t="str">
        <f t="shared" si="19"/>
        <v>High</v>
      </c>
      <c r="S164" t="str">
        <f t="shared" si="20"/>
        <v>High Priority</v>
      </c>
    </row>
    <row r="165" spans="1:19" x14ac:dyDescent="0.35">
      <c r="A165" s="12" t="str">
        <f>tblComponents[Component_ID]</f>
        <v>C164</v>
      </c>
      <c r="B165" s="12" t="str">
        <f>tblComponents[Component_Name]</f>
        <v>Component 164</v>
      </c>
      <c r="C165" t="str">
        <f>tblComponents[Sourcing_Type]</f>
        <v>Make</v>
      </c>
      <c r="D165">
        <f>tblComponents[Forecast_Demand]</f>
        <v>1470</v>
      </c>
      <c r="E165">
        <f>tblComponents[Selling_Price_Per_Unit]</f>
        <v>581.09</v>
      </c>
      <c r="F165">
        <f>tblComponents[Variable_Cost_Per_Unit]</f>
        <v>430.12</v>
      </c>
      <c r="G165">
        <f>tblComponents[Direct_Labor_Cost_Per_Unit]</f>
        <v>31.33</v>
      </c>
      <c r="H165">
        <f>tblComponents[Contribution_Per_Unit]</f>
        <v>150.97</v>
      </c>
      <c r="I165">
        <f>tblComponents[Contribution_Margin]</f>
        <v>0.25979999999999998</v>
      </c>
      <c r="J165">
        <f>tblComponents[Actual_Cycle_Time_Min]/60</f>
        <v>6.8166666666666667E-2</v>
      </c>
      <c r="K165">
        <f t="shared" si="15"/>
        <v>2214.7188264058677</v>
      </c>
      <c r="L165">
        <f>H165*tblComponents[Planned_Production_or_Procurement]</f>
        <v>143723.44</v>
      </c>
      <c r="M165">
        <f t="shared" si="16"/>
        <v>212</v>
      </c>
      <c r="N165" t="str">
        <f t="shared" si="17"/>
        <v>Low Economic Priority</v>
      </c>
      <c r="O165" t="str">
        <f>tblComponents[Criticality]</f>
        <v>Low</v>
      </c>
      <c r="P165">
        <f>tblComponents[Planned_Production_or_Procurement]</f>
        <v>952</v>
      </c>
      <c r="Q165">
        <f t="shared" si="18"/>
        <v>64.894666666666666</v>
      </c>
      <c r="R165" t="str">
        <f t="shared" si="19"/>
        <v>Low</v>
      </c>
      <c r="S165" t="str">
        <f t="shared" si="20"/>
        <v>Low Priority</v>
      </c>
    </row>
    <row r="166" spans="1:19" x14ac:dyDescent="0.35">
      <c r="A166" s="12" t="str">
        <f>tblComponents[Component_ID]</f>
        <v>C165</v>
      </c>
      <c r="B166" s="12" t="str">
        <f>tblComponents[Component_Name]</f>
        <v>Component 165</v>
      </c>
      <c r="C166" t="str">
        <f>tblComponents[Sourcing_Type]</f>
        <v>Make</v>
      </c>
      <c r="D166">
        <f>tblComponents[Forecast_Demand]</f>
        <v>724</v>
      </c>
      <c r="E166">
        <f>tblComponents[Selling_Price_Per_Unit]</f>
        <v>1238.57</v>
      </c>
      <c r="F166">
        <f>tblComponents[Variable_Cost_Per_Unit]</f>
        <v>863.73</v>
      </c>
      <c r="G166">
        <f>tblComponents[Direct_Labor_Cost_Per_Unit]</f>
        <v>28.98</v>
      </c>
      <c r="H166">
        <f>tblComponents[Contribution_Per_Unit]</f>
        <v>374.84</v>
      </c>
      <c r="I166">
        <f>tblComponents[Contribution_Margin]</f>
        <v>0.30259999999999998</v>
      </c>
      <c r="J166">
        <f>tblComponents[Actual_Cycle_Time_Min]/60</f>
        <v>7.5999999999999998E-2</v>
      </c>
      <c r="K166">
        <f t="shared" si="15"/>
        <v>4932.1052631578941</v>
      </c>
      <c r="L166">
        <f>H166*tblComponents[Planned_Production_or_Procurement]</f>
        <v>6799222.7599999998</v>
      </c>
      <c r="M166">
        <f t="shared" si="16"/>
        <v>102</v>
      </c>
      <c r="N166" t="str">
        <f t="shared" si="17"/>
        <v>Medium Economic Priority</v>
      </c>
      <c r="O166" t="str">
        <f>tblComponents[Criticality]</f>
        <v>Medium</v>
      </c>
      <c r="P166">
        <f>tblComponents[Planned_Production_or_Procurement]</f>
        <v>18139</v>
      </c>
      <c r="Q166">
        <f t="shared" si="18"/>
        <v>1378.5640000000001</v>
      </c>
      <c r="R166" t="str">
        <f t="shared" si="19"/>
        <v>Medium</v>
      </c>
      <c r="S166" t="str">
        <f t="shared" si="20"/>
        <v>Medium Priority</v>
      </c>
    </row>
    <row r="167" spans="1:19" x14ac:dyDescent="0.35">
      <c r="A167" s="12" t="str">
        <f>tblComponents[Component_ID]</f>
        <v>C166</v>
      </c>
      <c r="B167" s="12" t="str">
        <f>tblComponents[Component_Name]</f>
        <v>Component 166</v>
      </c>
      <c r="C167" t="str">
        <f>tblComponents[Sourcing_Type]</f>
        <v>Make</v>
      </c>
      <c r="D167">
        <f>tblComponents[Forecast_Demand]</f>
        <v>662</v>
      </c>
      <c r="E167">
        <f>tblComponents[Selling_Price_Per_Unit]</f>
        <v>1990.36</v>
      </c>
      <c r="F167">
        <f>tblComponents[Variable_Cost_Per_Unit]</f>
        <v>1612.01</v>
      </c>
      <c r="G167">
        <f>tblComponents[Direct_Labor_Cost_Per_Unit]</f>
        <v>139.5</v>
      </c>
      <c r="H167">
        <f>tblComponents[Contribution_Per_Unit]</f>
        <v>378.35</v>
      </c>
      <c r="I167">
        <f>tblComponents[Contribution_Margin]</f>
        <v>0.19009999999999999</v>
      </c>
      <c r="J167">
        <f>tblComponents[Actual_Cycle_Time_Min]/60</f>
        <v>2.6833333333333334E-2</v>
      </c>
      <c r="K167">
        <f t="shared" si="15"/>
        <v>14100</v>
      </c>
      <c r="L167">
        <f>H167*tblComponents[Planned_Production_or_Procurement]</f>
        <v>1290551.8500000001</v>
      </c>
      <c r="M167">
        <f t="shared" si="16"/>
        <v>12</v>
      </c>
      <c r="N167" t="str">
        <f t="shared" si="17"/>
        <v>High Economic Priority</v>
      </c>
      <c r="O167" t="str">
        <f>tblComponents[Criticality]</f>
        <v>Low</v>
      </c>
      <c r="P167">
        <f>tblComponents[Planned_Production_or_Procurement]</f>
        <v>3411</v>
      </c>
      <c r="Q167">
        <f t="shared" si="18"/>
        <v>91.528500000000008</v>
      </c>
      <c r="R167" t="str">
        <f t="shared" si="19"/>
        <v>Low</v>
      </c>
      <c r="S167" t="str">
        <f t="shared" si="20"/>
        <v>High Priority</v>
      </c>
    </row>
    <row r="168" spans="1:19" x14ac:dyDescent="0.35">
      <c r="A168" s="12" t="str">
        <f>tblComponents[Component_ID]</f>
        <v>C167</v>
      </c>
      <c r="B168" s="12" t="str">
        <f>tblComponents[Component_Name]</f>
        <v>Component 167</v>
      </c>
      <c r="C168" t="str">
        <f>tblComponents[Sourcing_Type]</f>
        <v>Make</v>
      </c>
      <c r="D168">
        <f>tblComponents[Forecast_Demand]</f>
        <v>337</v>
      </c>
      <c r="E168">
        <f>tblComponents[Selling_Price_Per_Unit]</f>
        <v>1998.99</v>
      </c>
      <c r="F168">
        <f>tblComponents[Variable_Cost_Per_Unit]</f>
        <v>1362.49</v>
      </c>
      <c r="G168">
        <f>tblComponents[Direct_Labor_Cost_Per_Unit]</f>
        <v>28.04</v>
      </c>
      <c r="H168">
        <f>tblComponents[Contribution_Per_Unit]</f>
        <v>636.5</v>
      </c>
      <c r="I168">
        <f>tblComponents[Contribution_Margin]</f>
        <v>0.31840000000000002</v>
      </c>
      <c r="J168">
        <f>tblComponents[Actual_Cycle_Time_Min]/60</f>
        <v>0.19416666666666668</v>
      </c>
      <c r="K168">
        <f t="shared" si="15"/>
        <v>3278.1115879828326</v>
      </c>
      <c r="L168">
        <f>H168*tblComponents[Planned_Production_or_Procurement]</f>
        <v>542934.5</v>
      </c>
      <c r="M168">
        <f t="shared" si="16"/>
        <v>160</v>
      </c>
      <c r="N168" t="str">
        <f t="shared" si="17"/>
        <v>Low Economic Priority</v>
      </c>
      <c r="O168" t="str">
        <f>tblComponents[Criticality]</f>
        <v>Low</v>
      </c>
      <c r="P168">
        <f>tblComponents[Planned_Production_or_Procurement]</f>
        <v>853</v>
      </c>
      <c r="Q168">
        <f t="shared" si="18"/>
        <v>165.62416666666667</v>
      </c>
      <c r="R168" t="str">
        <f t="shared" si="19"/>
        <v>Low</v>
      </c>
      <c r="S168" t="str">
        <f t="shared" si="20"/>
        <v>Low Priority</v>
      </c>
    </row>
    <row r="169" spans="1:19" x14ac:dyDescent="0.35">
      <c r="A169" s="12" t="str">
        <f>tblComponents[Component_ID]</f>
        <v>C168</v>
      </c>
      <c r="B169" s="12" t="str">
        <f>tblComponents[Component_Name]</f>
        <v>Component 168</v>
      </c>
      <c r="C169" t="str">
        <f>tblComponents[Sourcing_Type]</f>
        <v>Make</v>
      </c>
      <c r="D169">
        <f>tblComponents[Forecast_Demand]</f>
        <v>1011</v>
      </c>
      <c r="E169">
        <f>tblComponents[Selling_Price_Per_Unit]</f>
        <v>1053.57</v>
      </c>
      <c r="F169">
        <f>tblComponents[Variable_Cost_Per_Unit]</f>
        <v>848.32</v>
      </c>
      <c r="G169">
        <f>tblComponents[Direct_Labor_Cost_Per_Unit]</f>
        <v>69.239999999999995</v>
      </c>
      <c r="H169">
        <f>tblComponents[Contribution_Per_Unit]</f>
        <v>205.25</v>
      </c>
      <c r="I169">
        <f>tblComponents[Contribution_Margin]</f>
        <v>0.1948</v>
      </c>
      <c r="J169">
        <f>tblComponents[Actual_Cycle_Time_Min]/60</f>
        <v>0.121</v>
      </c>
      <c r="K169">
        <f t="shared" si="15"/>
        <v>1696.2809917355373</v>
      </c>
      <c r="L169">
        <f>H169*tblComponents[Planned_Production_or_Procurement]</f>
        <v>310132.75</v>
      </c>
      <c r="M169">
        <f t="shared" si="16"/>
        <v>244</v>
      </c>
      <c r="N169" t="str">
        <f t="shared" si="17"/>
        <v>Low Economic Priority</v>
      </c>
      <c r="O169" t="str">
        <f>tblComponents[Criticality]</f>
        <v>High</v>
      </c>
      <c r="P169">
        <f>tblComponents[Planned_Production_or_Procurement]</f>
        <v>1511</v>
      </c>
      <c r="Q169">
        <f t="shared" si="18"/>
        <v>182.83099999999999</v>
      </c>
      <c r="R169" t="str">
        <f t="shared" si="19"/>
        <v>High</v>
      </c>
      <c r="S169" t="str">
        <f t="shared" si="20"/>
        <v>High Priority</v>
      </c>
    </row>
    <row r="170" spans="1:19" x14ac:dyDescent="0.35">
      <c r="A170" s="12" t="str">
        <f>tblComponents[Component_ID]</f>
        <v>C169</v>
      </c>
      <c r="B170" s="12" t="str">
        <f>tblComponents[Component_Name]</f>
        <v>Component 169</v>
      </c>
      <c r="C170" t="str">
        <f>tblComponents[Sourcing_Type]</f>
        <v>Make</v>
      </c>
      <c r="D170">
        <f>tblComponents[Forecast_Demand]</f>
        <v>429</v>
      </c>
      <c r="E170">
        <f>tblComponents[Selling_Price_Per_Unit]</f>
        <v>1708.54</v>
      </c>
      <c r="F170">
        <f>tblComponents[Variable_Cost_Per_Unit]</f>
        <v>1155.8499999999999</v>
      </c>
      <c r="G170">
        <f>tblComponents[Direct_Labor_Cost_Per_Unit]</f>
        <v>24.54</v>
      </c>
      <c r="H170">
        <f>tblComponents[Contribution_Per_Unit]</f>
        <v>552.69000000000005</v>
      </c>
      <c r="I170">
        <f>tblComponents[Contribution_Margin]</f>
        <v>0.32350000000000001</v>
      </c>
      <c r="J170">
        <f>tblComponents[Actual_Cycle_Time_Min]/60</f>
        <v>0.26616666666666666</v>
      </c>
      <c r="K170">
        <f t="shared" si="15"/>
        <v>2076.4809016906702</v>
      </c>
      <c r="L170">
        <f>H170*tblComponents[Planned_Production_or_Procurement]</f>
        <v>995947.38000000012</v>
      </c>
      <c r="M170">
        <f t="shared" si="16"/>
        <v>221</v>
      </c>
      <c r="N170" t="str">
        <f t="shared" si="17"/>
        <v>Low Economic Priority</v>
      </c>
      <c r="O170" t="str">
        <f>tblComponents[Criticality]</f>
        <v>Medium</v>
      </c>
      <c r="P170">
        <f>tblComponents[Planned_Production_or_Procurement]</f>
        <v>1802</v>
      </c>
      <c r="Q170">
        <f t="shared" si="18"/>
        <v>479.63233333333335</v>
      </c>
      <c r="R170" t="str">
        <f t="shared" si="19"/>
        <v>Medium</v>
      </c>
      <c r="S170" t="str">
        <f t="shared" si="20"/>
        <v>Medium Priority</v>
      </c>
    </row>
    <row r="171" spans="1:19" x14ac:dyDescent="0.35">
      <c r="A171" s="12" t="str">
        <f>tblComponents[Component_ID]</f>
        <v>C170</v>
      </c>
      <c r="B171" s="12" t="str">
        <f>tblComponents[Component_Name]</f>
        <v>Component 170</v>
      </c>
      <c r="C171" t="str">
        <f>tblComponents[Sourcing_Type]</f>
        <v>Make</v>
      </c>
      <c r="D171">
        <f>tblComponents[Forecast_Demand]</f>
        <v>782</v>
      </c>
      <c r="E171">
        <f>tblComponents[Selling_Price_Per_Unit]</f>
        <v>780.92</v>
      </c>
      <c r="F171">
        <f>tblComponents[Variable_Cost_Per_Unit]</f>
        <v>618.96</v>
      </c>
      <c r="G171">
        <f>tblComponents[Direct_Labor_Cost_Per_Unit]</f>
        <v>52.76</v>
      </c>
      <c r="H171">
        <f>tblComponents[Contribution_Per_Unit]</f>
        <v>161.96</v>
      </c>
      <c r="I171">
        <f>tblComponents[Contribution_Margin]</f>
        <v>0.2074</v>
      </c>
      <c r="J171">
        <f>tblComponents[Actual_Cycle_Time_Min]/60</f>
        <v>1.3833333333333333E-2</v>
      </c>
      <c r="K171">
        <f t="shared" si="15"/>
        <v>11707.951807228917</v>
      </c>
      <c r="L171">
        <f>H171*tblComponents[Planned_Production_or_Procurement]</f>
        <v>1111855.4000000001</v>
      </c>
      <c r="M171">
        <f t="shared" si="16"/>
        <v>21</v>
      </c>
      <c r="N171" t="str">
        <f t="shared" si="17"/>
        <v>High Economic Priority</v>
      </c>
      <c r="O171" t="str">
        <f>tblComponents[Criticality]</f>
        <v>Critical</v>
      </c>
      <c r="P171">
        <f>tblComponents[Planned_Production_or_Procurement]</f>
        <v>6865</v>
      </c>
      <c r="Q171">
        <f t="shared" si="18"/>
        <v>94.965833333333336</v>
      </c>
      <c r="R171" t="str">
        <f t="shared" si="19"/>
        <v>Critical</v>
      </c>
      <c r="S171" t="str">
        <f t="shared" si="20"/>
        <v>Critical Priority</v>
      </c>
    </row>
    <row r="172" spans="1:19" x14ac:dyDescent="0.35">
      <c r="A172" s="12" t="str">
        <f>tblComponents[Component_ID]</f>
        <v>C171</v>
      </c>
      <c r="B172" s="12" t="str">
        <f>tblComponents[Component_Name]</f>
        <v>Component 171</v>
      </c>
      <c r="C172" t="str">
        <f>tblComponents[Sourcing_Type]</f>
        <v>Make</v>
      </c>
      <c r="D172">
        <f>tblComponents[Forecast_Demand]</f>
        <v>510</v>
      </c>
      <c r="E172">
        <f>tblComponents[Selling_Price_Per_Unit]</f>
        <v>1215.7</v>
      </c>
      <c r="F172">
        <f>tblComponents[Variable_Cost_Per_Unit]</f>
        <v>997.62</v>
      </c>
      <c r="G172">
        <f>tblComponents[Direct_Labor_Cost_Per_Unit]</f>
        <v>39.520000000000003</v>
      </c>
      <c r="H172">
        <f>tblComponents[Contribution_Per_Unit]</f>
        <v>218.08</v>
      </c>
      <c r="I172">
        <f>tblComponents[Contribution_Margin]</f>
        <v>0.1794</v>
      </c>
      <c r="J172">
        <f>tblComponents[Actual_Cycle_Time_Min]/60</f>
        <v>4.9166666666666671E-2</v>
      </c>
      <c r="K172">
        <f t="shared" si="15"/>
        <v>4435.5254237288136</v>
      </c>
      <c r="L172">
        <f>H172*tblComponents[Planned_Production_or_Procurement]</f>
        <v>4648811.3600000003</v>
      </c>
      <c r="M172">
        <f t="shared" si="16"/>
        <v>119</v>
      </c>
      <c r="N172" t="str">
        <f t="shared" si="17"/>
        <v>Medium Economic Priority</v>
      </c>
      <c r="O172" t="str">
        <f>tblComponents[Criticality]</f>
        <v>Critical</v>
      </c>
      <c r="P172">
        <f>tblComponents[Planned_Production_or_Procurement]</f>
        <v>21317</v>
      </c>
      <c r="Q172">
        <f t="shared" si="18"/>
        <v>1048.0858333333335</v>
      </c>
      <c r="R172" t="str">
        <f t="shared" si="19"/>
        <v>Critical</v>
      </c>
      <c r="S172" t="str">
        <f t="shared" si="20"/>
        <v>Critical Priority</v>
      </c>
    </row>
    <row r="173" spans="1:19" x14ac:dyDescent="0.35">
      <c r="A173" s="12" t="str">
        <f>tblComponents[Component_ID]</f>
        <v>C172</v>
      </c>
      <c r="B173" s="12" t="str">
        <f>tblComponents[Component_Name]</f>
        <v>Component 172</v>
      </c>
      <c r="C173" t="str">
        <f>tblComponents[Sourcing_Type]</f>
        <v>Make</v>
      </c>
      <c r="D173">
        <f>tblComponents[Forecast_Demand]</f>
        <v>935</v>
      </c>
      <c r="E173">
        <f>tblComponents[Selling_Price_Per_Unit]</f>
        <v>728.53</v>
      </c>
      <c r="F173">
        <f>tblComponents[Variable_Cost_Per_Unit]</f>
        <v>589.15</v>
      </c>
      <c r="G173">
        <f>tblComponents[Direct_Labor_Cost_Per_Unit]</f>
        <v>60.66</v>
      </c>
      <c r="H173">
        <f>tblComponents[Contribution_Per_Unit]</f>
        <v>139.38</v>
      </c>
      <c r="I173">
        <f>tblComponents[Contribution_Margin]</f>
        <v>0.1913</v>
      </c>
      <c r="J173">
        <f>tblComponents[Actual_Cycle_Time_Min]/60</f>
        <v>9.116666666666666E-2</v>
      </c>
      <c r="K173">
        <f t="shared" si="15"/>
        <v>1528.8482632541134</v>
      </c>
      <c r="L173">
        <f>H173*tblComponents[Planned_Production_or_Procurement]</f>
        <v>206979.3</v>
      </c>
      <c r="M173">
        <f t="shared" si="16"/>
        <v>254</v>
      </c>
      <c r="N173" t="str">
        <f t="shared" si="17"/>
        <v>Low Economic Priority</v>
      </c>
      <c r="O173" t="str">
        <f>tblComponents[Criticality]</f>
        <v>Low</v>
      </c>
      <c r="P173">
        <f>tblComponents[Planned_Production_or_Procurement]</f>
        <v>1485</v>
      </c>
      <c r="Q173">
        <f t="shared" si="18"/>
        <v>135.38249999999999</v>
      </c>
      <c r="R173" t="str">
        <f t="shared" si="19"/>
        <v>Low</v>
      </c>
      <c r="S173" t="str">
        <f t="shared" si="20"/>
        <v>Low Priority</v>
      </c>
    </row>
    <row r="174" spans="1:19" x14ac:dyDescent="0.35">
      <c r="A174" s="12" t="str">
        <f>tblComponents[Component_ID]</f>
        <v>C173</v>
      </c>
      <c r="B174" s="12" t="str">
        <f>tblComponents[Component_Name]</f>
        <v>Component 173</v>
      </c>
      <c r="C174" t="str">
        <f>tblComponents[Sourcing_Type]</f>
        <v>Make</v>
      </c>
      <c r="D174">
        <f>tblComponents[Forecast_Demand]</f>
        <v>1288</v>
      </c>
      <c r="E174">
        <f>tblComponents[Selling_Price_Per_Unit]</f>
        <v>1897.96</v>
      </c>
      <c r="F174">
        <f>tblComponents[Variable_Cost_Per_Unit]</f>
        <v>1612.32</v>
      </c>
      <c r="G174">
        <f>tblComponents[Direct_Labor_Cost_Per_Unit]</f>
        <v>41.66</v>
      </c>
      <c r="H174">
        <f>tblComponents[Contribution_Per_Unit]</f>
        <v>285.64</v>
      </c>
      <c r="I174">
        <f>tblComponents[Contribution_Margin]</f>
        <v>0.15049999999999999</v>
      </c>
      <c r="J174">
        <f>tblComponents[Actual_Cycle_Time_Min]/60</f>
        <v>0.11883333333333333</v>
      </c>
      <c r="K174">
        <f t="shared" si="15"/>
        <v>2403.7026647966341</v>
      </c>
      <c r="L174">
        <f>H174*tblComponents[Planned_Production_or_Procurement]</f>
        <v>336198.27999999997</v>
      </c>
      <c r="M174">
        <f t="shared" si="16"/>
        <v>199</v>
      </c>
      <c r="N174" t="str">
        <f t="shared" si="17"/>
        <v>Low Economic Priority</v>
      </c>
      <c r="O174" t="str">
        <f>tblComponents[Criticality]</f>
        <v>High</v>
      </c>
      <c r="P174">
        <f>tblComponents[Planned_Production_or_Procurement]</f>
        <v>1177</v>
      </c>
      <c r="Q174">
        <f t="shared" si="18"/>
        <v>139.86683333333335</v>
      </c>
      <c r="R174" t="str">
        <f t="shared" si="19"/>
        <v>High</v>
      </c>
      <c r="S174" t="str">
        <f t="shared" si="20"/>
        <v>High Priority</v>
      </c>
    </row>
    <row r="175" spans="1:19" x14ac:dyDescent="0.35">
      <c r="A175" s="12" t="str">
        <f>tblComponents[Component_ID]</f>
        <v>C174</v>
      </c>
      <c r="B175" s="12" t="str">
        <f>tblComponents[Component_Name]</f>
        <v>Component 174</v>
      </c>
      <c r="C175" t="str">
        <f>tblComponents[Sourcing_Type]</f>
        <v>Make</v>
      </c>
      <c r="D175">
        <f>tblComponents[Forecast_Demand]</f>
        <v>1119</v>
      </c>
      <c r="E175">
        <f>tblComponents[Selling_Price_Per_Unit]</f>
        <v>2480.34</v>
      </c>
      <c r="F175">
        <f>tblComponents[Variable_Cost_Per_Unit]</f>
        <v>1662.61</v>
      </c>
      <c r="G175">
        <f>tblComponents[Direct_Labor_Cost_Per_Unit]</f>
        <v>40.729999999999997</v>
      </c>
      <c r="H175">
        <f>tblComponents[Contribution_Per_Unit]</f>
        <v>817.73</v>
      </c>
      <c r="I175">
        <f>tblComponents[Contribution_Margin]</f>
        <v>0.32969999999999999</v>
      </c>
      <c r="J175">
        <f>tblComponents[Actual_Cycle_Time_Min]/60</f>
        <v>0.128</v>
      </c>
      <c r="K175">
        <f t="shared" si="15"/>
        <v>6388.515625</v>
      </c>
      <c r="L175">
        <f>H175*tblComponents[Planned_Production_or_Procurement]</f>
        <v>628834.37</v>
      </c>
      <c r="M175">
        <f t="shared" si="16"/>
        <v>68</v>
      </c>
      <c r="N175" t="str">
        <f t="shared" si="17"/>
        <v>High Economic Priority</v>
      </c>
      <c r="O175" t="str">
        <f>tblComponents[Criticality]</f>
        <v>High</v>
      </c>
      <c r="P175">
        <f>tblComponents[Planned_Production_or_Procurement]</f>
        <v>769</v>
      </c>
      <c r="Q175">
        <f t="shared" si="18"/>
        <v>98.432000000000002</v>
      </c>
      <c r="R175" t="str">
        <f t="shared" si="19"/>
        <v>High</v>
      </c>
      <c r="S175" t="str">
        <f t="shared" si="20"/>
        <v>High Priority</v>
      </c>
    </row>
    <row r="176" spans="1:19" x14ac:dyDescent="0.35">
      <c r="A176" s="12" t="str">
        <f>tblComponents[Component_ID]</f>
        <v>C175</v>
      </c>
      <c r="B176" s="12" t="str">
        <f>tblComponents[Component_Name]</f>
        <v>Component 175</v>
      </c>
      <c r="C176" t="str">
        <f>tblComponents[Sourcing_Type]</f>
        <v>Make</v>
      </c>
      <c r="D176">
        <f>tblComponents[Forecast_Demand]</f>
        <v>1341</v>
      </c>
      <c r="E176">
        <f>tblComponents[Selling_Price_Per_Unit]</f>
        <v>1708.56</v>
      </c>
      <c r="F176">
        <f>tblComponents[Variable_Cost_Per_Unit]</f>
        <v>1139.44</v>
      </c>
      <c r="G176">
        <f>tblComponents[Direct_Labor_Cost_Per_Unit]</f>
        <v>59.97</v>
      </c>
      <c r="H176">
        <f>tblComponents[Contribution_Per_Unit]</f>
        <v>569.12</v>
      </c>
      <c r="I176">
        <f>tblComponents[Contribution_Margin]</f>
        <v>0.33310000000000001</v>
      </c>
      <c r="J176">
        <f>tblComponents[Actual_Cycle_Time_Min]/60</f>
        <v>0.14433333333333334</v>
      </c>
      <c r="K176">
        <f t="shared" si="15"/>
        <v>3943.094688221709</v>
      </c>
      <c r="L176">
        <f>H176*tblComponents[Planned_Production_or_Procurement]</f>
        <v>2435833.6</v>
      </c>
      <c r="M176">
        <f t="shared" si="16"/>
        <v>136</v>
      </c>
      <c r="N176" t="str">
        <f t="shared" si="17"/>
        <v>Medium Economic Priority</v>
      </c>
      <c r="O176" t="str">
        <f>tblComponents[Criticality]</f>
        <v>Critical</v>
      </c>
      <c r="P176">
        <f>tblComponents[Planned_Production_or_Procurement]</f>
        <v>4280</v>
      </c>
      <c r="Q176">
        <f t="shared" si="18"/>
        <v>617.74666666666667</v>
      </c>
      <c r="R176" t="str">
        <f t="shared" si="19"/>
        <v>Critical</v>
      </c>
      <c r="S176" t="str">
        <f t="shared" si="20"/>
        <v>Critical Priority</v>
      </c>
    </row>
    <row r="177" spans="1:19" x14ac:dyDescent="0.35">
      <c r="A177" s="12" t="str">
        <f>tblComponents[Component_ID]</f>
        <v>C176</v>
      </c>
      <c r="B177" s="12" t="str">
        <f>tblComponents[Component_Name]</f>
        <v>Component 176</v>
      </c>
      <c r="C177" t="str">
        <f>tblComponents[Sourcing_Type]</f>
        <v>Make</v>
      </c>
      <c r="D177">
        <f>tblComponents[Forecast_Demand]</f>
        <v>260</v>
      </c>
      <c r="E177">
        <f>tblComponents[Selling_Price_Per_Unit]</f>
        <v>1858.85</v>
      </c>
      <c r="F177">
        <f>tblComponents[Variable_Cost_Per_Unit]</f>
        <v>1340.73</v>
      </c>
      <c r="G177">
        <f>tblComponents[Direct_Labor_Cost_Per_Unit]</f>
        <v>29.26</v>
      </c>
      <c r="H177">
        <f>tblComponents[Contribution_Per_Unit]</f>
        <v>518.12</v>
      </c>
      <c r="I177">
        <f>tblComponents[Contribution_Margin]</f>
        <v>0.2787</v>
      </c>
      <c r="J177">
        <f>tblComponents[Actual_Cycle_Time_Min]/60</f>
        <v>2.7833333333333331E-2</v>
      </c>
      <c r="K177">
        <f t="shared" si="15"/>
        <v>18615.089820359284</v>
      </c>
      <c r="L177">
        <f>H177*tblComponents[Planned_Production_or_Procurement]</f>
        <v>6954206.6399999997</v>
      </c>
      <c r="M177">
        <f t="shared" si="16"/>
        <v>4</v>
      </c>
      <c r="N177" t="str">
        <f t="shared" si="17"/>
        <v>High Economic Priority</v>
      </c>
      <c r="O177" t="str">
        <f>tblComponents[Criticality]</f>
        <v>High</v>
      </c>
      <c r="P177">
        <f>tblComponents[Planned_Production_or_Procurement]</f>
        <v>13422</v>
      </c>
      <c r="Q177">
        <f t="shared" si="18"/>
        <v>373.57899999999995</v>
      </c>
      <c r="R177" t="str">
        <f t="shared" si="19"/>
        <v>High</v>
      </c>
      <c r="S177" t="str">
        <f t="shared" si="20"/>
        <v>High Priority</v>
      </c>
    </row>
    <row r="178" spans="1:19" x14ac:dyDescent="0.35">
      <c r="A178" s="12" t="str">
        <f>tblComponents[Component_ID]</f>
        <v>C177</v>
      </c>
      <c r="B178" s="12" t="str">
        <f>tblComponents[Component_Name]</f>
        <v>Component 177</v>
      </c>
      <c r="C178" t="str">
        <f>tblComponents[Sourcing_Type]</f>
        <v>Make</v>
      </c>
      <c r="D178">
        <f>tblComponents[Forecast_Demand]</f>
        <v>3226</v>
      </c>
      <c r="E178">
        <f>tblComponents[Selling_Price_Per_Unit]</f>
        <v>757.17</v>
      </c>
      <c r="F178">
        <f>tblComponents[Variable_Cost_Per_Unit]</f>
        <v>613.04999999999995</v>
      </c>
      <c r="G178">
        <f>tblComponents[Direct_Labor_Cost_Per_Unit]</f>
        <v>32.85</v>
      </c>
      <c r="H178">
        <f>tblComponents[Contribution_Per_Unit]</f>
        <v>144.12</v>
      </c>
      <c r="I178">
        <f>tblComponents[Contribution_Margin]</f>
        <v>0.1903</v>
      </c>
      <c r="J178">
        <f>tblComponents[Actual_Cycle_Time_Min]/60</f>
        <v>6.4333333333333326E-2</v>
      </c>
      <c r="K178">
        <f t="shared" si="15"/>
        <v>2240.2072538860107</v>
      </c>
      <c r="L178">
        <f>H178*tblComponents[Planned_Production_or_Procurement]</f>
        <v>297031.32</v>
      </c>
      <c r="M178">
        <f t="shared" si="16"/>
        <v>210</v>
      </c>
      <c r="N178" t="str">
        <f t="shared" si="17"/>
        <v>Low Economic Priority</v>
      </c>
      <c r="O178" t="str">
        <f>tblComponents[Criticality]</f>
        <v>Medium</v>
      </c>
      <c r="P178">
        <f>tblComponents[Planned_Production_or_Procurement]</f>
        <v>2061</v>
      </c>
      <c r="Q178">
        <f t="shared" si="18"/>
        <v>132.59099999999998</v>
      </c>
      <c r="R178" t="str">
        <f t="shared" si="19"/>
        <v>Medium</v>
      </c>
      <c r="S178" t="str">
        <f t="shared" si="20"/>
        <v>Medium Priority</v>
      </c>
    </row>
    <row r="179" spans="1:19" x14ac:dyDescent="0.35">
      <c r="A179" s="12" t="str">
        <f>tblComponents[Component_ID]</f>
        <v>C178</v>
      </c>
      <c r="B179" s="12" t="str">
        <f>tblComponents[Component_Name]</f>
        <v>Component 178</v>
      </c>
      <c r="C179" t="str">
        <f>tblComponents[Sourcing_Type]</f>
        <v>Make</v>
      </c>
      <c r="D179">
        <f>tblComponents[Forecast_Demand]</f>
        <v>1298</v>
      </c>
      <c r="E179">
        <f>tblComponents[Selling_Price_Per_Unit]</f>
        <v>264.13</v>
      </c>
      <c r="F179">
        <f>tblComponents[Variable_Cost_Per_Unit]</f>
        <v>218.99</v>
      </c>
      <c r="G179">
        <f>tblComponents[Direct_Labor_Cost_Per_Unit]</f>
        <v>14.17</v>
      </c>
      <c r="H179">
        <f>tblComponents[Contribution_Per_Unit]</f>
        <v>45.14</v>
      </c>
      <c r="I179">
        <f>tblComponents[Contribution_Margin]</f>
        <v>0.1709</v>
      </c>
      <c r="J179">
        <f>tblComponents[Actual_Cycle_Time_Min]/60</f>
        <v>2.6833333333333334E-2</v>
      </c>
      <c r="K179">
        <f t="shared" si="15"/>
        <v>1682.2360248447205</v>
      </c>
      <c r="L179">
        <f>H179*tblComponents[Planned_Production_or_Procurement]</f>
        <v>374797.42</v>
      </c>
      <c r="M179">
        <f t="shared" si="16"/>
        <v>246</v>
      </c>
      <c r="N179" t="str">
        <f t="shared" si="17"/>
        <v>Low Economic Priority</v>
      </c>
      <c r="O179" t="str">
        <f>tblComponents[Criticality]</f>
        <v>High</v>
      </c>
      <c r="P179">
        <f>tblComponents[Planned_Production_or_Procurement]</f>
        <v>8303</v>
      </c>
      <c r="Q179">
        <f t="shared" si="18"/>
        <v>222.79716666666667</v>
      </c>
      <c r="R179" t="str">
        <f t="shared" si="19"/>
        <v>High</v>
      </c>
      <c r="S179" t="str">
        <f t="shared" si="20"/>
        <v>High Priority</v>
      </c>
    </row>
    <row r="180" spans="1:19" x14ac:dyDescent="0.35">
      <c r="A180" s="12" t="str">
        <f>tblComponents[Component_ID]</f>
        <v>C179</v>
      </c>
      <c r="B180" s="12" t="str">
        <f>tblComponents[Component_Name]</f>
        <v>Component 179</v>
      </c>
      <c r="C180" t="str">
        <f>tblComponents[Sourcing_Type]</f>
        <v>Make</v>
      </c>
      <c r="D180">
        <f>tblComponents[Forecast_Demand]</f>
        <v>812</v>
      </c>
      <c r="E180">
        <f>tblComponents[Selling_Price_Per_Unit]</f>
        <v>962.51</v>
      </c>
      <c r="F180">
        <f>tblComponents[Variable_Cost_Per_Unit]</f>
        <v>813.53</v>
      </c>
      <c r="G180">
        <f>tblComponents[Direct_Labor_Cost_Per_Unit]</f>
        <v>12.52</v>
      </c>
      <c r="H180">
        <f>tblComponents[Contribution_Per_Unit]</f>
        <v>148.97999999999999</v>
      </c>
      <c r="I180">
        <f>tblComponents[Contribution_Margin]</f>
        <v>0.15479999999999999</v>
      </c>
      <c r="J180">
        <f>tblComponents[Actual_Cycle_Time_Min]/60</f>
        <v>4.8500000000000001E-2</v>
      </c>
      <c r="K180">
        <f t="shared" si="15"/>
        <v>3071.7525773195875</v>
      </c>
      <c r="L180">
        <f>H180*tblComponents[Planned_Production_or_Procurement]</f>
        <v>167304.53999999998</v>
      </c>
      <c r="M180">
        <f t="shared" si="16"/>
        <v>169</v>
      </c>
      <c r="N180" t="str">
        <f t="shared" si="17"/>
        <v>Low Economic Priority</v>
      </c>
      <c r="O180" t="str">
        <f>tblComponents[Criticality]</f>
        <v>Medium</v>
      </c>
      <c r="P180">
        <f>tblComponents[Planned_Production_or_Procurement]</f>
        <v>1123</v>
      </c>
      <c r="Q180">
        <f t="shared" si="18"/>
        <v>54.465499999999999</v>
      </c>
      <c r="R180" t="str">
        <f t="shared" si="19"/>
        <v>Medium</v>
      </c>
      <c r="S180" t="str">
        <f t="shared" si="20"/>
        <v>Medium Priority</v>
      </c>
    </row>
    <row r="181" spans="1:19" x14ac:dyDescent="0.35">
      <c r="A181" s="12" t="str">
        <f>tblComponents[Component_ID]</f>
        <v>C180</v>
      </c>
      <c r="B181" s="12" t="str">
        <f>tblComponents[Component_Name]</f>
        <v>Component 180</v>
      </c>
      <c r="C181" t="str">
        <f>tblComponents[Sourcing_Type]</f>
        <v>Make</v>
      </c>
      <c r="D181">
        <f>tblComponents[Forecast_Demand]</f>
        <v>1038</v>
      </c>
      <c r="E181">
        <f>tblComponents[Selling_Price_Per_Unit]</f>
        <v>1160.1099999999999</v>
      </c>
      <c r="F181">
        <f>tblComponents[Variable_Cost_Per_Unit]</f>
        <v>938.02</v>
      </c>
      <c r="G181">
        <f>tblComponents[Direct_Labor_Cost_Per_Unit]</f>
        <v>81.5</v>
      </c>
      <c r="H181">
        <f>tblComponents[Contribution_Per_Unit]</f>
        <v>222.09</v>
      </c>
      <c r="I181">
        <f>tblComponents[Contribution_Margin]</f>
        <v>0.19139999999999999</v>
      </c>
      <c r="J181">
        <f>tblComponents[Actual_Cycle_Time_Min]/60</f>
        <v>5.7833333333333334E-2</v>
      </c>
      <c r="K181">
        <f t="shared" si="15"/>
        <v>3840.1729106628241</v>
      </c>
      <c r="L181">
        <f>H181*tblComponents[Planned_Production_or_Procurement]</f>
        <v>362228.79</v>
      </c>
      <c r="M181">
        <f t="shared" si="16"/>
        <v>139</v>
      </c>
      <c r="N181" t="str">
        <f t="shared" si="17"/>
        <v>Medium Economic Priority</v>
      </c>
      <c r="O181" t="str">
        <f>tblComponents[Criticality]</f>
        <v>Medium</v>
      </c>
      <c r="P181">
        <f>tblComponents[Planned_Production_or_Procurement]</f>
        <v>1631</v>
      </c>
      <c r="Q181">
        <f t="shared" si="18"/>
        <v>94.326166666666666</v>
      </c>
      <c r="R181" t="str">
        <f t="shared" si="19"/>
        <v>Medium</v>
      </c>
      <c r="S181" t="str">
        <f t="shared" si="20"/>
        <v>Medium Priority</v>
      </c>
    </row>
    <row r="182" spans="1:19" x14ac:dyDescent="0.35">
      <c r="A182" s="12" t="str">
        <f>tblComponents[Component_ID]</f>
        <v>C181</v>
      </c>
      <c r="B182" s="12" t="str">
        <f>tblComponents[Component_Name]</f>
        <v>Component 181</v>
      </c>
      <c r="C182" t="str">
        <f>tblComponents[Sourcing_Type]</f>
        <v>Make</v>
      </c>
      <c r="D182">
        <f>tblComponents[Forecast_Demand]</f>
        <v>110</v>
      </c>
      <c r="E182">
        <f>tblComponents[Selling_Price_Per_Unit]</f>
        <v>3283.1</v>
      </c>
      <c r="F182">
        <f>tblComponents[Variable_Cost_Per_Unit]</f>
        <v>2059.44</v>
      </c>
      <c r="G182">
        <f>tblComponents[Direct_Labor_Cost_Per_Unit]</f>
        <v>133.83000000000001</v>
      </c>
      <c r="H182">
        <f>tblComponents[Contribution_Per_Unit]</f>
        <v>1223.6600000000001</v>
      </c>
      <c r="I182">
        <f>tblComponents[Contribution_Margin]</f>
        <v>0.37269999999999998</v>
      </c>
      <c r="J182">
        <f>tblComponents[Actual_Cycle_Time_Min]/60</f>
        <v>0.12000000000000001</v>
      </c>
      <c r="K182">
        <f t="shared" si="15"/>
        <v>10197.166666666666</v>
      </c>
      <c r="L182">
        <f>H182*tblComponents[Planned_Production_or_Procurement]</f>
        <v>5490562.4199999999</v>
      </c>
      <c r="M182">
        <f t="shared" si="16"/>
        <v>26</v>
      </c>
      <c r="N182" t="str">
        <f t="shared" si="17"/>
        <v>High Economic Priority</v>
      </c>
      <c r="O182" t="str">
        <f>tblComponents[Criticality]</f>
        <v>Low</v>
      </c>
      <c r="P182">
        <f>tblComponents[Planned_Production_or_Procurement]</f>
        <v>4487</v>
      </c>
      <c r="Q182">
        <f t="shared" si="18"/>
        <v>538.44000000000005</v>
      </c>
      <c r="R182" t="str">
        <f t="shared" si="19"/>
        <v>Low</v>
      </c>
      <c r="S182" t="str">
        <f t="shared" si="20"/>
        <v>High Priority</v>
      </c>
    </row>
    <row r="183" spans="1:19" x14ac:dyDescent="0.35">
      <c r="A183" s="12" t="str">
        <f>tblComponents[Component_ID]</f>
        <v>C182</v>
      </c>
      <c r="B183" s="12" t="str">
        <f>tblComponents[Component_Name]</f>
        <v>Component 182</v>
      </c>
      <c r="C183" t="str">
        <f>tblComponents[Sourcing_Type]</f>
        <v>Make</v>
      </c>
      <c r="D183">
        <f>tblComponents[Forecast_Demand]</f>
        <v>1133</v>
      </c>
      <c r="E183">
        <f>tblComponents[Selling_Price_Per_Unit]</f>
        <v>893.28</v>
      </c>
      <c r="F183">
        <f>tblComponents[Variable_Cost_Per_Unit]</f>
        <v>705.35</v>
      </c>
      <c r="G183">
        <f>tblComponents[Direct_Labor_Cost_Per_Unit]</f>
        <v>4.54</v>
      </c>
      <c r="H183">
        <f>tblComponents[Contribution_Per_Unit]</f>
        <v>187.93</v>
      </c>
      <c r="I183">
        <f>tblComponents[Contribution_Margin]</f>
        <v>0.2104</v>
      </c>
      <c r="J183">
        <f>tblComponents[Actual_Cycle_Time_Min]/60</f>
        <v>3.8666666666666662E-2</v>
      </c>
      <c r="K183">
        <f t="shared" si="15"/>
        <v>4860.2586206896558</v>
      </c>
      <c r="L183">
        <f>H183*tblComponents[Planned_Production_or_Procurement]</f>
        <v>428668.33</v>
      </c>
      <c r="M183">
        <f t="shared" si="16"/>
        <v>105</v>
      </c>
      <c r="N183" t="str">
        <f t="shared" si="17"/>
        <v>Medium Economic Priority</v>
      </c>
      <c r="O183" t="str">
        <f>tblComponents[Criticality]</f>
        <v>Low</v>
      </c>
      <c r="P183">
        <f>tblComponents[Planned_Production_or_Procurement]</f>
        <v>2281</v>
      </c>
      <c r="Q183">
        <f t="shared" si="18"/>
        <v>88.198666666666654</v>
      </c>
      <c r="R183" t="str">
        <f t="shared" si="19"/>
        <v>Low</v>
      </c>
      <c r="S183" t="str">
        <f t="shared" si="20"/>
        <v>Medium Priority</v>
      </c>
    </row>
    <row r="184" spans="1:19" x14ac:dyDescent="0.35">
      <c r="A184" s="12" t="str">
        <f>tblComponents[Component_ID]</f>
        <v>C183</v>
      </c>
      <c r="B184" s="12" t="str">
        <f>tblComponents[Component_Name]</f>
        <v>Component 183</v>
      </c>
      <c r="C184" t="str">
        <f>tblComponents[Sourcing_Type]</f>
        <v>Make</v>
      </c>
      <c r="D184">
        <f>tblComponents[Forecast_Demand]</f>
        <v>577</v>
      </c>
      <c r="E184">
        <f>tblComponents[Selling_Price_Per_Unit]</f>
        <v>743.49</v>
      </c>
      <c r="F184">
        <f>tblComponents[Variable_Cost_Per_Unit]</f>
        <v>566.12</v>
      </c>
      <c r="G184">
        <f>tblComponents[Direct_Labor_Cost_Per_Unit]</f>
        <v>6.99</v>
      </c>
      <c r="H184">
        <f>tblComponents[Contribution_Per_Unit]</f>
        <v>177.37</v>
      </c>
      <c r="I184">
        <f>tblComponents[Contribution_Margin]</f>
        <v>0.23860000000000001</v>
      </c>
      <c r="J184">
        <f>tblComponents[Actual_Cycle_Time_Min]/60</f>
        <v>3.4166666666666665E-2</v>
      </c>
      <c r="K184">
        <f t="shared" si="15"/>
        <v>5191.3170731707323</v>
      </c>
      <c r="L184">
        <f>H184*tblComponents[Planned_Production_or_Procurement]</f>
        <v>514550.37</v>
      </c>
      <c r="M184">
        <f t="shared" si="16"/>
        <v>91</v>
      </c>
      <c r="N184" t="str">
        <f t="shared" si="17"/>
        <v>Medium Economic Priority</v>
      </c>
      <c r="O184" t="str">
        <f>tblComponents[Criticality]</f>
        <v>Low</v>
      </c>
      <c r="P184">
        <f>tblComponents[Planned_Production_or_Procurement]</f>
        <v>2901</v>
      </c>
      <c r="Q184">
        <f t="shared" si="18"/>
        <v>99.117499999999993</v>
      </c>
      <c r="R184" t="str">
        <f t="shared" si="19"/>
        <v>Low</v>
      </c>
      <c r="S184" t="str">
        <f t="shared" si="20"/>
        <v>Medium Priority</v>
      </c>
    </row>
    <row r="185" spans="1:19" x14ac:dyDescent="0.35">
      <c r="A185" s="12" t="str">
        <f>tblComponents[Component_ID]</f>
        <v>C184</v>
      </c>
      <c r="B185" s="12" t="str">
        <f>tblComponents[Component_Name]</f>
        <v>Component 184</v>
      </c>
      <c r="C185" t="str">
        <f>tblComponents[Sourcing_Type]</f>
        <v>Make</v>
      </c>
      <c r="D185">
        <f>tblComponents[Forecast_Demand]</f>
        <v>731</v>
      </c>
      <c r="E185">
        <f>tblComponents[Selling_Price_Per_Unit]</f>
        <v>749.03</v>
      </c>
      <c r="F185">
        <f>tblComponents[Variable_Cost_Per_Unit]</f>
        <v>616.95000000000005</v>
      </c>
      <c r="G185">
        <f>tblComponents[Direct_Labor_Cost_Per_Unit]</f>
        <v>63.45</v>
      </c>
      <c r="H185">
        <f>tblComponents[Contribution_Per_Unit]</f>
        <v>132.08000000000001</v>
      </c>
      <c r="I185">
        <f>tblComponents[Contribution_Margin]</f>
        <v>0.17630000000000001</v>
      </c>
      <c r="J185">
        <f>tblComponents[Actual_Cycle_Time_Min]/60</f>
        <v>0.15983333333333333</v>
      </c>
      <c r="K185">
        <f t="shared" si="15"/>
        <v>826.36079249217948</v>
      </c>
      <c r="L185">
        <f>H185*tblComponents[Planned_Production_or_Procurement]</f>
        <v>581284.08000000007</v>
      </c>
      <c r="M185">
        <f t="shared" si="16"/>
        <v>291</v>
      </c>
      <c r="N185" t="str">
        <f t="shared" si="17"/>
        <v>Low Economic Priority</v>
      </c>
      <c r="O185" t="str">
        <f>tblComponents[Criticality]</f>
        <v>Medium</v>
      </c>
      <c r="P185">
        <f>tblComponents[Planned_Production_or_Procurement]</f>
        <v>4401</v>
      </c>
      <c r="Q185">
        <f t="shared" si="18"/>
        <v>703.42649999999992</v>
      </c>
      <c r="R185" t="str">
        <f t="shared" si="19"/>
        <v>Medium</v>
      </c>
      <c r="S185" t="str">
        <f t="shared" si="20"/>
        <v>Medium Priority</v>
      </c>
    </row>
    <row r="186" spans="1:19" x14ac:dyDescent="0.35">
      <c r="A186" s="12" t="str">
        <f>tblComponents[Component_ID]</f>
        <v>C185</v>
      </c>
      <c r="B186" s="12" t="str">
        <f>tblComponents[Component_Name]</f>
        <v>Component 185</v>
      </c>
      <c r="C186" t="str">
        <f>tblComponents[Sourcing_Type]</f>
        <v>Make</v>
      </c>
      <c r="D186">
        <f>tblComponents[Forecast_Demand]</f>
        <v>1320</v>
      </c>
      <c r="E186">
        <f>tblComponents[Selling_Price_Per_Unit]</f>
        <v>632.95000000000005</v>
      </c>
      <c r="F186">
        <f>tblComponents[Variable_Cost_Per_Unit]</f>
        <v>502.82</v>
      </c>
      <c r="G186">
        <f>tblComponents[Direct_Labor_Cost_Per_Unit]</f>
        <v>36.64</v>
      </c>
      <c r="H186">
        <f>tblComponents[Contribution_Per_Unit]</f>
        <v>130.13</v>
      </c>
      <c r="I186">
        <f>tblComponents[Contribution_Margin]</f>
        <v>0.2056</v>
      </c>
      <c r="J186">
        <f>tblComponents[Actual_Cycle_Time_Min]/60</f>
        <v>0.10983333333333332</v>
      </c>
      <c r="K186">
        <f t="shared" si="15"/>
        <v>1184.795144157815</v>
      </c>
      <c r="L186">
        <f>H186*tblComponents[Planned_Production_or_Procurement]</f>
        <v>482782.3</v>
      </c>
      <c r="M186">
        <f t="shared" si="16"/>
        <v>282</v>
      </c>
      <c r="N186" t="str">
        <f t="shared" si="17"/>
        <v>Low Economic Priority</v>
      </c>
      <c r="O186" t="str">
        <f>tblComponents[Criticality]</f>
        <v>Medium</v>
      </c>
      <c r="P186">
        <f>tblComponents[Planned_Production_or_Procurement]</f>
        <v>3710</v>
      </c>
      <c r="Q186">
        <f t="shared" si="18"/>
        <v>407.48166666666663</v>
      </c>
      <c r="R186" t="str">
        <f t="shared" si="19"/>
        <v>Medium</v>
      </c>
      <c r="S186" t="str">
        <f t="shared" si="20"/>
        <v>Medium Priority</v>
      </c>
    </row>
    <row r="187" spans="1:19" x14ac:dyDescent="0.35">
      <c r="A187" s="12" t="str">
        <f>tblComponents[Component_ID]</f>
        <v>C186</v>
      </c>
      <c r="B187" s="12" t="str">
        <f>tblComponents[Component_Name]</f>
        <v>Component 186</v>
      </c>
      <c r="C187" t="str">
        <f>tblComponents[Sourcing_Type]</f>
        <v>Make</v>
      </c>
      <c r="D187">
        <f>tblComponents[Forecast_Demand]</f>
        <v>1296</v>
      </c>
      <c r="E187">
        <f>tblComponents[Selling_Price_Per_Unit]</f>
        <v>745.24</v>
      </c>
      <c r="F187">
        <f>tblComponents[Variable_Cost_Per_Unit]</f>
        <v>536.72</v>
      </c>
      <c r="G187">
        <f>tblComponents[Direct_Labor_Cost_Per_Unit]</f>
        <v>63.72</v>
      </c>
      <c r="H187">
        <f>tblComponents[Contribution_Per_Unit]</f>
        <v>208.52</v>
      </c>
      <c r="I187">
        <f>tblComponents[Contribution_Margin]</f>
        <v>0.27979999999999999</v>
      </c>
      <c r="J187">
        <f>tblComponents[Actual_Cycle_Time_Min]/60</f>
        <v>6.7499999999999991E-2</v>
      </c>
      <c r="K187">
        <f t="shared" si="15"/>
        <v>3089.1851851851857</v>
      </c>
      <c r="L187">
        <f>H187*tblComponents[Planned_Production_or_Procurement]</f>
        <v>304856.24</v>
      </c>
      <c r="M187">
        <f t="shared" si="16"/>
        <v>168</v>
      </c>
      <c r="N187" t="str">
        <f t="shared" si="17"/>
        <v>Low Economic Priority</v>
      </c>
      <c r="O187" t="str">
        <f>tblComponents[Criticality]</f>
        <v>Medium</v>
      </c>
      <c r="P187">
        <f>tblComponents[Planned_Production_or_Procurement]</f>
        <v>1462</v>
      </c>
      <c r="Q187">
        <f t="shared" si="18"/>
        <v>98.684999999999988</v>
      </c>
      <c r="R187" t="str">
        <f t="shared" si="19"/>
        <v>Medium</v>
      </c>
      <c r="S187" t="str">
        <f t="shared" si="20"/>
        <v>Medium Priority</v>
      </c>
    </row>
    <row r="188" spans="1:19" x14ac:dyDescent="0.35">
      <c r="A188" s="12" t="str">
        <f>tblComponents[Component_ID]</f>
        <v>C187</v>
      </c>
      <c r="B188" s="12" t="str">
        <f>tblComponents[Component_Name]</f>
        <v>Component 187</v>
      </c>
      <c r="C188" t="str">
        <f>tblComponents[Sourcing_Type]</f>
        <v>Make</v>
      </c>
      <c r="D188">
        <f>tblComponents[Forecast_Demand]</f>
        <v>2695</v>
      </c>
      <c r="E188">
        <f>tblComponents[Selling_Price_Per_Unit]</f>
        <v>1422.11</v>
      </c>
      <c r="F188">
        <f>tblComponents[Variable_Cost_Per_Unit]</f>
        <v>992.72</v>
      </c>
      <c r="G188">
        <f>tblComponents[Direct_Labor_Cost_Per_Unit]</f>
        <v>53.22</v>
      </c>
      <c r="H188">
        <f>tblComponents[Contribution_Per_Unit]</f>
        <v>429.39</v>
      </c>
      <c r="I188">
        <f>tblComponents[Contribution_Margin]</f>
        <v>0.3019</v>
      </c>
      <c r="J188">
        <f>tblComponents[Actual_Cycle_Time_Min]/60</f>
        <v>0.14683333333333334</v>
      </c>
      <c r="K188">
        <f t="shared" si="15"/>
        <v>2924.3359818388194</v>
      </c>
      <c r="L188">
        <f>H188*tblComponents[Planned_Production_or_Procurement]</f>
        <v>406202.94</v>
      </c>
      <c r="M188">
        <f t="shared" si="16"/>
        <v>171</v>
      </c>
      <c r="N188" t="str">
        <f t="shared" si="17"/>
        <v>Low Economic Priority</v>
      </c>
      <c r="O188" t="str">
        <f>tblComponents[Criticality]</f>
        <v>High</v>
      </c>
      <c r="P188">
        <f>tblComponents[Planned_Production_or_Procurement]</f>
        <v>946</v>
      </c>
      <c r="Q188">
        <f t="shared" si="18"/>
        <v>138.90433333333334</v>
      </c>
      <c r="R188" t="str">
        <f t="shared" si="19"/>
        <v>High</v>
      </c>
      <c r="S188" t="str">
        <f t="shared" si="20"/>
        <v>High Priority</v>
      </c>
    </row>
    <row r="189" spans="1:19" x14ac:dyDescent="0.35">
      <c r="A189" s="12" t="str">
        <f>tblComponents[Component_ID]</f>
        <v>C188</v>
      </c>
      <c r="B189" s="12" t="str">
        <f>tblComponents[Component_Name]</f>
        <v>Component 188</v>
      </c>
      <c r="C189" t="str">
        <f>tblComponents[Sourcing_Type]</f>
        <v>Make</v>
      </c>
      <c r="D189">
        <f>tblComponents[Forecast_Demand]</f>
        <v>662</v>
      </c>
      <c r="E189">
        <f>tblComponents[Selling_Price_Per_Unit]</f>
        <v>1262.2</v>
      </c>
      <c r="F189">
        <f>tblComponents[Variable_Cost_Per_Unit]</f>
        <v>995.45</v>
      </c>
      <c r="G189">
        <f>tblComponents[Direct_Labor_Cost_Per_Unit]</f>
        <v>64.78</v>
      </c>
      <c r="H189">
        <f>tblComponents[Contribution_Per_Unit]</f>
        <v>266.75</v>
      </c>
      <c r="I189">
        <f>tblComponents[Contribution_Margin]</f>
        <v>0.21129999999999999</v>
      </c>
      <c r="J189">
        <f>tblComponents[Actual_Cycle_Time_Min]/60</f>
        <v>0.20116666666666666</v>
      </c>
      <c r="K189">
        <f t="shared" si="15"/>
        <v>1326.0149130074565</v>
      </c>
      <c r="L189">
        <f>H189*tblComponents[Planned_Production_or_Procurement]</f>
        <v>457209.5</v>
      </c>
      <c r="M189">
        <f t="shared" si="16"/>
        <v>270</v>
      </c>
      <c r="N189" t="str">
        <f t="shared" si="17"/>
        <v>Low Economic Priority</v>
      </c>
      <c r="O189" t="str">
        <f>tblComponents[Criticality]</f>
        <v>Medium</v>
      </c>
      <c r="P189">
        <f>tblComponents[Planned_Production_or_Procurement]</f>
        <v>1714</v>
      </c>
      <c r="Q189">
        <f t="shared" si="18"/>
        <v>344.79966666666667</v>
      </c>
      <c r="R189" t="str">
        <f t="shared" si="19"/>
        <v>Medium</v>
      </c>
      <c r="S189" t="str">
        <f t="shared" si="20"/>
        <v>Medium Priority</v>
      </c>
    </row>
    <row r="190" spans="1:19" x14ac:dyDescent="0.35">
      <c r="A190" s="12" t="str">
        <f>tblComponents[Component_ID]</f>
        <v>C189</v>
      </c>
      <c r="B190" s="12" t="str">
        <f>tblComponents[Component_Name]</f>
        <v>Component 189</v>
      </c>
      <c r="C190" t="str">
        <f>tblComponents[Sourcing_Type]</f>
        <v>Make</v>
      </c>
      <c r="D190">
        <f>tblComponents[Forecast_Demand]</f>
        <v>179</v>
      </c>
      <c r="E190">
        <f>tblComponents[Selling_Price_Per_Unit]</f>
        <v>1138.78</v>
      </c>
      <c r="F190">
        <f>tblComponents[Variable_Cost_Per_Unit]</f>
        <v>951.53</v>
      </c>
      <c r="G190">
        <f>tblComponents[Direct_Labor_Cost_Per_Unit]</f>
        <v>40.1</v>
      </c>
      <c r="H190">
        <f>tblComponents[Contribution_Per_Unit]</f>
        <v>187.25</v>
      </c>
      <c r="I190">
        <f>tblComponents[Contribution_Margin]</f>
        <v>0.16439999999999999</v>
      </c>
      <c r="J190">
        <f>tblComponents[Actual_Cycle_Time_Min]/60</f>
        <v>6.933333333333333E-2</v>
      </c>
      <c r="K190">
        <f t="shared" si="15"/>
        <v>2700.7211538461538</v>
      </c>
      <c r="L190">
        <f>H190*tblComponents[Planned_Production_or_Procurement]</f>
        <v>425806.5</v>
      </c>
      <c r="M190">
        <f t="shared" si="16"/>
        <v>183</v>
      </c>
      <c r="N190" t="str">
        <f t="shared" si="17"/>
        <v>Low Economic Priority</v>
      </c>
      <c r="O190" t="str">
        <f>tblComponents[Criticality]</f>
        <v>High</v>
      </c>
      <c r="P190">
        <f>tblComponents[Planned_Production_or_Procurement]</f>
        <v>2274</v>
      </c>
      <c r="Q190">
        <f t="shared" si="18"/>
        <v>157.66399999999999</v>
      </c>
      <c r="R190" t="str">
        <f t="shared" si="19"/>
        <v>High</v>
      </c>
      <c r="S190" t="str">
        <f t="shared" si="20"/>
        <v>High Priority</v>
      </c>
    </row>
    <row r="191" spans="1:19" x14ac:dyDescent="0.35">
      <c r="A191" s="12" t="str">
        <f>tblComponents[Component_ID]</f>
        <v>C190</v>
      </c>
      <c r="B191" s="12" t="str">
        <f>tblComponents[Component_Name]</f>
        <v>Component 190</v>
      </c>
      <c r="C191" t="str">
        <f>tblComponents[Sourcing_Type]</f>
        <v>Make</v>
      </c>
      <c r="D191">
        <f>tblComponents[Forecast_Demand]</f>
        <v>297</v>
      </c>
      <c r="E191">
        <f>tblComponents[Selling_Price_Per_Unit]</f>
        <v>816.97</v>
      </c>
      <c r="F191">
        <f>tblComponents[Variable_Cost_Per_Unit]</f>
        <v>614.55999999999995</v>
      </c>
      <c r="G191">
        <f>tblComponents[Direct_Labor_Cost_Per_Unit]</f>
        <v>17.809999999999999</v>
      </c>
      <c r="H191">
        <f>tblComponents[Contribution_Per_Unit]</f>
        <v>202.41</v>
      </c>
      <c r="I191">
        <f>tblComponents[Contribution_Margin]</f>
        <v>0.24779999999999999</v>
      </c>
      <c r="J191">
        <f>tblComponents[Actual_Cycle_Time_Min]/60</f>
        <v>9.8333333333333342E-2</v>
      </c>
      <c r="K191">
        <f t="shared" si="15"/>
        <v>2058.4067796610166</v>
      </c>
      <c r="L191">
        <f>H191*tblComponents[Planned_Production_or_Procurement]</f>
        <v>897485.94</v>
      </c>
      <c r="M191">
        <f t="shared" si="16"/>
        <v>222</v>
      </c>
      <c r="N191" t="str">
        <f t="shared" si="17"/>
        <v>Low Economic Priority</v>
      </c>
      <c r="O191" t="str">
        <f>tblComponents[Criticality]</f>
        <v>Medium</v>
      </c>
      <c r="P191">
        <f>tblComponents[Planned_Production_or_Procurement]</f>
        <v>4434</v>
      </c>
      <c r="Q191">
        <f t="shared" si="18"/>
        <v>436.01000000000005</v>
      </c>
      <c r="R191" t="str">
        <f t="shared" si="19"/>
        <v>Medium</v>
      </c>
      <c r="S191" t="str">
        <f t="shared" si="20"/>
        <v>Medium Priority</v>
      </c>
    </row>
    <row r="192" spans="1:19" x14ac:dyDescent="0.35">
      <c r="A192" s="12" t="str">
        <f>tblComponents[Component_ID]</f>
        <v>C191</v>
      </c>
      <c r="B192" s="12" t="str">
        <f>tblComponents[Component_Name]</f>
        <v>Component 191</v>
      </c>
      <c r="C192" t="str">
        <f>tblComponents[Sourcing_Type]</f>
        <v>Make</v>
      </c>
      <c r="D192">
        <f>tblComponents[Forecast_Demand]</f>
        <v>581</v>
      </c>
      <c r="E192">
        <f>tblComponents[Selling_Price_Per_Unit]</f>
        <v>1663.25</v>
      </c>
      <c r="F192">
        <f>tblComponents[Variable_Cost_Per_Unit]</f>
        <v>1316.38</v>
      </c>
      <c r="G192">
        <f>tblComponents[Direct_Labor_Cost_Per_Unit]</f>
        <v>33.03</v>
      </c>
      <c r="H192">
        <f>tblComponents[Contribution_Per_Unit]</f>
        <v>346.87</v>
      </c>
      <c r="I192">
        <f>tblComponents[Contribution_Margin]</f>
        <v>0.20849999999999999</v>
      </c>
      <c r="J192">
        <f>tblComponents[Actual_Cycle_Time_Min]/60</f>
        <v>6.6500000000000004E-2</v>
      </c>
      <c r="K192">
        <f t="shared" si="15"/>
        <v>5216.0902255639094</v>
      </c>
      <c r="L192">
        <f>H192*tblComponents[Planned_Production_or_Procurement]</f>
        <v>184187.97</v>
      </c>
      <c r="M192">
        <f t="shared" si="16"/>
        <v>89</v>
      </c>
      <c r="N192" t="str">
        <f t="shared" si="17"/>
        <v>Medium Economic Priority</v>
      </c>
      <c r="O192" t="str">
        <f>tblComponents[Criticality]</f>
        <v>High</v>
      </c>
      <c r="P192">
        <f>tblComponents[Planned_Production_or_Procurement]</f>
        <v>531</v>
      </c>
      <c r="Q192">
        <f t="shared" si="18"/>
        <v>35.311500000000002</v>
      </c>
      <c r="R192" t="str">
        <f t="shared" si="19"/>
        <v>High</v>
      </c>
      <c r="S192" t="str">
        <f t="shared" si="20"/>
        <v>High Priority</v>
      </c>
    </row>
    <row r="193" spans="1:19" x14ac:dyDescent="0.35">
      <c r="A193" s="12" t="str">
        <f>tblComponents[Component_ID]</f>
        <v>C192</v>
      </c>
      <c r="B193" s="12" t="str">
        <f>tblComponents[Component_Name]</f>
        <v>Component 192</v>
      </c>
      <c r="C193" t="str">
        <f>tblComponents[Sourcing_Type]</f>
        <v>Make</v>
      </c>
      <c r="D193">
        <f>tblComponents[Forecast_Demand]</f>
        <v>1083</v>
      </c>
      <c r="E193">
        <f>tblComponents[Selling_Price_Per_Unit]</f>
        <v>892.74</v>
      </c>
      <c r="F193">
        <f>tblComponents[Variable_Cost_Per_Unit]</f>
        <v>709.83</v>
      </c>
      <c r="G193">
        <f>tblComponents[Direct_Labor_Cost_Per_Unit]</f>
        <v>18.48</v>
      </c>
      <c r="H193">
        <f>tblComponents[Contribution_Per_Unit]</f>
        <v>182.91</v>
      </c>
      <c r="I193">
        <f>tblComponents[Contribution_Margin]</f>
        <v>0.2049</v>
      </c>
      <c r="J193">
        <f>tblComponents[Actual_Cycle_Time_Min]/60</f>
        <v>0.11616666666666667</v>
      </c>
      <c r="K193">
        <f t="shared" si="15"/>
        <v>1574.5480631276901</v>
      </c>
      <c r="L193">
        <f>H193*tblComponents[Planned_Production_or_Procurement]</f>
        <v>490930.44</v>
      </c>
      <c r="M193">
        <f t="shared" si="16"/>
        <v>252</v>
      </c>
      <c r="N193" t="str">
        <f t="shared" si="17"/>
        <v>Low Economic Priority</v>
      </c>
      <c r="O193" t="str">
        <f>tblComponents[Criticality]</f>
        <v>Critical</v>
      </c>
      <c r="P193">
        <f>tblComponents[Planned_Production_or_Procurement]</f>
        <v>2684</v>
      </c>
      <c r="Q193">
        <f t="shared" si="18"/>
        <v>311.79133333333334</v>
      </c>
      <c r="R193" t="str">
        <f t="shared" si="19"/>
        <v>Critical</v>
      </c>
      <c r="S193" t="str">
        <f t="shared" si="20"/>
        <v>Critical Priority</v>
      </c>
    </row>
    <row r="194" spans="1:19" x14ac:dyDescent="0.35">
      <c r="A194" s="12" t="str">
        <f>tblComponents[Component_ID]</f>
        <v>C193</v>
      </c>
      <c r="B194" s="12" t="str">
        <f>tblComponents[Component_Name]</f>
        <v>Component 193</v>
      </c>
      <c r="C194" t="str">
        <f>tblComponents[Sourcing_Type]</f>
        <v>Make</v>
      </c>
      <c r="D194">
        <f>tblComponents[Forecast_Demand]</f>
        <v>1406</v>
      </c>
      <c r="E194">
        <f>tblComponents[Selling_Price_Per_Unit]</f>
        <v>1942.3</v>
      </c>
      <c r="F194">
        <f>tblComponents[Variable_Cost_Per_Unit]</f>
        <v>1184.8699999999999</v>
      </c>
      <c r="G194">
        <f>tblComponents[Direct_Labor_Cost_Per_Unit]</f>
        <v>18.71</v>
      </c>
      <c r="H194">
        <f>tblComponents[Contribution_Per_Unit]</f>
        <v>757.43</v>
      </c>
      <c r="I194">
        <f>tblComponents[Contribution_Margin]</f>
        <v>0.39</v>
      </c>
      <c r="J194">
        <f>tblComponents[Actual_Cycle_Time_Min]/60</f>
        <v>7.6333333333333336E-2</v>
      </c>
      <c r="K194">
        <f t="shared" si="15"/>
        <v>9922.6637554585141</v>
      </c>
      <c r="L194">
        <f>H194*tblComponents[Planned_Production_or_Procurement]</f>
        <v>8282497.0499999998</v>
      </c>
      <c r="M194">
        <f t="shared" si="16"/>
        <v>29</v>
      </c>
      <c r="N194" t="str">
        <f t="shared" si="17"/>
        <v>High Economic Priority</v>
      </c>
      <c r="O194" t="str">
        <f>tblComponents[Criticality]</f>
        <v>High</v>
      </c>
      <c r="P194">
        <f>tblComponents[Planned_Production_or_Procurement]</f>
        <v>10935</v>
      </c>
      <c r="Q194">
        <f t="shared" si="18"/>
        <v>834.70500000000004</v>
      </c>
      <c r="R194" t="str">
        <f t="shared" si="19"/>
        <v>High</v>
      </c>
      <c r="S194" t="str">
        <f t="shared" si="20"/>
        <v>High Priority</v>
      </c>
    </row>
    <row r="195" spans="1:19" x14ac:dyDescent="0.35">
      <c r="A195" s="12" t="str">
        <f>tblComponents[Component_ID]</f>
        <v>C194</v>
      </c>
      <c r="B195" s="12" t="str">
        <f>tblComponents[Component_Name]</f>
        <v>Component 194</v>
      </c>
      <c r="C195" t="str">
        <f>tblComponents[Sourcing_Type]</f>
        <v>Make</v>
      </c>
      <c r="D195">
        <f>tblComponents[Forecast_Demand]</f>
        <v>1366</v>
      </c>
      <c r="E195">
        <f>tblComponents[Selling_Price_Per_Unit]</f>
        <v>3027.84</v>
      </c>
      <c r="F195">
        <f>tblComponents[Variable_Cost_Per_Unit]</f>
        <v>2107.15</v>
      </c>
      <c r="G195">
        <f>tblComponents[Direct_Labor_Cost_Per_Unit]</f>
        <v>64.400000000000006</v>
      </c>
      <c r="H195">
        <f>tblComponents[Contribution_Per_Unit]</f>
        <v>920.69</v>
      </c>
      <c r="I195">
        <f>tblComponents[Contribution_Margin]</f>
        <v>0.30409999999999998</v>
      </c>
      <c r="J195">
        <f>tblComponents[Actual_Cycle_Time_Min]/60</f>
        <v>0.10400000000000001</v>
      </c>
      <c r="K195">
        <f t="shared" ref="K195:K258" si="21">IFERROR(H195/J195,0)</f>
        <v>8852.788461538461</v>
      </c>
      <c r="L195">
        <f>H195*tblComponents[Planned_Production_or_Procurement]</f>
        <v>3580563.41</v>
      </c>
      <c r="M195">
        <f t="shared" ref="M195:M258" si="22">IF(C195="Make",1+COUNTIFS($C$2:$C$501,"Make",$K$2:$K$501,"&gt;"&amp;K195),"")</f>
        <v>39</v>
      </c>
      <c r="N195" t="str">
        <f t="shared" ref="N195:N258" si="23">IF(C195="Buy","Not Applicable",IF(M195&lt;=75,"High Economic Priority",IF(M195&lt;=150,"Medium Economic Priority","Low Economic Priority")))</f>
        <v>High Economic Priority</v>
      </c>
      <c r="O195" t="str">
        <f>tblComponents[Criticality]</f>
        <v>Low</v>
      </c>
      <c r="P195">
        <f>tblComponents[Planned_Production_or_Procurement]</f>
        <v>3889</v>
      </c>
      <c r="Q195">
        <f t="shared" ref="Q195:Q258" si="24">J195*P195</f>
        <v>404.45600000000002</v>
      </c>
      <c r="R195" t="str">
        <f t="shared" ref="R195:R258" si="25">IF(O195="Critical","Critical",IF(O195="High","High",IF(O195="Medium","Medium","Low")))</f>
        <v>Low</v>
      </c>
      <c r="S195" t="str">
        <f t="shared" ref="S195:S258" si="26">IF(C195="Buy","Not Applicable",
IF(O195="Critical","Critical Priority",
IF(AND(N195="High Economic Priority",O195="High"),"High Priority",
IF(AND(N195="High Economic Priority",O195="Medium"),"High Priority",
IF(AND(N195="High Economic Priority",O195="Low"),"High Priority",
IF(AND(N195="Medium Economic Priority",O195="High"),"High Priority",
IF(AND(N195="Medium Economic Priority",O195="Medium"),"Medium Priority",
IF(AND(N195="Medium Economic Priority",O195="Low"),"Medium Priority",
IF(AND(N195="Low Economic Priority",O195="High"),"High Priority",
IF(AND(N195="Low Economic Priority",O195="Medium"),"Medium Priority","Low Priority"))))))))))</f>
        <v>High Priority</v>
      </c>
    </row>
    <row r="196" spans="1:19" x14ac:dyDescent="0.35">
      <c r="A196" s="12" t="str">
        <f>tblComponents[Component_ID]</f>
        <v>C195</v>
      </c>
      <c r="B196" s="12" t="str">
        <f>tblComponents[Component_Name]</f>
        <v>Component 195</v>
      </c>
      <c r="C196" t="str">
        <f>tblComponents[Sourcing_Type]</f>
        <v>Make</v>
      </c>
      <c r="D196">
        <f>tblComponents[Forecast_Demand]</f>
        <v>3412</v>
      </c>
      <c r="E196">
        <f>tblComponents[Selling_Price_Per_Unit]</f>
        <v>748.33</v>
      </c>
      <c r="F196">
        <f>tblComponents[Variable_Cost_Per_Unit]</f>
        <v>531.9</v>
      </c>
      <c r="G196">
        <f>tblComponents[Direct_Labor_Cost_Per_Unit]</f>
        <v>13.05</v>
      </c>
      <c r="H196">
        <f>tblComponents[Contribution_Per_Unit]</f>
        <v>216.43</v>
      </c>
      <c r="I196">
        <f>tblComponents[Contribution_Margin]</f>
        <v>0.28920000000000001</v>
      </c>
      <c r="J196">
        <f>tblComponents[Actual_Cycle_Time_Min]/60</f>
        <v>9.1999999999999998E-2</v>
      </c>
      <c r="K196">
        <f t="shared" si="21"/>
        <v>2352.5</v>
      </c>
      <c r="L196">
        <f>H196*tblComponents[Planned_Production_or_Procurement]</f>
        <v>1256376.1500000001</v>
      </c>
      <c r="M196">
        <f t="shared" si="22"/>
        <v>203</v>
      </c>
      <c r="N196" t="str">
        <f t="shared" si="23"/>
        <v>Low Economic Priority</v>
      </c>
      <c r="O196" t="str">
        <f>tblComponents[Criticality]</f>
        <v>Low</v>
      </c>
      <c r="P196">
        <f>tblComponents[Planned_Production_or_Procurement]</f>
        <v>5805</v>
      </c>
      <c r="Q196">
        <f t="shared" si="24"/>
        <v>534.05999999999995</v>
      </c>
      <c r="R196" t="str">
        <f t="shared" si="25"/>
        <v>Low</v>
      </c>
      <c r="S196" t="str">
        <f t="shared" si="26"/>
        <v>Low Priority</v>
      </c>
    </row>
    <row r="197" spans="1:19" x14ac:dyDescent="0.35">
      <c r="A197" s="12" t="str">
        <f>tblComponents[Component_ID]</f>
        <v>C196</v>
      </c>
      <c r="B197" s="12" t="str">
        <f>tblComponents[Component_Name]</f>
        <v>Component 196</v>
      </c>
      <c r="C197" t="str">
        <f>tblComponents[Sourcing_Type]</f>
        <v>Make</v>
      </c>
      <c r="D197">
        <f>tblComponents[Forecast_Demand]</f>
        <v>477</v>
      </c>
      <c r="E197">
        <f>tblComponents[Selling_Price_Per_Unit]</f>
        <v>1382.6</v>
      </c>
      <c r="F197">
        <f>tblComponents[Variable_Cost_Per_Unit]</f>
        <v>1031.5</v>
      </c>
      <c r="G197">
        <f>tblComponents[Direct_Labor_Cost_Per_Unit]</f>
        <v>85.51</v>
      </c>
      <c r="H197">
        <f>tblComponents[Contribution_Per_Unit]</f>
        <v>351.1</v>
      </c>
      <c r="I197">
        <f>tblComponents[Contribution_Margin]</f>
        <v>0.25390000000000001</v>
      </c>
      <c r="J197">
        <f>tblComponents[Actual_Cycle_Time_Min]/60</f>
        <v>0.153</v>
      </c>
      <c r="K197">
        <f t="shared" si="21"/>
        <v>2294.7712418300657</v>
      </c>
      <c r="L197">
        <f>H197*tblComponents[Planned_Production_or_Procurement]</f>
        <v>1470406.8</v>
      </c>
      <c r="M197">
        <f t="shared" si="22"/>
        <v>204</v>
      </c>
      <c r="N197" t="str">
        <f t="shared" si="23"/>
        <v>Low Economic Priority</v>
      </c>
      <c r="O197" t="str">
        <f>tblComponents[Criticality]</f>
        <v>High</v>
      </c>
      <c r="P197">
        <f>tblComponents[Planned_Production_or_Procurement]</f>
        <v>4188</v>
      </c>
      <c r="Q197">
        <f t="shared" si="24"/>
        <v>640.76400000000001</v>
      </c>
      <c r="R197" t="str">
        <f t="shared" si="25"/>
        <v>High</v>
      </c>
      <c r="S197" t="str">
        <f t="shared" si="26"/>
        <v>High Priority</v>
      </c>
    </row>
    <row r="198" spans="1:19" x14ac:dyDescent="0.35">
      <c r="A198" s="12" t="str">
        <f>tblComponents[Component_ID]</f>
        <v>C197</v>
      </c>
      <c r="B198" s="12" t="str">
        <f>tblComponents[Component_Name]</f>
        <v>Component 197</v>
      </c>
      <c r="C198" t="str">
        <f>tblComponents[Sourcing_Type]</f>
        <v>Make</v>
      </c>
      <c r="D198">
        <f>tblComponents[Forecast_Demand]</f>
        <v>1162</v>
      </c>
      <c r="E198">
        <f>tblComponents[Selling_Price_Per_Unit]</f>
        <v>802.29</v>
      </c>
      <c r="F198">
        <f>tblComponents[Variable_Cost_Per_Unit]</f>
        <v>595.91</v>
      </c>
      <c r="G198">
        <f>tblComponents[Direct_Labor_Cost_Per_Unit]</f>
        <v>70.22</v>
      </c>
      <c r="H198">
        <f>tblComponents[Contribution_Per_Unit]</f>
        <v>206.38</v>
      </c>
      <c r="I198">
        <f>tblComponents[Contribution_Margin]</f>
        <v>0.25719999999999998</v>
      </c>
      <c r="J198">
        <f>tblComponents[Actual_Cycle_Time_Min]/60</f>
        <v>3.5000000000000003E-2</v>
      </c>
      <c r="K198">
        <f t="shared" si="21"/>
        <v>5896.5714285714275</v>
      </c>
      <c r="L198">
        <f>H198*tblComponents[Planned_Production_or_Procurement]</f>
        <v>1741434.44</v>
      </c>
      <c r="M198">
        <f t="shared" si="22"/>
        <v>79</v>
      </c>
      <c r="N198" t="str">
        <f t="shared" si="23"/>
        <v>Medium Economic Priority</v>
      </c>
      <c r="O198" t="str">
        <f>tblComponents[Criticality]</f>
        <v>Critical</v>
      </c>
      <c r="P198">
        <f>tblComponents[Planned_Production_or_Procurement]</f>
        <v>8438</v>
      </c>
      <c r="Q198">
        <f t="shared" si="24"/>
        <v>295.33000000000004</v>
      </c>
      <c r="R198" t="str">
        <f t="shared" si="25"/>
        <v>Critical</v>
      </c>
      <c r="S198" t="str">
        <f t="shared" si="26"/>
        <v>Critical Priority</v>
      </c>
    </row>
    <row r="199" spans="1:19" x14ac:dyDescent="0.35">
      <c r="A199" s="12" t="str">
        <f>tblComponents[Component_ID]</f>
        <v>C198</v>
      </c>
      <c r="B199" s="12" t="str">
        <f>tblComponents[Component_Name]</f>
        <v>Component 198</v>
      </c>
      <c r="C199" t="str">
        <f>tblComponents[Sourcing_Type]</f>
        <v>Make</v>
      </c>
      <c r="D199">
        <f>tblComponents[Forecast_Demand]</f>
        <v>754</v>
      </c>
      <c r="E199">
        <f>tblComponents[Selling_Price_Per_Unit]</f>
        <v>1645.33</v>
      </c>
      <c r="F199">
        <f>tblComponents[Variable_Cost_Per_Unit]</f>
        <v>1176.04</v>
      </c>
      <c r="G199">
        <f>tblComponents[Direct_Labor_Cost_Per_Unit]</f>
        <v>65.58</v>
      </c>
      <c r="H199">
        <f>tblComponents[Contribution_Per_Unit]</f>
        <v>469.29</v>
      </c>
      <c r="I199">
        <f>tblComponents[Contribution_Margin]</f>
        <v>0.28520000000000001</v>
      </c>
      <c r="J199">
        <f>tblComponents[Actual_Cycle_Time_Min]/60</f>
        <v>8.0833333333333326E-2</v>
      </c>
      <c r="K199">
        <f t="shared" si="21"/>
        <v>5805.649484536083</v>
      </c>
      <c r="L199">
        <f>H199*tblComponents[Planned_Production_or_Procurement]</f>
        <v>520442.61000000004</v>
      </c>
      <c r="M199">
        <f t="shared" si="22"/>
        <v>81</v>
      </c>
      <c r="N199" t="str">
        <f t="shared" si="23"/>
        <v>Medium Economic Priority</v>
      </c>
      <c r="O199" t="str">
        <f>tblComponents[Criticality]</f>
        <v>Medium</v>
      </c>
      <c r="P199">
        <f>tblComponents[Planned_Production_or_Procurement]</f>
        <v>1109</v>
      </c>
      <c r="Q199">
        <f t="shared" si="24"/>
        <v>89.644166666666663</v>
      </c>
      <c r="R199" t="str">
        <f t="shared" si="25"/>
        <v>Medium</v>
      </c>
      <c r="S199" t="str">
        <f t="shared" si="26"/>
        <v>Medium Priority</v>
      </c>
    </row>
    <row r="200" spans="1:19" x14ac:dyDescent="0.35">
      <c r="A200" s="12" t="str">
        <f>tblComponents[Component_ID]</f>
        <v>C199</v>
      </c>
      <c r="B200" s="12" t="str">
        <f>tblComponents[Component_Name]</f>
        <v>Component 199</v>
      </c>
      <c r="C200" t="str">
        <f>tblComponents[Sourcing_Type]</f>
        <v>Make</v>
      </c>
      <c r="D200">
        <f>tblComponents[Forecast_Demand]</f>
        <v>823</v>
      </c>
      <c r="E200">
        <f>tblComponents[Selling_Price_Per_Unit]</f>
        <v>1012.48</v>
      </c>
      <c r="F200">
        <f>tblComponents[Variable_Cost_Per_Unit]</f>
        <v>684.33</v>
      </c>
      <c r="G200">
        <f>tblComponents[Direct_Labor_Cost_Per_Unit]</f>
        <v>6.29</v>
      </c>
      <c r="H200">
        <f>tblComponents[Contribution_Per_Unit]</f>
        <v>328.15</v>
      </c>
      <c r="I200">
        <f>tblComponents[Contribution_Margin]</f>
        <v>0.3241</v>
      </c>
      <c r="J200">
        <f>tblComponents[Actual_Cycle_Time_Min]/60</f>
        <v>7.2999999999999995E-2</v>
      </c>
      <c r="K200">
        <f t="shared" si="21"/>
        <v>4495.2054794520545</v>
      </c>
      <c r="L200">
        <f>H200*tblComponents[Planned_Production_or_Procurement]</f>
        <v>899787.29999999993</v>
      </c>
      <c r="M200">
        <f t="shared" si="22"/>
        <v>116</v>
      </c>
      <c r="N200" t="str">
        <f t="shared" si="23"/>
        <v>Medium Economic Priority</v>
      </c>
      <c r="O200" t="str">
        <f>tblComponents[Criticality]</f>
        <v>Critical</v>
      </c>
      <c r="P200">
        <f>tblComponents[Planned_Production_or_Procurement]</f>
        <v>2742</v>
      </c>
      <c r="Q200">
        <f t="shared" si="24"/>
        <v>200.166</v>
      </c>
      <c r="R200" t="str">
        <f t="shared" si="25"/>
        <v>Critical</v>
      </c>
      <c r="S200" t="str">
        <f t="shared" si="26"/>
        <v>Critical Priority</v>
      </c>
    </row>
    <row r="201" spans="1:19" x14ac:dyDescent="0.35">
      <c r="A201" s="12" t="str">
        <f>tblComponents[Component_ID]</f>
        <v>C200</v>
      </c>
      <c r="B201" s="12" t="str">
        <f>tblComponents[Component_Name]</f>
        <v>Component 200</v>
      </c>
      <c r="C201" t="str">
        <f>tblComponents[Sourcing_Type]</f>
        <v>Make</v>
      </c>
      <c r="D201">
        <f>tblComponents[Forecast_Demand]</f>
        <v>866</v>
      </c>
      <c r="E201">
        <f>tblComponents[Selling_Price_Per_Unit]</f>
        <v>1091.6099999999999</v>
      </c>
      <c r="F201">
        <f>tblComponents[Variable_Cost_Per_Unit]</f>
        <v>736.25</v>
      </c>
      <c r="G201">
        <f>tblComponents[Direct_Labor_Cost_Per_Unit]</f>
        <v>52.66</v>
      </c>
      <c r="H201">
        <f>tblComponents[Contribution_Per_Unit]</f>
        <v>355.36</v>
      </c>
      <c r="I201">
        <f>tblComponents[Contribution_Margin]</f>
        <v>0.32550000000000001</v>
      </c>
      <c r="J201">
        <f>tblComponents[Actual_Cycle_Time_Min]/60</f>
        <v>5.4666666666666662E-2</v>
      </c>
      <c r="K201">
        <f t="shared" si="21"/>
        <v>6500.4878048780492</v>
      </c>
      <c r="L201">
        <f>H201*tblComponents[Planned_Production_or_Procurement]</f>
        <v>721025.44000000006</v>
      </c>
      <c r="M201">
        <f t="shared" si="22"/>
        <v>64</v>
      </c>
      <c r="N201" t="str">
        <f t="shared" si="23"/>
        <v>High Economic Priority</v>
      </c>
      <c r="O201" t="str">
        <f>tblComponents[Criticality]</f>
        <v>Medium</v>
      </c>
      <c r="P201">
        <f>tblComponents[Planned_Production_or_Procurement]</f>
        <v>2029</v>
      </c>
      <c r="Q201">
        <f t="shared" si="24"/>
        <v>110.91866666666665</v>
      </c>
      <c r="R201" t="str">
        <f t="shared" si="25"/>
        <v>Medium</v>
      </c>
      <c r="S201" t="str">
        <f t="shared" si="26"/>
        <v>High Priority</v>
      </c>
    </row>
    <row r="202" spans="1:19" x14ac:dyDescent="0.35">
      <c r="A202" s="12" t="str">
        <f>tblComponents[Component_ID]</f>
        <v>C201</v>
      </c>
      <c r="B202" s="12" t="str">
        <f>tblComponents[Component_Name]</f>
        <v>Component 201</v>
      </c>
      <c r="C202" t="str">
        <f>tblComponents[Sourcing_Type]</f>
        <v>Make</v>
      </c>
      <c r="D202">
        <f>tblComponents[Forecast_Demand]</f>
        <v>809</v>
      </c>
      <c r="E202">
        <f>tblComponents[Selling_Price_Per_Unit]</f>
        <v>1797.12</v>
      </c>
      <c r="F202">
        <f>tblComponents[Variable_Cost_Per_Unit]</f>
        <v>1450.41</v>
      </c>
      <c r="G202">
        <f>tblComponents[Direct_Labor_Cost_Per_Unit]</f>
        <v>58.09</v>
      </c>
      <c r="H202">
        <f>tblComponents[Contribution_Per_Unit]</f>
        <v>346.71</v>
      </c>
      <c r="I202">
        <f>tblComponents[Contribution_Margin]</f>
        <v>0.19289999999999999</v>
      </c>
      <c r="J202">
        <f>tblComponents[Actual_Cycle_Time_Min]/60</f>
        <v>4.3166666666666666E-2</v>
      </c>
      <c r="K202">
        <f t="shared" si="21"/>
        <v>8031.8918918918916</v>
      </c>
      <c r="L202">
        <f>H202*tblComponents[Planned_Production_or_Procurement]</f>
        <v>2603098.6799999997</v>
      </c>
      <c r="M202">
        <f t="shared" si="22"/>
        <v>47</v>
      </c>
      <c r="N202" t="str">
        <f t="shared" si="23"/>
        <v>High Economic Priority</v>
      </c>
      <c r="O202" t="str">
        <f>tblComponents[Criticality]</f>
        <v>Medium</v>
      </c>
      <c r="P202">
        <f>tblComponents[Planned_Production_or_Procurement]</f>
        <v>7508</v>
      </c>
      <c r="Q202">
        <f t="shared" si="24"/>
        <v>324.09533333333331</v>
      </c>
      <c r="R202" t="str">
        <f t="shared" si="25"/>
        <v>Medium</v>
      </c>
      <c r="S202" t="str">
        <f t="shared" si="26"/>
        <v>High Priority</v>
      </c>
    </row>
    <row r="203" spans="1:19" x14ac:dyDescent="0.35">
      <c r="A203" s="12" t="str">
        <f>tblComponents[Component_ID]</f>
        <v>C202</v>
      </c>
      <c r="B203" s="12" t="str">
        <f>tblComponents[Component_Name]</f>
        <v>Component 202</v>
      </c>
      <c r="C203" t="str">
        <f>tblComponents[Sourcing_Type]</f>
        <v>Make</v>
      </c>
      <c r="D203">
        <f>tblComponents[Forecast_Demand]</f>
        <v>575</v>
      </c>
      <c r="E203">
        <f>tblComponents[Selling_Price_Per_Unit]</f>
        <v>807.87</v>
      </c>
      <c r="F203">
        <f>tblComponents[Variable_Cost_Per_Unit]</f>
        <v>585.67999999999995</v>
      </c>
      <c r="G203">
        <f>tblComponents[Direct_Labor_Cost_Per_Unit]</f>
        <v>8.08</v>
      </c>
      <c r="H203">
        <f>tblComponents[Contribution_Per_Unit]</f>
        <v>222.19</v>
      </c>
      <c r="I203">
        <f>tblComponents[Contribution_Margin]</f>
        <v>0.27500000000000002</v>
      </c>
      <c r="J203">
        <f>tblComponents[Actual_Cycle_Time_Min]/60</f>
        <v>0.16883333333333334</v>
      </c>
      <c r="K203">
        <f t="shared" si="21"/>
        <v>1316.0315893385982</v>
      </c>
      <c r="L203">
        <f>H203*tblComponents[Planned_Production_or_Procurement]</f>
        <v>253518.79</v>
      </c>
      <c r="M203">
        <f t="shared" si="22"/>
        <v>272</v>
      </c>
      <c r="N203" t="str">
        <f t="shared" si="23"/>
        <v>Low Economic Priority</v>
      </c>
      <c r="O203" t="str">
        <f>tblComponents[Criticality]</f>
        <v>Medium</v>
      </c>
      <c r="P203">
        <f>tblComponents[Planned_Production_or_Procurement]</f>
        <v>1141</v>
      </c>
      <c r="Q203">
        <f t="shared" si="24"/>
        <v>192.63883333333334</v>
      </c>
      <c r="R203" t="str">
        <f t="shared" si="25"/>
        <v>Medium</v>
      </c>
      <c r="S203" t="str">
        <f t="shared" si="26"/>
        <v>Medium Priority</v>
      </c>
    </row>
    <row r="204" spans="1:19" x14ac:dyDescent="0.35">
      <c r="A204" s="12" t="str">
        <f>tblComponents[Component_ID]</f>
        <v>C203</v>
      </c>
      <c r="B204" s="12" t="str">
        <f>tblComponents[Component_Name]</f>
        <v>Component 203</v>
      </c>
      <c r="C204" t="str">
        <f>tblComponents[Sourcing_Type]</f>
        <v>Make</v>
      </c>
      <c r="D204">
        <f>tblComponents[Forecast_Demand]</f>
        <v>1442</v>
      </c>
      <c r="E204">
        <f>tblComponents[Selling_Price_Per_Unit]</f>
        <v>1893.05</v>
      </c>
      <c r="F204">
        <f>tblComponents[Variable_Cost_Per_Unit]</f>
        <v>1414.13</v>
      </c>
      <c r="G204">
        <f>tblComponents[Direct_Labor_Cost_Per_Unit]</f>
        <v>83.8</v>
      </c>
      <c r="H204">
        <f>tblComponents[Contribution_Per_Unit]</f>
        <v>478.92</v>
      </c>
      <c r="I204">
        <f>tblComponents[Contribution_Margin]</f>
        <v>0.253</v>
      </c>
      <c r="J204">
        <f>tblComponents[Actual_Cycle_Time_Min]/60</f>
        <v>0.17333333333333334</v>
      </c>
      <c r="K204">
        <f t="shared" si="21"/>
        <v>2763</v>
      </c>
      <c r="L204">
        <f>H204*tblComponents[Planned_Production_or_Procurement]</f>
        <v>304593.12</v>
      </c>
      <c r="M204">
        <f t="shared" si="22"/>
        <v>180</v>
      </c>
      <c r="N204" t="str">
        <f t="shared" si="23"/>
        <v>Low Economic Priority</v>
      </c>
      <c r="O204" t="str">
        <f>tblComponents[Criticality]</f>
        <v>High</v>
      </c>
      <c r="P204">
        <f>tblComponents[Planned_Production_or_Procurement]</f>
        <v>636</v>
      </c>
      <c r="Q204">
        <f t="shared" si="24"/>
        <v>110.24000000000001</v>
      </c>
      <c r="R204" t="str">
        <f t="shared" si="25"/>
        <v>High</v>
      </c>
      <c r="S204" t="str">
        <f t="shared" si="26"/>
        <v>High Priority</v>
      </c>
    </row>
    <row r="205" spans="1:19" x14ac:dyDescent="0.35">
      <c r="A205" s="12" t="str">
        <f>tblComponents[Component_ID]</f>
        <v>C204</v>
      </c>
      <c r="B205" s="12" t="str">
        <f>tblComponents[Component_Name]</f>
        <v>Component 204</v>
      </c>
      <c r="C205" t="str">
        <f>tblComponents[Sourcing_Type]</f>
        <v>Make</v>
      </c>
      <c r="D205">
        <f>tblComponents[Forecast_Demand]</f>
        <v>680</v>
      </c>
      <c r="E205">
        <f>tblComponents[Selling_Price_Per_Unit]</f>
        <v>2996.43</v>
      </c>
      <c r="F205">
        <f>tblComponents[Variable_Cost_Per_Unit]</f>
        <v>1894.85</v>
      </c>
      <c r="G205">
        <f>tblComponents[Direct_Labor_Cost_Per_Unit]</f>
        <v>103.07</v>
      </c>
      <c r="H205">
        <f>tblComponents[Contribution_Per_Unit]</f>
        <v>1101.58</v>
      </c>
      <c r="I205">
        <f>tblComponents[Contribution_Margin]</f>
        <v>0.36759999999999998</v>
      </c>
      <c r="J205">
        <f>tblComponents[Actual_Cycle_Time_Min]/60</f>
        <v>9.2166666666666675E-2</v>
      </c>
      <c r="K205">
        <f t="shared" si="21"/>
        <v>11952.043399638334</v>
      </c>
      <c r="L205">
        <f>H205*tblComponents[Planned_Production_or_Procurement]</f>
        <v>1281137.5399999998</v>
      </c>
      <c r="M205">
        <f t="shared" si="22"/>
        <v>20</v>
      </c>
      <c r="N205" t="str">
        <f t="shared" si="23"/>
        <v>High Economic Priority</v>
      </c>
      <c r="O205" t="str">
        <f>tblComponents[Criticality]</f>
        <v>Medium</v>
      </c>
      <c r="P205">
        <f>tblComponents[Planned_Production_or_Procurement]</f>
        <v>1163</v>
      </c>
      <c r="Q205">
        <f t="shared" si="24"/>
        <v>107.18983333333334</v>
      </c>
      <c r="R205" t="str">
        <f t="shared" si="25"/>
        <v>Medium</v>
      </c>
      <c r="S205" t="str">
        <f t="shared" si="26"/>
        <v>High Priority</v>
      </c>
    </row>
    <row r="206" spans="1:19" x14ac:dyDescent="0.35">
      <c r="A206" s="12" t="str">
        <f>tblComponents[Component_ID]</f>
        <v>C205</v>
      </c>
      <c r="B206" s="12" t="str">
        <f>tblComponents[Component_Name]</f>
        <v>Component 205</v>
      </c>
      <c r="C206" t="str">
        <f>tblComponents[Sourcing_Type]</f>
        <v>Make</v>
      </c>
      <c r="D206">
        <f>tblComponents[Forecast_Demand]</f>
        <v>901</v>
      </c>
      <c r="E206">
        <f>tblComponents[Selling_Price_Per_Unit]</f>
        <v>3120.1</v>
      </c>
      <c r="F206">
        <f>tblComponents[Variable_Cost_Per_Unit]</f>
        <v>2159.56</v>
      </c>
      <c r="G206">
        <f>tblComponents[Direct_Labor_Cost_Per_Unit]</f>
        <v>148.26</v>
      </c>
      <c r="H206">
        <f>tblComponents[Contribution_Per_Unit]</f>
        <v>960.54</v>
      </c>
      <c r="I206">
        <f>tblComponents[Contribution_Margin]</f>
        <v>0.30790000000000001</v>
      </c>
      <c r="J206">
        <f>tblComponents[Actual_Cycle_Time_Min]/60</f>
        <v>0.30199999999999999</v>
      </c>
      <c r="K206">
        <f t="shared" si="21"/>
        <v>3180.5960264900664</v>
      </c>
      <c r="L206">
        <f>H206*tblComponents[Planned_Production_or_Procurement]</f>
        <v>1728011.46</v>
      </c>
      <c r="M206">
        <f t="shared" si="22"/>
        <v>162</v>
      </c>
      <c r="N206" t="str">
        <f t="shared" si="23"/>
        <v>Low Economic Priority</v>
      </c>
      <c r="O206" t="str">
        <f>tblComponents[Criticality]</f>
        <v>Low</v>
      </c>
      <c r="P206">
        <f>tblComponents[Planned_Production_or_Procurement]</f>
        <v>1799</v>
      </c>
      <c r="Q206">
        <f t="shared" si="24"/>
        <v>543.298</v>
      </c>
      <c r="R206" t="str">
        <f t="shared" si="25"/>
        <v>Low</v>
      </c>
      <c r="S206" t="str">
        <f t="shared" si="26"/>
        <v>Low Priority</v>
      </c>
    </row>
    <row r="207" spans="1:19" x14ac:dyDescent="0.35">
      <c r="A207" s="12" t="str">
        <f>tblComponents[Component_ID]</f>
        <v>C206</v>
      </c>
      <c r="B207" s="12" t="str">
        <f>tblComponents[Component_Name]</f>
        <v>Component 206</v>
      </c>
      <c r="C207" t="str">
        <f>tblComponents[Sourcing_Type]</f>
        <v>Make</v>
      </c>
      <c r="D207">
        <f>tblComponents[Forecast_Demand]</f>
        <v>1389</v>
      </c>
      <c r="E207">
        <f>tblComponents[Selling_Price_Per_Unit]</f>
        <v>505.4</v>
      </c>
      <c r="F207">
        <f>tblComponents[Variable_Cost_Per_Unit]</f>
        <v>362.31</v>
      </c>
      <c r="G207">
        <f>tblComponents[Direct_Labor_Cost_Per_Unit]</f>
        <v>31.43</v>
      </c>
      <c r="H207">
        <f>tblComponents[Contribution_Per_Unit]</f>
        <v>143.09</v>
      </c>
      <c r="I207">
        <f>tblComponents[Contribution_Margin]</f>
        <v>0.28310000000000002</v>
      </c>
      <c r="J207">
        <f>tblComponents[Actual_Cycle_Time_Min]/60</f>
        <v>0.14083333333333331</v>
      </c>
      <c r="K207">
        <f t="shared" si="21"/>
        <v>1016.0236686390534</v>
      </c>
      <c r="L207">
        <f>H207*tblComponents[Planned_Production_or_Procurement]</f>
        <v>515410.18</v>
      </c>
      <c r="M207">
        <f t="shared" si="22"/>
        <v>285</v>
      </c>
      <c r="N207" t="str">
        <f t="shared" si="23"/>
        <v>Low Economic Priority</v>
      </c>
      <c r="O207" t="str">
        <f>tblComponents[Criticality]</f>
        <v>Critical</v>
      </c>
      <c r="P207">
        <f>tblComponents[Planned_Production_or_Procurement]</f>
        <v>3602</v>
      </c>
      <c r="Q207">
        <f t="shared" si="24"/>
        <v>507.28166666666658</v>
      </c>
      <c r="R207" t="str">
        <f t="shared" si="25"/>
        <v>Critical</v>
      </c>
      <c r="S207" t="str">
        <f t="shared" si="26"/>
        <v>Critical Priority</v>
      </c>
    </row>
    <row r="208" spans="1:19" x14ac:dyDescent="0.35">
      <c r="A208" s="12" t="str">
        <f>tblComponents[Component_ID]</f>
        <v>C207</v>
      </c>
      <c r="B208" s="12" t="str">
        <f>tblComponents[Component_Name]</f>
        <v>Component 207</v>
      </c>
      <c r="C208" t="str">
        <f>tblComponents[Sourcing_Type]</f>
        <v>Make</v>
      </c>
      <c r="D208">
        <f>tblComponents[Forecast_Demand]</f>
        <v>208</v>
      </c>
      <c r="E208">
        <f>tblComponents[Selling_Price_Per_Unit]</f>
        <v>1215.05</v>
      </c>
      <c r="F208">
        <f>tblComponents[Variable_Cost_Per_Unit]</f>
        <v>997.74</v>
      </c>
      <c r="G208">
        <f>tblComponents[Direct_Labor_Cost_Per_Unit]</f>
        <v>20.65</v>
      </c>
      <c r="H208">
        <f>tblComponents[Contribution_Per_Unit]</f>
        <v>217.31</v>
      </c>
      <c r="I208">
        <f>tblComponents[Contribution_Margin]</f>
        <v>0.17879999999999999</v>
      </c>
      <c r="J208">
        <f>tblComponents[Actual_Cycle_Time_Min]/60</f>
        <v>2.1333333333333333E-2</v>
      </c>
      <c r="K208">
        <f t="shared" si="21"/>
        <v>10186.40625</v>
      </c>
      <c r="L208">
        <f>H208*tblComponents[Planned_Production_or_Procurement]</f>
        <v>2450170.25</v>
      </c>
      <c r="M208">
        <f t="shared" si="22"/>
        <v>27</v>
      </c>
      <c r="N208" t="str">
        <f t="shared" si="23"/>
        <v>High Economic Priority</v>
      </c>
      <c r="O208" t="str">
        <f>tblComponents[Criticality]</f>
        <v>Medium</v>
      </c>
      <c r="P208">
        <f>tblComponents[Planned_Production_or_Procurement]</f>
        <v>11275</v>
      </c>
      <c r="Q208">
        <f t="shared" si="24"/>
        <v>240.53333333333333</v>
      </c>
      <c r="R208" t="str">
        <f t="shared" si="25"/>
        <v>Medium</v>
      </c>
      <c r="S208" t="str">
        <f t="shared" si="26"/>
        <v>High Priority</v>
      </c>
    </row>
    <row r="209" spans="1:19" x14ac:dyDescent="0.35">
      <c r="A209" s="12" t="str">
        <f>tblComponents[Component_ID]</f>
        <v>C208</v>
      </c>
      <c r="B209" s="12" t="str">
        <f>tblComponents[Component_Name]</f>
        <v>Component 208</v>
      </c>
      <c r="C209" t="str">
        <f>tblComponents[Sourcing_Type]</f>
        <v>Make</v>
      </c>
      <c r="D209">
        <f>tblComponents[Forecast_Demand]</f>
        <v>1232</v>
      </c>
      <c r="E209">
        <f>tblComponents[Selling_Price_Per_Unit]</f>
        <v>1774.76</v>
      </c>
      <c r="F209">
        <f>tblComponents[Variable_Cost_Per_Unit]</f>
        <v>1239.83</v>
      </c>
      <c r="G209">
        <f>tblComponents[Direct_Labor_Cost_Per_Unit]</f>
        <v>33.57</v>
      </c>
      <c r="H209">
        <f>tblComponents[Contribution_Per_Unit]</f>
        <v>534.92999999999995</v>
      </c>
      <c r="I209">
        <f>tblComponents[Contribution_Margin]</f>
        <v>0.3014</v>
      </c>
      <c r="J209">
        <f>tblComponents[Actual_Cycle_Time_Min]/60</f>
        <v>0.22666666666666666</v>
      </c>
      <c r="K209">
        <f t="shared" si="21"/>
        <v>2359.9852941176468</v>
      </c>
      <c r="L209">
        <f>H209*tblComponents[Planned_Production_or_Procurement]</f>
        <v>784742.30999999994</v>
      </c>
      <c r="M209">
        <f t="shared" si="22"/>
        <v>201</v>
      </c>
      <c r="N209" t="str">
        <f t="shared" si="23"/>
        <v>Low Economic Priority</v>
      </c>
      <c r="O209" t="str">
        <f>tblComponents[Criticality]</f>
        <v>Medium</v>
      </c>
      <c r="P209">
        <f>tblComponents[Planned_Production_or_Procurement]</f>
        <v>1467</v>
      </c>
      <c r="Q209">
        <f t="shared" si="24"/>
        <v>332.52</v>
      </c>
      <c r="R209" t="str">
        <f t="shared" si="25"/>
        <v>Medium</v>
      </c>
      <c r="S209" t="str">
        <f t="shared" si="26"/>
        <v>Medium Priority</v>
      </c>
    </row>
    <row r="210" spans="1:19" x14ac:dyDescent="0.35">
      <c r="A210" s="12" t="str">
        <f>tblComponents[Component_ID]</f>
        <v>C209</v>
      </c>
      <c r="B210" s="12" t="str">
        <f>tblComponents[Component_Name]</f>
        <v>Component 209</v>
      </c>
      <c r="C210" t="str">
        <f>tblComponents[Sourcing_Type]</f>
        <v>Make</v>
      </c>
      <c r="D210">
        <f>tblComponents[Forecast_Demand]</f>
        <v>1332</v>
      </c>
      <c r="E210">
        <f>tblComponents[Selling_Price_Per_Unit]</f>
        <v>763.08</v>
      </c>
      <c r="F210">
        <f>tblComponents[Variable_Cost_Per_Unit]</f>
        <v>626.26</v>
      </c>
      <c r="G210">
        <f>tblComponents[Direct_Labor_Cost_Per_Unit]</f>
        <v>18.420000000000002</v>
      </c>
      <c r="H210">
        <f>tblComponents[Contribution_Per_Unit]</f>
        <v>136.82</v>
      </c>
      <c r="I210">
        <f>tblComponents[Contribution_Margin]</f>
        <v>0.17929999999999999</v>
      </c>
      <c r="J210">
        <f>tblComponents[Actual_Cycle_Time_Min]/60</f>
        <v>0.10299999999999999</v>
      </c>
      <c r="K210">
        <f t="shared" si="21"/>
        <v>1328.3495145631068</v>
      </c>
      <c r="L210">
        <f>H210*tblComponents[Planned_Production_or_Procurement]</f>
        <v>346701.88</v>
      </c>
      <c r="M210">
        <f t="shared" si="22"/>
        <v>269</v>
      </c>
      <c r="N210" t="str">
        <f t="shared" si="23"/>
        <v>Low Economic Priority</v>
      </c>
      <c r="O210" t="str">
        <f>tblComponents[Criticality]</f>
        <v>High</v>
      </c>
      <c r="P210">
        <f>tblComponents[Planned_Production_or_Procurement]</f>
        <v>2534</v>
      </c>
      <c r="Q210">
        <f t="shared" si="24"/>
        <v>261.00200000000001</v>
      </c>
      <c r="R210" t="str">
        <f t="shared" si="25"/>
        <v>High</v>
      </c>
      <c r="S210" t="str">
        <f t="shared" si="26"/>
        <v>High Priority</v>
      </c>
    </row>
    <row r="211" spans="1:19" x14ac:dyDescent="0.35">
      <c r="A211" s="12" t="str">
        <f>tblComponents[Component_ID]</f>
        <v>C210</v>
      </c>
      <c r="B211" s="12" t="str">
        <f>tblComponents[Component_Name]</f>
        <v>Component 210</v>
      </c>
      <c r="C211" t="str">
        <f>tblComponents[Sourcing_Type]</f>
        <v>Make</v>
      </c>
      <c r="D211">
        <f>tblComponents[Forecast_Demand]</f>
        <v>1058</v>
      </c>
      <c r="E211">
        <f>tblComponents[Selling_Price_Per_Unit]</f>
        <v>626.72</v>
      </c>
      <c r="F211">
        <f>tblComponents[Variable_Cost_Per_Unit]</f>
        <v>479.88</v>
      </c>
      <c r="G211">
        <f>tblComponents[Direct_Labor_Cost_Per_Unit]</f>
        <v>5.25</v>
      </c>
      <c r="H211">
        <f>tblComponents[Contribution_Per_Unit]</f>
        <v>146.84</v>
      </c>
      <c r="I211">
        <f>tblComponents[Contribution_Margin]</f>
        <v>0.23430000000000001</v>
      </c>
      <c r="J211">
        <f>tblComponents[Actual_Cycle_Time_Min]/60</f>
        <v>0.12283333333333334</v>
      </c>
      <c r="K211">
        <f t="shared" si="21"/>
        <v>1195.4409769335143</v>
      </c>
      <c r="L211">
        <f>H211*tblComponents[Planned_Production_or_Procurement]</f>
        <v>415997.72000000003</v>
      </c>
      <c r="M211">
        <f t="shared" si="22"/>
        <v>280</v>
      </c>
      <c r="N211" t="str">
        <f t="shared" si="23"/>
        <v>Low Economic Priority</v>
      </c>
      <c r="O211" t="str">
        <f>tblComponents[Criticality]</f>
        <v>Low</v>
      </c>
      <c r="P211">
        <f>tblComponents[Planned_Production_or_Procurement]</f>
        <v>2833</v>
      </c>
      <c r="Q211">
        <f t="shared" si="24"/>
        <v>347.98683333333332</v>
      </c>
      <c r="R211" t="str">
        <f t="shared" si="25"/>
        <v>Low</v>
      </c>
      <c r="S211" t="str">
        <f t="shared" si="26"/>
        <v>Low Priority</v>
      </c>
    </row>
    <row r="212" spans="1:19" x14ac:dyDescent="0.35">
      <c r="A212" s="12" t="str">
        <f>tblComponents[Component_ID]</f>
        <v>C211</v>
      </c>
      <c r="B212" s="12" t="str">
        <f>tblComponents[Component_Name]</f>
        <v>Component 211</v>
      </c>
      <c r="C212" t="str">
        <f>tblComponents[Sourcing_Type]</f>
        <v>Make</v>
      </c>
      <c r="D212">
        <f>tblComponents[Forecast_Demand]</f>
        <v>1275</v>
      </c>
      <c r="E212">
        <f>tblComponents[Selling_Price_Per_Unit]</f>
        <v>1556.94</v>
      </c>
      <c r="F212">
        <f>tblComponents[Variable_Cost_Per_Unit]</f>
        <v>1267.8</v>
      </c>
      <c r="G212">
        <f>tblComponents[Direct_Labor_Cost_Per_Unit]</f>
        <v>53.07</v>
      </c>
      <c r="H212">
        <f>tblComponents[Contribution_Per_Unit]</f>
        <v>289.14</v>
      </c>
      <c r="I212">
        <f>tblComponents[Contribution_Margin]</f>
        <v>0.1857</v>
      </c>
      <c r="J212">
        <f>tblComponents[Actual_Cycle_Time_Min]/60</f>
        <v>0.11483333333333333</v>
      </c>
      <c r="K212">
        <f t="shared" si="21"/>
        <v>2517.9100145137882</v>
      </c>
      <c r="L212">
        <f>H212*tblComponents[Planned_Production_or_Procurement]</f>
        <v>1259204.7</v>
      </c>
      <c r="M212">
        <f t="shared" si="22"/>
        <v>192</v>
      </c>
      <c r="N212" t="str">
        <f t="shared" si="23"/>
        <v>Low Economic Priority</v>
      </c>
      <c r="O212" t="str">
        <f>tblComponents[Criticality]</f>
        <v>Medium</v>
      </c>
      <c r="P212">
        <f>tblComponents[Planned_Production_or_Procurement]</f>
        <v>4355</v>
      </c>
      <c r="Q212">
        <f t="shared" si="24"/>
        <v>500.09916666666663</v>
      </c>
      <c r="R212" t="str">
        <f t="shared" si="25"/>
        <v>Medium</v>
      </c>
      <c r="S212" t="str">
        <f t="shared" si="26"/>
        <v>Medium Priority</v>
      </c>
    </row>
    <row r="213" spans="1:19" x14ac:dyDescent="0.35">
      <c r="A213" s="12" t="str">
        <f>tblComponents[Component_ID]</f>
        <v>C212</v>
      </c>
      <c r="B213" s="12" t="str">
        <f>tblComponents[Component_Name]</f>
        <v>Component 212</v>
      </c>
      <c r="C213" t="str">
        <f>tblComponents[Sourcing_Type]</f>
        <v>Make</v>
      </c>
      <c r="D213">
        <f>tblComponents[Forecast_Demand]</f>
        <v>1393</v>
      </c>
      <c r="E213">
        <f>tblComponents[Selling_Price_Per_Unit]</f>
        <v>1615.27</v>
      </c>
      <c r="F213">
        <f>tblComponents[Variable_Cost_Per_Unit]</f>
        <v>1093.51</v>
      </c>
      <c r="G213">
        <f>tblComponents[Direct_Labor_Cost_Per_Unit]</f>
        <v>62.82</v>
      </c>
      <c r="H213">
        <f>tblComponents[Contribution_Per_Unit]</f>
        <v>521.76</v>
      </c>
      <c r="I213">
        <f>tblComponents[Contribution_Margin]</f>
        <v>0.32300000000000001</v>
      </c>
      <c r="J213">
        <f>tblComponents[Actual_Cycle_Time_Min]/60</f>
        <v>0.1195</v>
      </c>
      <c r="K213">
        <f t="shared" si="21"/>
        <v>4366.1924686192469</v>
      </c>
      <c r="L213">
        <f>H213*tblComponents[Planned_Production_or_Procurement]</f>
        <v>1365445.92</v>
      </c>
      <c r="M213">
        <f t="shared" si="22"/>
        <v>123</v>
      </c>
      <c r="N213" t="str">
        <f t="shared" si="23"/>
        <v>Medium Economic Priority</v>
      </c>
      <c r="O213" t="str">
        <f>tblComponents[Criticality]</f>
        <v>Medium</v>
      </c>
      <c r="P213">
        <f>tblComponents[Planned_Production_or_Procurement]</f>
        <v>2617</v>
      </c>
      <c r="Q213">
        <f t="shared" si="24"/>
        <v>312.73149999999998</v>
      </c>
      <c r="R213" t="str">
        <f t="shared" si="25"/>
        <v>Medium</v>
      </c>
      <c r="S213" t="str">
        <f t="shared" si="26"/>
        <v>Medium Priority</v>
      </c>
    </row>
    <row r="214" spans="1:19" x14ac:dyDescent="0.35">
      <c r="A214" s="12" t="str">
        <f>tblComponents[Component_ID]</f>
        <v>C213</v>
      </c>
      <c r="B214" s="12" t="str">
        <f>tblComponents[Component_Name]</f>
        <v>Component 213</v>
      </c>
      <c r="C214" t="str">
        <f>tblComponents[Sourcing_Type]</f>
        <v>Make</v>
      </c>
      <c r="D214">
        <f>tblComponents[Forecast_Demand]</f>
        <v>124</v>
      </c>
      <c r="E214">
        <f>tblComponents[Selling_Price_Per_Unit]</f>
        <v>1615.57</v>
      </c>
      <c r="F214">
        <f>tblComponents[Variable_Cost_Per_Unit]</f>
        <v>1289.93</v>
      </c>
      <c r="G214">
        <f>tblComponents[Direct_Labor_Cost_Per_Unit]</f>
        <v>64.650000000000006</v>
      </c>
      <c r="H214">
        <f>tblComponents[Contribution_Per_Unit]</f>
        <v>325.64</v>
      </c>
      <c r="I214">
        <f>tblComponents[Contribution_Margin]</f>
        <v>0.2016</v>
      </c>
      <c r="J214">
        <f>tblComponents[Actual_Cycle_Time_Min]/60</f>
        <v>9.7166666666666665E-2</v>
      </c>
      <c r="K214">
        <f t="shared" si="21"/>
        <v>3351.3550600343051</v>
      </c>
      <c r="L214">
        <f>H214*tblComponents[Planned_Production_or_Procurement]</f>
        <v>3100744.08</v>
      </c>
      <c r="M214">
        <f t="shared" si="22"/>
        <v>158</v>
      </c>
      <c r="N214" t="str">
        <f t="shared" si="23"/>
        <v>Low Economic Priority</v>
      </c>
      <c r="O214" t="str">
        <f>tblComponents[Criticality]</f>
        <v>Medium</v>
      </c>
      <c r="P214">
        <f>tblComponents[Planned_Production_or_Procurement]</f>
        <v>9522</v>
      </c>
      <c r="Q214">
        <f t="shared" si="24"/>
        <v>925.221</v>
      </c>
      <c r="R214" t="str">
        <f t="shared" si="25"/>
        <v>Medium</v>
      </c>
      <c r="S214" t="str">
        <f t="shared" si="26"/>
        <v>Medium Priority</v>
      </c>
    </row>
    <row r="215" spans="1:19" x14ac:dyDescent="0.35">
      <c r="A215" s="12" t="str">
        <f>tblComponents[Component_ID]</f>
        <v>C214</v>
      </c>
      <c r="B215" s="12" t="str">
        <f>tblComponents[Component_Name]</f>
        <v>Component 214</v>
      </c>
      <c r="C215" t="str">
        <f>tblComponents[Sourcing_Type]</f>
        <v>Make</v>
      </c>
      <c r="D215">
        <f>tblComponents[Forecast_Demand]</f>
        <v>1363</v>
      </c>
      <c r="E215">
        <f>tblComponents[Selling_Price_Per_Unit]</f>
        <v>1267</v>
      </c>
      <c r="F215">
        <f>tblComponents[Variable_Cost_Per_Unit]</f>
        <v>952.83</v>
      </c>
      <c r="G215">
        <f>tblComponents[Direct_Labor_Cost_Per_Unit]</f>
        <v>19.41</v>
      </c>
      <c r="H215">
        <f>tblComponents[Contribution_Per_Unit]</f>
        <v>314.17</v>
      </c>
      <c r="I215">
        <f>tblComponents[Contribution_Margin]</f>
        <v>0.248</v>
      </c>
      <c r="J215">
        <f>tblComponents[Actual_Cycle_Time_Min]/60</f>
        <v>3.1333333333333331E-2</v>
      </c>
      <c r="K215">
        <f t="shared" si="21"/>
        <v>10026.702127659575</v>
      </c>
      <c r="L215">
        <f>H215*tblComponents[Planned_Production_or_Procurement]</f>
        <v>404650.96</v>
      </c>
      <c r="M215">
        <f t="shared" si="22"/>
        <v>28</v>
      </c>
      <c r="N215" t="str">
        <f t="shared" si="23"/>
        <v>High Economic Priority</v>
      </c>
      <c r="O215" t="str">
        <f>tblComponents[Criticality]</f>
        <v>Critical</v>
      </c>
      <c r="P215">
        <f>tblComponents[Planned_Production_or_Procurement]</f>
        <v>1288</v>
      </c>
      <c r="Q215">
        <f t="shared" si="24"/>
        <v>40.35733333333333</v>
      </c>
      <c r="R215" t="str">
        <f t="shared" si="25"/>
        <v>Critical</v>
      </c>
      <c r="S215" t="str">
        <f t="shared" si="26"/>
        <v>Critical Priority</v>
      </c>
    </row>
    <row r="216" spans="1:19" x14ac:dyDescent="0.35">
      <c r="A216" s="12" t="str">
        <f>tblComponents[Component_ID]</f>
        <v>C215</v>
      </c>
      <c r="B216" s="12" t="str">
        <f>tblComponents[Component_Name]</f>
        <v>Component 215</v>
      </c>
      <c r="C216" t="str">
        <f>tblComponents[Sourcing_Type]</f>
        <v>Make</v>
      </c>
      <c r="D216">
        <f>tblComponents[Forecast_Demand]</f>
        <v>624</v>
      </c>
      <c r="E216">
        <f>tblComponents[Selling_Price_Per_Unit]</f>
        <v>1850.75</v>
      </c>
      <c r="F216">
        <f>tblComponents[Variable_Cost_Per_Unit]</f>
        <v>1158.72</v>
      </c>
      <c r="G216">
        <f>tblComponents[Direct_Labor_Cost_Per_Unit]</f>
        <v>74.42</v>
      </c>
      <c r="H216">
        <f>tblComponents[Contribution_Per_Unit]</f>
        <v>692.03</v>
      </c>
      <c r="I216">
        <f>tblComponents[Contribution_Margin]</f>
        <v>0.37390000000000001</v>
      </c>
      <c r="J216">
        <f>tblComponents[Actual_Cycle_Time_Min]/60</f>
        <v>4.1500000000000002E-2</v>
      </c>
      <c r="K216">
        <f t="shared" si="21"/>
        <v>16675.421686746988</v>
      </c>
      <c r="L216">
        <f>H216*tblComponents[Planned_Production_or_Procurement]</f>
        <v>14055821.33</v>
      </c>
      <c r="M216">
        <f t="shared" si="22"/>
        <v>8</v>
      </c>
      <c r="N216" t="str">
        <f t="shared" si="23"/>
        <v>High Economic Priority</v>
      </c>
      <c r="O216" t="str">
        <f>tblComponents[Criticality]</f>
        <v>Critical</v>
      </c>
      <c r="P216">
        <f>tblComponents[Planned_Production_or_Procurement]</f>
        <v>20311</v>
      </c>
      <c r="Q216">
        <f t="shared" si="24"/>
        <v>842.90650000000005</v>
      </c>
      <c r="R216" t="str">
        <f t="shared" si="25"/>
        <v>Critical</v>
      </c>
      <c r="S216" t="str">
        <f t="shared" si="26"/>
        <v>Critical Priority</v>
      </c>
    </row>
    <row r="217" spans="1:19" x14ac:dyDescent="0.35">
      <c r="A217" s="12" t="str">
        <f>tblComponents[Component_ID]</f>
        <v>C216</v>
      </c>
      <c r="B217" s="12" t="str">
        <f>tblComponents[Component_Name]</f>
        <v>Component 216</v>
      </c>
      <c r="C217" t="str">
        <f>tblComponents[Sourcing_Type]</f>
        <v>Make</v>
      </c>
      <c r="D217">
        <f>tblComponents[Forecast_Demand]</f>
        <v>793</v>
      </c>
      <c r="E217">
        <f>tblComponents[Selling_Price_Per_Unit]</f>
        <v>640.16</v>
      </c>
      <c r="F217">
        <f>tblComponents[Variable_Cost_Per_Unit]</f>
        <v>511.44</v>
      </c>
      <c r="G217">
        <f>tblComponents[Direct_Labor_Cost_Per_Unit]</f>
        <v>33.22</v>
      </c>
      <c r="H217">
        <f>tblComponents[Contribution_Per_Unit]</f>
        <v>128.72</v>
      </c>
      <c r="I217">
        <f>tblComponents[Contribution_Margin]</f>
        <v>0.2011</v>
      </c>
      <c r="J217">
        <f>tblComponents[Actual_Cycle_Time_Min]/60</f>
        <v>9.1499999999999998E-2</v>
      </c>
      <c r="K217">
        <f t="shared" si="21"/>
        <v>1406.7759562841529</v>
      </c>
      <c r="L217">
        <f>H217*tblComponents[Planned_Production_or_Procurement]</f>
        <v>796648.08</v>
      </c>
      <c r="M217">
        <f t="shared" si="22"/>
        <v>265</v>
      </c>
      <c r="N217" t="str">
        <f t="shared" si="23"/>
        <v>Low Economic Priority</v>
      </c>
      <c r="O217" t="str">
        <f>tblComponents[Criticality]</f>
        <v>Critical</v>
      </c>
      <c r="P217">
        <f>tblComponents[Planned_Production_or_Procurement]</f>
        <v>6189</v>
      </c>
      <c r="Q217">
        <f t="shared" si="24"/>
        <v>566.29349999999999</v>
      </c>
      <c r="R217" t="str">
        <f t="shared" si="25"/>
        <v>Critical</v>
      </c>
      <c r="S217" t="str">
        <f t="shared" si="26"/>
        <v>Critical Priority</v>
      </c>
    </row>
    <row r="218" spans="1:19" x14ac:dyDescent="0.35">
      <c r="A218" s="12" t="str">
        <f>tblComponents[Component_ID]</f>
        <v>C217</v>
      </c>
      <c r="B218" s="12" t="str">
        <f>tblComponents[Component_Name]</f>
        <v>Component 217</v>
      </c>
      <c r="C218" t="str">
        <f>tblComponents[Sourcing_Type]</f>
        <v>Make</v>
      </c>
      <c r="D218">
        <f>tblComponents[Forecast_Demand]</f>
        <v>971</v>
      </c>
      <c r="E218">
        <f>tblComponents[Selling_Price_Per_Unit]</f>
        <v>2477.21</v>
      </c>
      <c r="F218">
        <f>tblComponents[Variable_Cost_Per_Unit]</f>
        <v>1791.14</v>
      </c>
      <c r="G218">
        <f>tblComponents[Direct_Labor_Cost_Per_Unit]</f>
        <v>50.36</v>
      </c>
      <c r="H218">
        <f>tblComponents[Contribution_Per_Unit]</f>
        <v>686.07</v>
      </c>
      <c r="I218">
        <f>tblComponents[Contribution_Margin]</f>
        <v>0.27700000000000002</v>
      </c>
      <c r="J218">
        <f>tblComponents[Actual_Cycle_Time_Min]/60</f>
        <v>0.13499999999999998</v>
      </c>
      <c r="K218">
        <f t="shared" si="21"/>
        <v>5082.0000000000009</v>
      </c>
      <c r="L218">
        <f>H218*tblComponents[Planned_Production_or_Procurement]</f>
        <v>772514.82000000007</v>
      </c>
      <c r="M218">
        <f t="shared" si="22"/>
        <v>96</v>
      </c>
      <c r="N218" t="str">
        <f t="shared" si="23"/>
        <v>Medium Economic Priority</v>
      </c>
      <c r="O218" t="str">
        <f>tblComponents[Criticality]</f>
        <v>Medium</v>
      </c>
      <c r="P218">
        <f>tblComponents[Planned_Production_or_Procurement]</f>
        <v>1126</v>
      </c>
      <c r="Q218">
        <f t="shared" si="24"/>
        <v>152.01</v>
      </c>
      <c r="R218" t="str">
        <f t="shared" si="25"/>
        <v>Medium</v>
      </c>
      <c r="S218" t="str">
        <f t="shared" si="26"/>
        <v>Medium Priority</v>
      </c>
    </row>
    <row r="219" spans="1:19" x14ac:dyDescent="0.35">
      <c r="A219" s="12" t="str">
        <f>tblComponents[Component_ID]</f>
        <v>C218</v>
      </c>
      <c r="B219" s="12" t="str">
        <f>tblComponents[Component_Name]</f>
        <v>Component 218</v>
      </c>
      <c r="C219" t="str">
        <f>tblComponents[Sourcing_Type]</f>
        <v>Make</v>
      </c>
      <c r="D219">
        <f>tblComponents[Forecast_Demand]</f>
        <v>482</v>
      </c>
      <c r="E219">
        <f>tblComponents[Selling_Price_Per_Unit]</f>
        <v>1261.3699999999999</v>
      </c>
      <c r="F219">
        <f>tblComponents[Variable_Cost_Per_Unit]</f>
        <v>939.95</v>
      </c>
      <c r="G219">
        <f>tblComponents[Direct_Labor_Cost_Per_Unit]</f>
        <v>37.08</v>
      </c>
      <c r="H219">
        <f>tblComponents[Contribution_Per_Unit]</f>
        <v>321.42</v>
      </c>
      <c r="I219">
        <f>tblComponents[Contribution_Margin]</f>
        <v>0.25480000000000003</v>
      </c>
      <c r="J219">
        <f>tblComponents[Actual_Cycle_Time_Min]/60</f>
        <v>0.246</v>
      </c>
      <c r="K219">
        <f t="shared" si="21"/>
        <v>1306.5853658536587</v>
      </c>
      <c r="L219">
        <f>H219*tblComponents[Planned_Production_or_Procurement]</f>
        <v>143674.74000000002</v>
      </c>
      <c r="M219">
        <f t="shared" si="22"/>
        <v>274</v>
      </c>
      <c r="N219" t="str">
        <f t="shared" si="23"/>
        <v>Low Economic Priority</v>
      </c>
      <c r="O219" t="str">
        <f>tblComponents[Criticality]</f>
        <v>Critical</v>
      </c>
      <c r="P219">
        <f>tblComponents[Planned_Production_or_Procurement]</f>
        <v>447</v>
      </c>
      <c r="Q219">
        <f t="shared" si="24"/>
        <v>109.962</v>
      </c>
      <c r="R219" t="str">
        <f t="shared" si="25"/>
        <v>Critical</v>
      </c>
      <c r="S219" t="str">
        <f t="shared" si="26"/>
        <v>Critical Priority</v>
      </c>
    </row>
    <row r="220" spans="1:19" x14ac:dyDescent="0.35">
      <c r="A220" s="12" t="str">
        <f>tblComponents[Component_ID]</f>
        <v>C219</v>
      </c>
      <c r="B220" s="12" t="str">
        <f>tblComponents[Component_Name]</f>
        <v>Component 219</v>
      </c>
      <c r="C220" t="str">
        <f>tblComponents[Sourcing_Type]</f>
        <v>Make</v>
      </c>
      <c r="D220">
        <f>tblComponents[Forecast_Demand]</f>
        <v>3274</v>
      </c>
      <c r="E220">
        <f>tblComponents[Selling_Price_Per_Unit]</f>
        <v>1332.99</v>
      </c>
      <c r="F220">
        <f>tblComponents[Variable_Cost_Per_Unit]</f>
        <v>1127</v>
      </c>
      <c r="G220">
        <f>tblComponents[Direct_Labor_Cost_Per_Unit]</f>
        <v>69.39</v>
      </c>
      <c r="H220">
        <f>tblComponents[Contribution_Per_Unit]</f>
        <v>205.99</v>
      </c>
      <c r="I220">
        <f>tblComponents[Contribution_Margin]</f>
        <v>0.1545</v>
      </c>
      <c r="J220">
        <f>tblComponents[Actual_Cycle_Time_Min]/60</f>
        <v>3.6833333333333336E-2</v>
      </c>
      <c r="K220">
        <f t="shared" si="21"/>
        <v>5592.4886877828048</v>
      </c>
      <c r="L220">
        <f>H220*tblComponents[Planned_Production_or_Procurement]</f>
        <v>2946892.94</v>
      </c>
      <c r="M220">
        <f t="shared" si="22"/>
        <v>85</v>
      </c>
      <c r="N220" t="str">
        <f t="shared" si="23"/>
        <v>Medium Economic Priority</v>
      </c>
      <c r="O220" t="str">
        <f>tblComponents[Criticality]</f>
        <v>Medium</v>
      </c>
      <c r="P220">
        <f>tblComponents[Planned_Production_or_Procurement]</f>
        <v>14306</v>
      </c>
      <c r="Q220">
        <f t="shared" si="24"/>
        <v>526.9376666666667</v>
      </c>
      <c r="R220" t="str">
        <f t="shared" si="25"/>
        <v>Medium</v>
      </c>
      <c r="S220" t="str">
        <f t="shared" si="26"/>
        <v>Medium Priority</v>
      </c>
    </row>
    <row r="221" spans="1:19" x14ac:dyDescent="0.35">
      <c r="A221" s="12" t="str">
        <f>tblComponents[Component_ID]</f>
        <v>C220</v>
      </c>
      <c r="B221" s="12" t="str">
        <f>tblComponents[Component_Name]</f>
        <v>Component 220</v>
      </c>
      <c r="C221" t="str">
        <f>tblComponents[Sourcing_Type]</f>
        <v>Make</v>
      </c>
      <c r="D221">
        <f>tblComponents[Forecast_Demand]</f>
        <v>342</v>
      </c>
      <c r="E221">
        <f>tblComponents[Selling_Price_Per_Unit]</f>
        <v>386.35</v>
      </c>
      <c r="F221">
        <f>tblComponents[Variable_Cost_Per_Unit]</f>
        <v>251.83</v>
      </c>
      <c r="G221">
        <f>tblComponents[Direct_Labor_Cost_Per_Unit]</f>
        <v>17.09</v>
      </c>
      <c r="H221">
        <f>tblComponents[Contribution_Per_Unit]</f>
        <v>134.52000000000001</v>
      </c>
      <c r="I221">
        <f>tblComponents[Contribution_Margin]</f>
        <v>0.34820000000000001</v>
      </c>
      <c r="J221">
        <f>tblComponents[Actual_Cycle_Time_Min]/60</f>
        <v>4.2666666666666665E-2</v>
      </c>
      <c r="K221">
        <f t="shared" si="21"/>
        <v>3152.8125000000005</v>
      </c>
      <c r="L221">
        <f>H221*tblComponents[Planned_Production_or_Procurement]</f>
        <v>1752795.6</v>
      </c>
      <c r="M221">
        <f t="shared" si="22"/>
        <v>163</v>
      </c>
      <c r="N221" t="str">
        <f t="shared" si="23"/>
        <v>Low Economic Priority</v>
      </c>
      <c r="O221" t="str">
        <f>tblComponents[Criticality]</f>
        <v>Medium</v>
      </c>
      <c r="P221">
        <f>tblComponents[Planned_Production_or_Procurement]</f>
        <v>13030</v>
      </c>
      <c r="Q221">
        <f t="shared" si="24"/>
        <v>555.9466666666666</v>
      </c>
      <c r="R221" t="str">
        <f t="shared" si="25"/>
        <v>Medium</v>
      </c>
      <c r="S221" t="str">
        <f t="shared" si="26"/>
        <v>Medium Priority</v>
      </c>
    </row>
    <row r="222" spans="1:19" x14ac:dyDescent="0.35">
      <c r="A222" s="12" t="str">
        <f>tblComponents[Component_ID]</f>
        <v>C221</v>
      </c>
      <c r="B222" s="12" t="str">
        <f>tblComponents[Component_Name]</f>
        <v>Component 221</v>
      </c>
      <c r="C222" t="str">
        <f>tblComponents[Sourcing_Type]</f>
        <v>Make</v>
      </c>
      <c r="D222">
        <f>tblComponents[Forecast_Demand]</f>
        <v>142</v>
      </c>
      <c r="E222">
        <f>tblComponents[Selling_Price_Per_Unit]</f>
        <v>1208.9000000000001</v>
      </c>
      <c r="F222">
        <f>tblComponents[Variable_Cost_Per_Unit]</f>
        <v>1006.7</v>
      </c>
      <c r="G222">
        <f>tblComponents[Direct_Labor_Cost_Per_Unit]</f>
        <v>65.72</v>
      </c>
      <c r="H222">
        <f>tblComponents[Contribution_Per_Unit]</f>
        <v>202.2</v>
      </c>
      <c r="I222">
        <f>tblComponents[Contribution_Margin]</f>
        <v>0.1673</v>
      </c>
      <c r="J222">
        <f>tblComponents[Actual_Cycle_Time_Min]/60</f>
        <v>6.4166666666666664E-2</v>
      </c>
      <c r="K222">
        <f t="shared" si="21"/>
        <v>3151.1688311688313</v>
      </c>
      <c r="L222">
        <f>H222*tblComponents[Planned_Production_or_Procurement]</f>
        <v>1161436.8</v>
      </c>
      <c r="M222">
        <f t="shared" si="22"/>
        <v>164</v>
      </c>
      <c r="N222" t="str">
        <f t="shared" si="23"/>
        <v>Low Economic Priority</v>
      </c>
      <c r="O222" t="str">
        <f>tblComponents[Criticality]</f>
        <v>High</v>
      </c>
      <c r="P222">
        <f>tblComponents[Planned_Production_or_Procurement]</f>
        <v>5744</v>
      </c>
      <c r="Q222">
        <f t="shared" si="24"/>
        <v>368.57333333333332</v>
      </c>
      <c r="R222" t="str">
        <f t="shared" si="25"/>
        <v>High</v>
      </c>
      <c r="S222" t="str">
        <f t="shared" si="26"/>
        <v>High Priority</v>
      </c>
    </row>
    <row r="223" spans="1:19" x14ac:dyDescent="0.35">
      <c r="A223" s="12" t="str">
        <f>tblComponents[Component_ID]</f>
        <v>C222</v>
      </c>
      <c r="B223" s="12" t="str">
        <f>tblComponents[Component_Name]</f>
        <v>Component 222</v>
      </c>
      <c r="C223" t="str">
        <f>tblComponents[Sourcing_Type]</f>
        <v>Make</v>
      </c>
      <c r="D223">
        <f>tblComponents[Forecast_Demand]</f>
        <v>1198</v>
      </c>
      <c r="E223">
        <f>tblComponents[Selling_Price_Per_Unit]</f>
        <v>2304.9699999999998</v>
      </c>
      <c r="F223">
        <f>tblComponents[Variable_Cost_Per_Unit]</f>
        <v>1685.94</v>
      </c>
      <c r="G223">
        <f>tblComponents[Direct_Labor_Cost_Per_Unit]</f>
        <v>141.62</v>
      </c>
      <c r="H223">
        <f>tblComponents[Contribution_Per_Unit]</f>
        <v>619.03</v>
      </c>
      <c r="I223">
        <f>tblComponents[Contribution_Margin]</f>
        <v>0.26860000000000001</v>
      </c>
      <c r="J223">
        <f>tblComponents[Actual_Cycle_Time_Min]/60</f>
        <v>9.6166666666666664E-2</v>
      </c>
      <c r="K223">
        <f t="shared" si="21"/>
        <v>6437.0537261698437</v>
      </c>
      <c r="L223">
        <f>H223*tblComponents[Planned_Production_or_Procurement]</f>
        <v>739121.82</v>
      </c>
      <c r="M223">
        <f t="shared" si="22"/>
        <v>67</v>
      </c>
      <c r="N223" t="str">
        <f t="shared" si="23"/>
        <v>High Economic Priority</v>
      </c>
      <c r="O223" t="str">
        <f>tblComponents[Criticality]</f>
        <v>Medium</v>
      </c>
      <c r="P223">
        <f>tblComponents[Planned_Production_or_Procurement]</f>
        <v>1194</v>
      </c>
      <c r="Q223">
        <f t="shared" si="24"/>
        <v>114.82299999999999</v>
      </c>
      <c r="R223" t="str">
        <f t="shared" si="25"/>
        <v>Medium</v>
      </c>
      <c r="S223" t="str">
        <f t="shared" si="26"/>
        <v>High Priority</v>
      </c>
    </row>
    <row r="224" spans="1:19" x14ac:dyDescent="0.35">
      <c r="A224" s="12" t="str">
        <f>tblComponents[Component_ID]</f>
        <v>C223</v>
      </c>
      <c r="B224" s="12" t="str">
        <f>tblComponents[Component_Name]</f>
        <v>Component 223</v>
      </c>
      <c r="C224" t="str">
        <f>tblComponents[Sourcing_Type]</f>
        <v>Make</v>
      </c>
      <c r="D224">
        <f>tblComponents[Forecast_Demand]</f>
        <v>1858</v>
      </c>
      <c r="E224">
        <f>tblComponents[Selling_Price_Per_Unit]</f>
        <v>1725.06</v>
      </c>
      <c r="F224">
        <f>tblComponents[Variable_Cost_Per_Unit]</f>
        <v>1224.5</v>
      </c>
      <c r="G224">
        <f>tblComponents[Direct_Labor_Cost_Per_Unit]</f>
        <v>48.69</v>
      </c>
      <c r="H224">
        <f>tblComponents[Contribution_Per_Unit]</f>
        <v>500.56</v>
      </c>
      <c r="I224">
        <f>tblComponents[Contribution_Margin]</f>
        <v>0.29020000000000001</v>
      </c>
      <c r="J224">
        <f>tblComponents[Actual_Cycle_Time_Min]/60</f>
        <v>9.0833333333333335E-2</v>
      </c>
      <c r="K224">
        <f t="shared" si="21"/>
        <v>5510.7522935779816</v>
      </c>
      <c r="L224">
        <f>H224*tblComponents[Planned_Production_or_Procurement]</f>
        <v>1765975.68</v>
      </c>
      <c r="M224">
        <f t="shared" si="22"/>
        <v>88</v>
      </c>
      <c r="N224" t="str">
        <f t="shared" si="23"/>
        <v>Medium Economic Priority</v>
      </c>
      <c r="O224" t="str">
        <f>tblComponents[Criticality]</f>
        <v>Critical</v>
      </c>
      <c r="P224">
        <f>tblComponents[Planned_Production_or_Procurement]</f>
        <v>3528</v>
      </c>
      <c r="Q224">
        <f t="shared" si="24"/>
        <v>320.45999999999998</v>
      </c>
      <c r="R224" t="str">
        <f t="shared" si="25"/>
        <v>Critical</v>
      </c>
      <c r="S224" t="str">
        <f t="shared" si="26"/>
        <v>Critical Priority</v>
      </c>
    </row>
    <row r="225" spans="1:19" x14ac:dyDescent="0.35">
      <c r="A225" s="12" t="str">
        <f>tblComponents[Component_ID]</f>
        <v>C224</v>
      </c>
      <c r="B225" s="12" t="str">
        <f>tblComponents[Component_Name]</f>
        <v>Component 224</v>
      </c>
      <c r="C225" t="str">
        <f>tblComponents[Sourcing_Type]</f>
        <v>Make</v>
      </c>
      <c r="D225">
        <f>tblComponents[Forecast_Demand]</f>
        <v>1355</v>
      </c>
      <c r="E225">
        <f>tblComponents[Selling_Price_Per_Unit]</f>
        <v>2731.37</v>
      </c>
      <c r="F225">
        <f>tblComponents[Variable_Cost_Per_Unit]</f>
        <v>1892.55</v>
      </c>
      <c r="G225">
        <f>tblComponents[Direct_Labor_Cost_Per_Unit]</f>
        <v>45.88</v>
      </c>
      <c r="H225">
        <f>tblComponents[Contribution_Per_Unit]</f>
        <v>838.82</v>
      </c>
      <c r="I225">
        <f>tblComponents[Contribution_Margin]</f>
        <v>0.30709999999999998</v>
      </c>
      <c r="J225">
        <f>tblComponents[Actual_Cycle_Time_Min]/60</f>
        <v>0.14950000000000002</v>
      </c>
      <c r="K225">
        <f t="shared" si="21"/>
        <v>5610.8361204013372</v>
      </c>
      <c r="L225">
        <f>H225*tblComponents[Planned_Production_or_Procurement]</f>
        <v>2002263.34</v>
      </c>
      <c r="M225">
        <f t="shared" si="22"/>
        <v>84</v>
      </c>
      <c r="N225" t="str">
        <f t="shared" si="23"/>
        <v>Medium Economic Priority</v>
      </c>
      <c r="O225" t="str">
        <f>tblComponents[Criticality]</f>
        <v>Critical</v>
      </c>
      <c r="P225">
        <f>tblComponents[Planned_Production_or_Procurement]</f>
        <v>2387</v>
      </c>
      <c r="Q225">
        <f t="shared" si="24"/>
        <v>356.85650000000004</v>
      </c>
      <c r="R225" t="str">
        <f t="shared" si="25"/>
        <v>Critical</v>
      </c>
      <c r="S225" t="str">
        <f t="shared" si="26"/>
        <v>Critical Priority</v>
      </c>
    </row>
    <row r="226" spans="1:19" x14ac:dyDescent="0.35">
      <c r="A226" s="12" t="str">
        <f>tblComponents[Component_ID]</f>
        <v>C225</v>
      </c>
      <c r="B226" s="12" t="str">
        <f>tblComponents[Component_Name]</f>
        <v>Component 225</v>
      </c>
      <c r="C226" t="str">
        <f>tblComponents[Sourcing_Type]</f>
        <v>Make</v>
      </c>
      <c r="D226">
        <f>tblComponents[Forecast_Demand]</f>
        <v>1405</v>
      </c>
      <c r="E226">
        <f>tblComponents[Selling_Price_Per_Unit]</f>
        <v>1879.76</v>
      </c>
      <c r="F226">
        <f>tblComponents[Variable_Cost_Per_Unit]</f>
        <v>1274.18</v>
      </c>
      <c r="G226">
        <f>tblComponents[Direct_Labor_Cost_Per_Unit]</f>
        <v>92.26</v>
      </c>
      <c r="H226">
        <f>tblComponents[Contribution_Per_Unit]</f>
        <v>605.58000000000004</v>
      </c>
      <c r="I226">
        <f>tblComponents[Contribution_Margin]</f>
        <v>0.32219999999999999</v>
      </c>
      <c r="J226">
        <f>tblComponents[Actual_Cycle_Time_Min]/60</f>
        <v>0.13883333333333334</v>
      </c>
      <c r="K226">
        <f t="shared" si="21"/>
        <v>4361.9207683073228</v>
      </c>
      <c r="L226">
        <f>H226*tblComponents[Planned_Production_or_Procurement]</f>
        <v>2152231.3200000003</v>
      </c>
      <c r="M226">
        <f t="shared" si="22"/>
        <v>124</v>
      </c>
      <c r="N226" t="str">
        <f t="shared" si="23"/>
        <v>Medium Economic Priority</v>
      </c>
      <c r="O226" t="str">
        <f>tblComponents[Criticality]</f>
        <v>Medium</v>
      </c>
      <c r="P226">
        <f>tblComponents[Planned_Production_or_Procurement]</f>
        <v>3554</v>
      </c>
      <c r="Q226">
        <f t="shared" si="24"/>
        <v>493.4136666666667</v>
      </c>
      <c r="R226" t="str">
        <f t="shared" si="25"/>
        <v>Medium</v>
      </c>
      <c r="S226" t="str">
        <f t="shared" si="26"/>
        <v>Medium Priority</v>
      </c>
    </row>
    <row r="227" spans="1:19" x14ac:dyDescent="0.35">
      <c r="A227" s="12" t="str">
        <f>tblComponents[Component_ID]</f>
        <v>C226</v>
      </c>
      <c r="B227" s="12" t="str">
        <f>tblComponents[Component_Name]</f>
        <v>Component 226</v>
      </c>
      <c r="C227" t="str">
        <f>tblComponents[Sourcing_Type]</f>
        <v>Make</v>
      </c>
      <c r="D227">
        <f>tblComponents[Forecast_Demand]</f>
        <v>1229</v>
      </c>
      <c r="E227">
        <f>tblComponents[Selling_Price_Per_Unit]</f>
        <v>348.93</v>
      </c>
      <c r="F227">
        <f>tblComponents[Variable_Cost_Per_Unit]</f>
        <v>274.5</v>
      </c>
      <c r="G227">
        <f>tblComponents[Direct_Labor_Cost_Per_Unit]</f>
        <v>17.829999999999998</v>
      </c>
      <c r="H227">
        <f>tblComponents[Contribution_Per_Unit]</f>
        <v>74.430000000000007</v>
      </c>
      <c r="I227">
        <f>tblComponents[Contribution_Margin]</f>
        <v>0.21329999999999999</v>
      </c>
      <c r="J227">
        <f>tblComponents[Actual_Cycle_Time_Min]/60</f>
        <v>5.8833333333333328E-2</v>
      </c>
      <c r="K227">
        <f t="shared" si="21"/>
        <v>1265.0991501416433</v>
      </c>
      <c r="L227">
        <f>H227*tblComponents[Planned_Production_or_Procurement]</f>
        <v>1447812.36</v>
      </c>
      <c r="M227">
        <f t="shared" si="22"/>
        <v>277</v>
      </c>
      <c r="N227" t="str">
        <f t="shared" si="23"/>
        <v>Low Economic Priority</v>
      </c>
      <c r="O227" t="str">
        <f>tblComponents[Criticality]</f>
        <v>Low</v>
      </c>
      <c r="P227">
        <f>tblComponents[Planned_Production_or_Procurement]</f>
        <v>19452</v>
      </c>
      <c r="Q227">
        <f t="shared" si="24"/>
        <v>1144.4259999999999</v>
      </c>
      <c r="R227" t="str">
        <f t="shared" si="25"/>
        <v>Low</v>
      </c>
      <c r="S227" t="str">
        <f t="shared" si="26"/>
        <v>Low Priority</v>
      </c>
    </row>
    <row r="228" spans="1:19" x14ac:dyDescent="0.35">
      <c r="A228" s="12" t="str">
        <f>tblComponents[Component_ID]</f>
        <v>C227</v>
      </c>
      <c r="B228" s="12" t="str">
        <f>tblComponents[Component_Name]</f>
        <v>Component 227</v>
      </c>
      <c r="C228" t="str">
        <f>tblComponents[Sourcing_Type]</f>
        <v>Make</v>
      </c>
      <c r="D228">
        <f>tblComponents[Forecast_Demand]</f>
        <v>2301</v>
      </c>
      <c r="E228">
        <f>tblComponents[Selling_Price_Per_Unit]</f>
        <v>1572.29</v>
      </c>
      <c r="F228">
        <f>tblComponents[Variable_Cost_Per_Unit]</f>
        <v>1332.52</v>
      </c>
      <c r="G228">
        <f>tblComponents[Direct_Labor_Cost_Per_Unit]</f>
        <v>31.81</v>
      </c>
      <c r="H228">
        <f>tblComponents[Contribution_Per_Unit]</f>
        <v>239.77</v>
      </c>
      <c r="I228">
        <f>tblComponents[Contribution_Margin]</f>
        <v>0.1525</v>
      </c>
      <c r="J228">
        <f>tblComponents[Actual_Cycle_Time_Min]/60</f>
        <v>0.16550000000000001</v>
      </c>
      <c r="K228">
        <f t="shared" si="21"/>
        <v>1448.7613293051359</v>
      </c>
      <c r="L228">
        <f>H228*tblComponents[Planned_Production_or_Procurement]</f>
        <v>1121404.29</v>
      </c>
      <c r="M228">
        <f t="shared" si="22"/>
        <v>262</v>
      </c>
      <c r="N228" t="str">
        <f t="shared" si="23"/>
        <v>Low Economic Priority</v>
      </c>
      <c r="O228" t="str">
        <f>tblComponents[Criticality]</f>
        <v>Medium</v>
      </c>
      <c r="P228">
        <f>tblComponents[Planned_Production_or_Procurement]</f>
        <v>4677</v>
      </c>
      <c r="Q228">
        <f t="shared" si="24"/>
        <v>774.04349999999999</v>
      </c>
      <c r="R228" t="str">
        <f t="shared" si="25"/>
        <v>Medium</v>
      </c>
      <c r="S228" t="str">
        <f t="shared" si="26"/>
        <v>Medium Priority</v>
      </c>
    </row>
    <row r="229" spans="1:19" x14ac:dyDescent="0.35">
      <c r="A229" s="12" t="str">
        <f>tblComponents[Component_ID]</f>
        <v>C228</v>
      </c>
      <c r="B229" s="12" t="str">
        <f>tblComponents[Component_Name]</f>
        <v>Component 228</v>
      </c>
      <c r="C229" t="str">
        <f>tblComponents[Sourcing_Type]</f>
        <v>Make</v>
      </c>
      <c r="D229">
        <f>tblComponents[Forecast_Demand]</f>
        <v>713</v>
      </c>
      <c r="E229">
        <f>tblComponents[Selling_Price_Per_Unit]</f>
        <v>1079.25</v>
      </c>
      <c r="F229">
        <f>tblComponents[Variable_Cost_Per_Unit]</f>
        <v>722.17</v>
      </c>
      <c r="G229">
        <f>tblComponents[Direct_Labor_Cost_Per_Unit]</f>
        <v>89.7</v>
      </c>
      <c r="H229">
        <f>tblComponents[Contribution_Per_Unit]</f>
        <v>357.08</v>
      </c>
      <c r="I229">
        <f>tblComponents[Contribution_Margin]</f>
        <v>0.33090000000000003</v>
      </c>
      <c r="J229">
        <f>tblComponents[Actual_Cycle_Time_Min]/60</f>
        <v>0.23550000000000001</v>
      </c>
      <c r="K229">
        <f t="shared" si="21"/>
        <v>1516.2632696390656</v>
      </c>
      <c r="L229">
        <f>H229*tblComponents[Planned_Production_or_Procurement]</f>
        <v>323871.56</v>
      </c>
      <c r="M229">
        <f t="shared" si="22"/>
        <v>256</v>
      </c>
      <c r="N229" t="str">
        <f t="shared" si="23"/>
        <v>Low Economic Priority</v>
      </c>
      <c r="O229" t="str">
        <f>tblComponents[Criticality]</f>
        <v>Low</v>
      </c>
      <c r="P229">
        <f>tblComponents[Planned_Production_or_Procurement]</f>
        <v>907</v>
      </c>
      <c r="Q229">
        <f t="shared" si="24"/>
        <v>213.5985</v>
      </c>
      <c r="R229" t="str">
        <f t="shared" si="25"/>
        <v>Low</v>
      </c>
      <c r="S229" t="str">
        <f t="shared" si="26"/>
        <v>Low Priority</v>
      </c>
    </row>
    <row r="230" spans="1:19" x14ac:dyDescent="0.35">
      <c r="A230" s="12" t="str">
        <f>tblComponents[Component_ID]</f>
        <v>C229</v>
      </c>
      <c r="B230" s="12" t="str">
        <f>tblComponents[Component_Name]</f>
        <v>Component 229</v>
      </c>
      <c r="C230" t="str">
        <f>tblComponents[Sourcing_Type]</f>
        <v>Make</v>
      </c>
      <c r="D230">
        <f>tblComponents[Forecast_Demand]</f>
        <v>1146</v>
      </c>
      <c r="E230">
        <f>tblComponents[Selling_Price_Per_Unit]</f>
        <v>1617.5</v>
      </c>
      <c r="F230">
        <f>tblComponents[Variable_Cost_Per_Unit]</f>
        <v>1158.27</v>
      </c>
      <c r="G230">
        <f>tblComponents[Direct_Labor_Cost_Per_Unit]</f>
        <v>226.77</v>
      </c>
      <c r="H230">
        <f>tblComponents[Contribution_Per_Unit]</f>
        <v>459.23</v>
      </c>
      <c r="I230">
        <f>tblComponents[Contribution_Margin]</f>
        <v>0.28389999999999999</v>
      </c>
      <c r="J230">
        <f>tblComponents[Actual_Cycle_Time_Min]/60</f>
        <v>5.6333333333333332E-2</v>
      </c>
      <c r="K230">
        <f t="shared" si="21"/>
        <v>8152.0118343195272</v>
      </c>
      <c r="L230">
        <f>H230*tblComponents[Planned_Production_or_Procurement]</f>
        <v>161189.73000000001</v>
      </c>
      <c r="M230">
        <f t="shared" si="22"/>
        <v>44</v>
      </c>
      <c r="N230" t="str">
        <f t="shared" si="23"/>
        <v>High Economic Priority</v>
      </c>
      <c r="O230" t="str">
        <f>tblComponents[Criticality]</f>
        <v>Low</v>
      </c>
      <c r="P230">
        <f>tblComponents[Planned_Production_or_Procurement]</f>
        <v>351</v>
      </c>
      <c r="Q230">
        <f t="shared" si="24"/>
        <v>19.773</v>
      </c>
      <c r="R230" t="str">
        <f t="shared" si="25"/>
        <v>Low</v>
      </c>
      <c r="S230" t="str">
        <f t="shared" si="26"/>
        <v>High Priority</v>
      </c>
    </row>
    <row r="231" spans="1:19" x14ac:dyDescent="0.35">
      <c r="A231" s="12" t="str">
        <f>tblComponents[Component_ID]</f>
        <v>C230</v>
      </c>
      <c r="B231" s="12" t="str">
        <f>tblComponents[Component_Name]</f>
        <v>Component 230</v>
      </c>
      <c r="C231" t="str">
        <f>tblComponents[Sourcing_Type]</f>
        <v>Make</v>
      </c>
      <c r="D231">
        <f>tblComponents[Forecast_Demand]</f>
        <v>2498</v>
      </c>
      <c r="E231">
        <f>tblComponents[Selling_Price_Per_Unit]</f>
        <v>2434.3200000000002</v>
      </c>
      <c r="F231">
        <f>tblComponents[Variable_Cost_Per_Unit]</f>
        <v>1560.33</v>
      </c>
      <c r="G231">
        <f>tblComponents[Direct_Labor_Cost_Per_Unit]</f>
        <v>72.17</v>
      </c>
      <c r="H231">
        <f>tblComponents[Contribution_Per_Unit]</f>
        <v>873.99</v>
      </c>
      <c r="I231">
        <f>tblComponents[Contribution_Margin]</f>
        <v>0.35899999999999999</v>
      </c>
      <c r="J231">
        <f>tblComponents[Actual_Cycle_Time_Min]/60</f>
        <v>0.22566666666666665</v>
      </c>
      <c r="K231">
        <f t="shared" si="21"/>
        <v>3872.9246676514035</v>
      </c>
      <c r="L231">
        <f>H231*tblComponents[Planned_Production_or_Procurement]</f>
        <v>1066267.8</v>
      </c>
      <c r="M231">
        <f t="shared" si="22"/>
        <v>138</v>
      </c>
      <c r="N231" t="str">
        <f t="shared" si="23"/>
        <v>Medium Economic Priority</v>
      </c>
      <c r="O231" t="str">
        <f>tblComponents[Criticality]</f>
        <v>Medium</v>
      </c>
      <c r="P231">
        <f>tblComponents[Planned_Production_or_Procurement]</f>
        <v>1220</v>
      </c>
      <c r="Q231">
        <f t="shared" si="24"/>
        <v>275.31333333333333</v>
      </c>
      <c r="R231" t="str">
        <f t="shared" si="25"/>
        <v>Medium</v>
      </c>
      <c r="S231" t="str">
        <f t="shared" si="26"/>
        <v>Medium Priority</v>
      </c>
    </row>
    <row r="232" spans="1:19" x14ac:dyDescent="0.35">
      <c r="A232" s="12" t="str">
        <f>tblComponents[Component_ID]</f>
        <v>C231</v>
      </c>
      <c r="B232" s="12" t="str">
        <f>tblComponents[Component_Name]</f>
        <v>Component 231</v>
      </c>
      <c r="C232" t="str">
        <f>tblComponents[Sourcing_Type]</f>
        <v>Make</v>
      </c>
      <c r="D232">
        <f>tblComponents[Forecast_Demand]</f>
        <v>425</v>
      </c>
      <c r="E232">
        <f>tblComponents[Selling_Price_Per_Unit]</f>
        <v>784.24</v>
      </c>
      <c r="F232">
        <f>tblComponents[Variable_Cost_Per_Unit]</f>
        <v>505.56</v>
      </c>
      <c r="G232">
        <f>tblComponents[Direct_Labor_Cost_Per_Unit]</f>
        <v>57.33</v>
      </c>
      <c r="H232">
        <f>tblComponents[Contribution_Per_Unit]</f>
        <v>278.68</v>
      </c>
      <c r="I232">
        <f>tblComponents[Contribution_Margin]</f>
        <v>0.35539999999999999</v>
      </c>
      <c r="J232">
        <f>tblComponents[Actual_Cycle_Time_Min]/60</f>
        <v>7.8166666666666676E-2</v>
      </c>
      <c r="K232">
        <f t="shared" si="21"/>
        <v>3565.2025586353943</v>
      </c>
      <c r="L232">
        <f>H232*tblComponents[Planned_Production_or_Procurement]</f>
        <v>644586.84</v>
      </c>
      <c r="M232">
        <f t="shared" si="22"/>
        <v>150</v>
      </c>
      <c r="N232" t="str">
        <f t="shared" si="23"/>
        <v>Medium Economic Priority</v>
      </c>
      <c r="O232" t="str">
        <f>tblComponents[Criticality]</f>
        <v>High</v>
      </c>
      <c r="P232">
        <f>tblComponents[Planned_Production_or_Procurement]</f>
        <v>2313</v>
      </c>
      <c r="Q232">
        <f t="shared" si="24"/>
        <v>180.79950000000002</v>
      </c>
      <c r="R232" t="str">
        <f t="shared" si="25"/>
        <v>High</v>
      </c>
      <c r="S232" t="str">
        <f t="shared" si="26"/>
        <v>High Priority</v>
      </c>
    </row>
    <row r="233" spans="1:19" x14ac:dyDescent="0.35">
      <c r="A233" s="12" t="str">
        <f>tblComponents[Component_ID]</f>
        <v>C232</v>
      </c>
      <c r="B233" s="12" t="str">
        <f>tblComponents[Component_Name]</f>
        <v>Component 232</v>
      </c>
      <c r="C233" t="str">
        <f>tblComponents[Sourcing_Type]</f>
        <v>Make</v>
      </c>
      <c r="D233">
        <f>tblComponents[Forecast_Demand]</f>
        <v>598</v>
      </c>
      <c r="E233">
        <f>tblComponents[Selling_Price_Per_Unit]</f>
        <v>1194</v>
      </c>
      <c r="F233">
        <f>tblComponents[Variable_Cost_Per_Unit]</f>
        <v>763.17</v>
      </c>
      <c r="G233">
        <f>tblComponents[Direct_Labor_Cost_Per_Unit]</f>
        <v>27.26</v>
      </c>
      <c r="H233">
        <f>tblComponents[Contribution_Per_Unit]</f>
        <v>430.83</v>
      </c>
      <c r="I233">
        <f>tblComponents[Contribution_Margin]</f>
        <v>0.36080000000000001</v>
      </c>
      <c r="J233">
        <f>tblComponents[Actual_Cycle_Time_Min]/60</f>
        <v>7.3833333333333334E-2</v>
      </c>
      <c r="K233">
        <f t="shared" si="21"/>
        <v>5835.1693002257334</v>
      </c>
      <c r="L233">
        <f>H233*tblComponents[Planned_Production_or_Procurement]</f>
        <v>840118.5</v>
      </c>
      <c r="M233">
        <f t="shared" si="22"/>
        <v>80</v>
      </c>
      <c r="N233" t="str">
        <f t="shared" si="23"/>
        <v>Medium Economic Priority</v>
      </c>
      <c r="O233" t="str">
        <f>tblComponents[Criticality]</f>
        <v>Medium</v>
      </c>
      <c r="P233">
        <f>tblComponents[Planned_Production_or_Procurement]</f>
        <v>1950</v>
      </c>
      <c r="Q233">
        <f t="shared" si="24"/>
        <v>143.97499999999999</v>
      </c>
      <c r="R233" t="str">
        <f t="shared" si="25"/>
        <v>Medium</v>
      </c>
      <c r="S233" t="str">
        <f t="shared" si="26"/>
        <v>Medium Priority</v>
      </c>
    </row>
    <row r="234" spans="1:19" x14ac:dyDescent="0.35">
      <c r="A234" s="12" t="str">
        <f>tblComponents[Component_ID]</f>
        <v>C233</v>
      </c>
      <c r="B234" s="12" t="str">
        <f>tblComponents[Component_Name]</f>
        <v>Component 233</v>
      </c>
      <c r="C234" t="str">
        <f>tblComponents[Sourcing_Type]</f>
        <v>Make</v>
      </c>
      <c r="D234">
        <f>tblComponents[Forecast_Demand]</f>
        <v>539</v>
      </c>
      <c r="E234">
        <f>tblComponents[Selling_Price_Per_Unit]</f>
        <v>2357.52</v>
      </c>
      <c r="F234">
        <f>tblComponents[Variable_Cost_Per_Unit]</f>
        <v>1717.99</v>
      </c>
      <c r="G234">
        <f>tblComponents[Direct_Labor_Cost_Per_Unit]</f>
        <v>76.849999999999994</v>
      </c>
      <c r="H234">
        <f>tblComponents[Contribution_Per_Unit]</f>
        <v>639.53</v>
      </c>
      <c r="I234">
        <f>tblComponents[Contribution_Margin]</f>
        <v>0.27129999999999999</v>
      </c>
      <c r="J234">
        <f>tblComponents[Actual_Cycle_Time_Min]/60</f>
        <v>0.26100000000000001</v>
      </c>
      <c r="K234">
        <f t="shared" si="21"/>
        <v>2450.3065134099616</v>
      </c>
      <c r="L234">
        <f>H234*tblComponents[Planned_Production_or_Procurement]</f>
        <v>239184.22</v>
      </c>
      <c r="M234">
        <f t="shared" si="22"/>
        <v>197</v>
      </c>
      <c r="N234" t="str">
        <f t="shared" si="23"/>
        <v>Low Economic Priority</v>
      </c>
      <c r="O234" t="str">
        <f>tblComponents[Criticality]</f>
        <v>Medium</v>
      </c>
      <c r="P234">
        <f>tblComponents[Planned_Production_or_Procurement]</f>
        <v>374</v>
      </c>
      <c r="Q234">
        <f t="shared" si="24"/>
        <v>97.614000000000004</v>
      </c>
      <c r="R234" t="str">
        <f t="shared" si="25"/>
        <v>Medium</v>
      </c>
      <c r="S234" t="str">
        <f t="shared" si="26"/>
        <v>Medium Priority</v>
      </c>
    </row>
    <row r="235" spans="1:19" x14ac:dyDescent="0.35">
      <c r="A235" s="12" t="str">
        <f>tblComponents[Component_ID]</f>
        <v>C234</v>
      </c>
      <c r="B235" s="12" t="str">
        <f>tblComponents[Component_Name]</f>
        <v>Component 234</v>
      </c>
      <c r="C235" t="str">
        <f>tblComponents[Sourcing_Type]</f>
        <v>Make</v>
      </c>
      <c r="D235">
        <f>tblComponents[Forecast_Demand]</f>
        <v>310</v>
      </c>
      <c r="E235">
        <f>tblComponents[Selling_Price_Per_Unit]</f>
        <v>911.84</v>
      </c>
      <c r="F235">
        <f>tblComponents[Variable_Cost_Per_Unit]</f>
        <v>699.01</v>
      </c>
      <c r="G235">
        <f>tblComponents[Direct_Labor_Cost_Per_Unit]</f>
        <v>61.34</v>
      </c>
      <c r="H235">
        <f>tblComponents[Contribution_Per_Unit]</f>
        <v>212.83</v>
      </c>
      <c r="I235">
        <f>tblComponents[Contribution_Margin]</f>
        <v>0.2334</v>
      </c>
      <c r="J235">
        <f>tblComponents[Actual_Cycle_Time_Min]/60</f>
        <v>0.11549999999999999</v>
      </c>
      <c r="K235">
        <f t="shared" si="21"/>
        <v>1842.683982683983</v>
      </c>
      <c r="L235">
        <f>H235*tblComponents[Planned_Production_or_Procurement]</f>
        <v>357128.74000000005</v>
      </c>
      <c r="M235">
        <f t="shared" si="22"/>
        <v>236</v>
      </c>
      <c r="N235" t="str">
        <f t="shared" si="23"/>
        <v>Low Economic Priority</v>
      </c>
      <c r="O235" t="str">
        <f>tblComponents[Criticality]</f>
        <v>High</v>
      </c>
      <c r="P235">
        <f>tblComponents[Planned_Production_or_Procurement]</f>
        <v>1678</v>
      </c>
      <c r="Q235">
        <f t="shared" si="24"/>
        <v>193.809</v>
      </c>
      <c r="R235" t="str">
        <f t="shared" si="25"/>
        <v>High</v>
      </c>
      <c r="S235" t="str">
        <f t="shared" si="26"/>
        <v>High Priority</v>
      </c>
    </row>
    <row r="236" spans="1:19" x14ac:dyDescent="0.35">
      <c r="A236" s="12" t="str">
        <f>tblComponents[Component_ID]</f>
        <v>C235</v>
      </c>
      <c r="B236" s="12" t="str">
        <f>tblComponents[Component_Name]</f>
        <v>Component 235</v>
      </c>
      <c r="C236" t="str">
        <f>tblComponents[Sourcing_Type]</f>
        <v>Make</v>
      </c>
      <c r="D236">
        <f>tblComponents[Forecast_Demand]</f>
        <v>1342</v>
      </c>
      <c r="E236">
        <f>tblComponents[Selling_Price_Per_Unit]</f>
        <v>1523.59</v>
      </c>
      <c r="F236">
        <f>tblComponents[Variable_Cost_Per_Unit]</f>
        <v>993.55</v>
      </c>
      <c r="G236">
        <f>tblComponents[Direct_Labor_Cost_Per_Unit]</f>
        <v>90.26</v>
      </c>
      <c r="H236">
        <f>tblComponents[Contribution_Per_Unit]</f>
        <v>530.04</v>
      </c>
      <c r="I236">
        <f>tblComponents[Contribution_Margin]</f>
        <v>0.34789999999999999</v>
      </c>
      <c r="J236">
        <f>tblComponents[Actual_Cycle_Time_Min]/60</f>
        <v>2.8833333333333332E-2</v>
      </c>
      <c r="K236">
        <f t="shared" si="21"/>
        <v>18382.890173410404</v>
      </c>
      <c r="L236">
        <f>H236*tblComponents[Planned_Production_or_Procurement]</f>
        <v>4035724.5599999996</v>
      </c>
      <c r="M236">
        <f t="shared" si="22"/>
        <v>5</v>
      </c>
      <c r="N236" t="str">
        <f t="shared" si="23"/>
        <v>High Economic Priority</v>
      </c>
      <c r="O236" t="str">
        <f>tblComponents[Criticality]</f>
        <v>Medium</v>
      </c>
      <c r="P236">
        <f>tblComponents[Planned_Production_or_Procurement]</f>
        <v>7614</v>
      </c>
      <c r="Q236">
        <f t="shared" si="24"/>
        <v>219.53700000000001</v>
      </c>
      <c r="R236" t="str">
        <f t="shared" si="25"/>
        <v>Medium</v>
      </c>
      <c r="S236" t="str">
        <f t="shared" si="26"/>
        <v>High Priority</v>
      </c>
    </row>
    <row r="237" spans="1:19" x14ac:dyDescent="0.35">
      <c r="A237" s="12" t="str">
        <f>tblComponents[Component_ID]</f>
        <v>C236</v>
      </c>
      <c r="B237" s="12" t="str">
        <f>tblComponents[Component_Name]</f>
        <v>Component 236</v>
      </c>
      <c r="C237" t="str">
        <f>tblComponents[Sourcing_Type]</f>
        <v>Make</v>
      </c>
      <c r="D237">
        <f>tblComponents[Forecast_Demand]</f>
        <v>270</v>
      </c>
      <c r="E237">
        <f>tblComponents[Selling_Price_Per_Unit]</f>
        <v>1047.58</v>
      </c>
      <c r="F237">
        <f>tblComponents[Variable_Cost_Per_Unit]</f>
        <v>772.25</v>
      </c>
      <c r="G237">
        <f>tblComponents[Direct_Labor_Cost_Per_Unit]</f>
        <v>23.2</v>
      </c>
      <c r="H237">
        <f>tblComponents[Contribution_Per_Unit]</f>
        <v>275.33</v>
      </c>
      <c r="I237">
        <f>tblComponents[Contribution_Margin]</f>
        <v>0.26279999999999998</v>
      </c>
      <c r="J237">
        <f>tblComponents[Actual_Cycle_Time_Min]/60</f>
        <v>5.616666666666667E-2</v>
      </c>
      <c r="K237">
        <f t="shared" si="21"/>
        <v>4902.0178041543022</v>
      </c>
      <c r="L237">
        <f>H237*tblComponents[Planned_Production_or_Procurement]</f>
        <v>657212.71</v>
      </c>
      <c r="M237">
        <f t="shared" si="22"/>
        <v>103</v>
      </c>
      <c r="N237" t="str">
        <f t="shared" si="23"/>
        <v>Medium Economic Priority</v>
      </c>
      <c r="O237" t="str">
        <f>tblComponents[Criticality]</f>
        <v>Medium</v>
      </c>
      <c r="P237">
        <f>tblComponents[Planned_Production_or_Procurement]</f>
        <v>2387</v>
      </c>
      <c r="Q237">
        <f t="shared" si="24"/>
        <v>134.06983333333335</v>
      </c>
      <c r="R237" t="str">
        <f t="shared" si="25"/>
        <v>Medium</v>
      </c>
      <c r="S237" t="str">
        <f t="shared" si="26"/>
        <v>Medium Priority</v>
      </c>
    </row>
    <row r="238" spans="1:19" x14ac:dyDescent="0.35">
      <c r="A238" s="12" t="str">
        <f>tblComponents[Component_ID]</f>
        <v>C237</v>
      </c>
      <c r="B238" s="12" t="str">
        <f>tblComponents[Component_Name]</f>
        <v>Component 237</v>
      </c>
      <c r="C238" t="str">
        <f>tblComponents[Sourcing_Type]</f>
        <v>Make</v>
      </c>
      <c r="D238">
        <f>tblComponents[Forecast_Demand]</f>
        <v>189</v>
      </c>
      <c r="E238">
        <f>tblComponents[Selling_Price_Per_Unit]</f>
        <v>817.08</v>
      </c>
      <c r="F238">
        <f>tblComponents[Variable_Cost_Per_Unit]</f>
        <v>657.05</v>
      </c>
      <c r="G238">
        <f>tblComponents[Direct_Labor_Cost_Per_Unit]</f>
        <v>23.06</v>
      </c>
      <c r="H238">
        <f>tblComponents[Contribution_Per_Unit]</f>
        <v>160.03</v>
      </c>
      <c r="I238">
        <f>tblComponents[Contribution_Margin]</f>
        <v>0.19589999999999999</v>
      </c>
      <c r="J238">
        <f>tblComponents[Actual_Cycle_Time_Min]/60</f>
        <v>2.8500000000000001E-2</v>
      </c>
      <c r="K238">
        <f t="shared" si="21"/>
        <v>5615.0877192982452</v>
      </c>
      <c r="L238">
        <f>H238*tblComponents[Planned_Production_or_Procurement]</f>
        <v>995226.57000000007</v>
      </c>
      <c r="M238">
        <f t="shared" si="22"/>
        <v>83</v>
      </c>
      <c r="N238" t="str">
        <f t="shared" si="23"/>
        <v>Medium Economic Priority</v>
      </c>
      <c r="O238" t="str">
        <f>tblComponents[Criticality]</f>
        <v>Medium</v>
      </c>
      <c r="P238">
        <f>tblComponents[Planned_Production_or_Procurement]</f>
        <v>6219</v>
      </c>
      <c r="Q238">
        <f t="shared" si="24"/>
        <v>177.2415</v>
      </c>
      <c r="R238" t="str">
        <f t="shared" si="25"/>
        <v>Medium</v>
      </c>
      <c r="S238" t="str">
        <f t="shared" si="26"/>
        <v>Medium Priority</v>
      </c>
    </row>
    <row r="239" spans="1:19" x14ac:dyDescent="0.35">
      <c r="A239" s="12" t="str">
        <f>tblComponents[Component_ID]</f>
        <v>C238</v>
      </c>
      <c r="B239" s="12" t="str">
        <f>tblComponents[Component_Name]</f>
        <v>Component 238</v>
      </c>
      <c r="C239" t="str">
        <f>tblComponents[Sourcing_Type]</f>
        <v>Make</v>
      </c>
      <c r="D239">
        <f>tblComponents[Forecast_Demand]</f>
        <v>911</v>
      </c>
      <c r="E239">
        <f>tblComponents[Selling_Price_Per_Unit]</f>
        <v>2557.66</v>
      </c>
      <c r="F239">
        <f>tblComponents[Variable_Cost_Per_Unit]</f>
        <v>1627.33</v>
      </c>
      <c r="G239">
        <f>tblComponents[Direct_Labor_Cost_Per_Unit]</f>
        <v>46.49</v>
      </c>
      <c r="H239">
        <f>tblComponents[Contribution_Per_Unit]</f>
        <v>930.33</v>
      </c>
      <c r="I239">
        <f>tblComponents[Contribution_Margin]</f>
        <v>0.36370000000000002</v>
      </c>
      <c r="J239">
        <f>tblComponents[Actual_Cycle_Time_Min]/60</f>
        <v>0.26799999999999996</v>
      </c>
      <c r="K239">
        <f t="shared" si="21"/>
        <v>3471.380597014926</v>
      </c>
      <c r="L239">
        <f>H239*tblComponents[Planned_Production_or_Procurement]</f>
        <v>1153609.2</v>
      </c>
      <c r="M239">
        <f t="shared" si="22"/>
        <v>154</v>
      </c>
      <c r="N239" t="str">
        <f t="shared" si="23"/>
        <v>Low Economic Priority</v>
      </c>
      <c r="O239" t="str">
        <f>tblComponents[Criticality]</f>
        <v>Medium</v>
      </c>
      <c r="P239">
        <f>tblComponents[Planned_Production_or_Procurement]</f>
        <v>1240</v>
      </c>
      <c r="Q239">
        <f t="shared" si="24"/>
        <v>332.31999999999994</v>
      </c>
      <c r="R239" t="str">
        <f t="shared" si="25"/>
        <v>Medium</v>
      </c>
      <c r="S239" t="str">
        <f t="shared" si="26"/>
        <v>Medium Priority</v>
      </c>
    </row>
    <row r="240" spans="1:19" x14ac:dyDescent="0.35">
      <c r="A240" s="12" t="str">
        <f>tblComponents[Component_ID]</f>
        <v>C239</v>
      </c>
      <c r="B240" s="12" t="str">
        <f>tblComponents[Component_Name]</f>
        <v>Component 239</v>
      </c>
      <c r="C240" t="str">
        <f>tblComponents[Sourcing_Type]</f>
        <v>Make</v>
      </c>
      <c r="D240">
        <f>tblComponents[Forecast_Demand]</f>
        <v>1196</v>
      </c>
      <c r="E240">
        <f>tblComponents[Selling_Price_Per_Unit]</f>
        <v>1387.68</v>
      </c>
      <c r="F240">
        <f>tblComponents[Variable_Cost_Per_Unit]</f>
        <v>873.35</v>
      </c>
      <c r="G240">
        <f>tblComponents[Direct_Labor_Cost_Per_Unit]</f>
        <v>59.71</v>
      </c>
      <c r="H240">
        <f>tblComponents[Contribution_Per_Unit]</f>
        <v>514.33000000000004</v>
      </c>
      <c r="I240">
        <f>tblComponents[Contribution_Margin]</f>
        <v>0.37059999999999998</v>
      </c>
      <c r="J240">
        <f>tblComponents[Actual_Cycle_Time_Min]/60</f>
        <v>5.7666666666666665E-2</v>
      </c>
      <c r="K240">
        <f t="shared" si="21"/>
        <v>8919.0173410404641</v>
      </c>
      <c r="L240">
        <f>H240*tblComponents[Planned_Production_or_Procurement]</f>
        <v>328142.54000000004</v>
      </c>
      <c r="M240">
        <f t="shared" si="22"/>
        <v>38</v>
      </c>
      <c r="N240" t="str">
        <f t="shared" si="23"/>
        <v>High Economic Priority</v>
      </c>
      <c r="O240" t="str">
        <f>tblComponents[Criticality]</f>
        <v>High</v>
      </c>
      <c r="P240">
        <f>tblComponents[Planned_Production_or_Procurement]</f>
        <v>638</v>
      </c>
      <c r="Q240">
        <f t="shared" si="24"/>
        <v>36.791333333333334</v>
      </c>
      <c r="R240" t="str">
        <f t="shared" si="25"/>
        <v>High</v>
      </c>
      <c r="S240" t="str">
        <f t="shared" si="26"/>
        <v>High Priority</v>
      </c>
    </row>
    <row r="241" spans="1:19" x14ac:dyDescent="0.35">
      <c r="A241" s="12" t="str">
        <f>tblComponents[Component_ID]</f>
        <v>C240</v>
      </c>
      <c r="B241" s="12" t="str">
        <f>tblComponents[Component_Name]</f>
        <v>Component 240</v>
      </c>
      <c r="C241" t="str">
        <f>tblComponents[Sourcing_Type]</f>
        <v>Make</v>
      </c>
      <c r="D241">
        <f>tblComponents[Forecast_Demand]</f>
        <v>126</v>
      </c>
      <c r="E241">
        <f>tblComponents[Selling_Price_Per_Unit]</f>
        <v>695.78</v>
      </c>
      <c r="F241">
        <f>tblComponents[Variable_Cost_Per_Unit]</f>
        <v>510.3</v>
      </c>
      <c r="G241">
        <f>tblComponents[Direct_Labor_Cost_Per_Unit]</f>
        <v>51.31</v>
      </c>
      <c r="H241">
        <f>tblComponents[Contribution_Per_Unit]</f>
        <v>185.48</v>
      </c>
      <c r="I241">
        <f>tblComponents[Contribution_Margin]</f>
        <v>0.2666</v>
      </c>
      <c r="J241">
        <f>tblComponents[Actual_Cycle_Time_Min]/60</f>
        <v>8.8333333333333333E-2</v>
      </c>
      <c r="K241">
        <f t="shared" si="21"/>
        <v>2099.7735849056603</v>
      </c>
      <c r="L241">
        <f>H241*tblComponents[Planned_Production_or_Procurement]</f>
        <v>108691.28</v>
      </c>
      <c r="M241">
        <f t="shared" si="22"/>
        <v>218</v>
      </c>
      <c r="N241" t="str">
        <f t="shared" si="23"/>
        <v>Low Economic Priority</v>
      </c>
      <c r="O241" t="str">
        <f>tblComponents[Criticality]</f>
        <v>Critical</v>
      </c>
      <c r="P241">
        <f>tblComponents[Planned_Production_or_Procurement]</f>
        <v>586</v>
      </c>
      <c r="Q241">
        <f t="shared" si="24"/>
        <v>51.763333333333335</v>
      </c>
      <c r="R241" t="str">
        <f t="shared" si="25"/>
        <v>Critical</v>
      </c>
      <c r="S241" t="str">
        <f t="shared" si="26"/>
        <v>Critical Priority</v>
      </c>
    </row>
    <row r="242" spans="1:19" x14ac:dyDescent="0.35">
      <c r="A242" s="12" t="str">
        <f>tblComponents[Component_ID]</f>
        <v>C241</v>
      </c>
      <c r="B242" s="12" t="str">
        <f>tblComponents[Component_Name]</f>
        <v>Component 241</v>
      </c>
      <c r="C242" t="str">
        <f>tblComponents[Sourcing_Type]</f>
        <v>Make</v>
      </c>
      <c r="D242">
        <f>tblComponents[Forecast_Demand]</f>
        <v>1666</v>
      </c>
      <c r="E242">
        <f>tblComponents[Selling_Price_Per_Unit]</f>
        <v>1140.6199999999999</v>
      </c>
      <c r="F242">
        <f>tblComponents[Variable_Cost_Per_Unit]</f>
        <v>947.94</v>
      </c>
      <c r="G242">
        <f>tblComponents[Direct_Labor_Cost_Per_Unit]</f>
        <v>30.9</v>
      </c>
      <c r="H242">
        <f>tblComponents[Contribution_Per_Unit]</f>
        <v>192.68</v>
      </c>
      <c r="I242">
        <f>tblComponents[Contribution_Margin]</f>
        <v>0.16889999999999999</v>
      </c>
      <c r="J242">
        <f>tblComponents[Actual_Cycle_Time_Min]/60</f>
        <v>3.1833333333333332E-2</v>
      </c>
      <c r="K242">
        <f t="shared" si="21"/>
        <v>6052.7748691099478</v>
      </c>
      <c r="L242">
        <f>H242*tblComponents[Planned_Production_or_Procurement]</f>
        <v>2106955.8000000003</v>
      </c>
      <c r="M242">
        <f t="shared" si="22"/>
        <v>76</v>
      </c>
      <c r="N242" t="str">
        <f t="shared" si="23"/>
        <v>Medium Economic Priority</v>
      </c>
      <c r="O242" t="str">
        <f>tblComponents[Criticality]</f>
        <v>Medium</v>
      </c>
      <c r="P242">
        <f>tblComponents[Planned_Production_or_Procurement]</f>
        <v>10935</v>
      </c>
      <c r="Q242">
        <f t="shared" si="24"/>
        <v>348.09749999999997</v>
      </c>
      <c r="R242" t="str">
        <f t="shared" si="25"/>
        <v>Medium</v>
      </c>
      <c r="S242" t="str">
        <f t="shared" si="26"/>
        <v>Medium Priority</v>
      </c>
    </row>
    <row r="243" spans="1:19" x14ac:dyDescent="0.35">
      <c r="A243" s="12" t="str">
        <f>tblComponents[Component_ID]</f>
        <v>C242</v>
      </c>
      <c r="B243" s="12" t="str">
        <f>tblComponents[Component_Name]</f>
        <v>Component 242</v>
      </c>
      <c r="C243" t="str">
        <f>tblComponents[Sourcing_Type]</f>
        <v>Make</v>
      </c>
      <c r="D243">
        <f>tblComponents[Forecast_Demand]</f>
        <v>245</v>
      </c>
      <c r="E243">
        <f>tblComponents[Selling_Price_Per_Unit]</f>
        <v>1269.18</v>
      </c>
      <c r="F243">
        <f>tblComponents[Variable_Cost_Per_Unit]</f>
        <v>955.75</v>
      </c>
      <c r="G243">
        <f>tblComponents[Direct_Labor_Cost_Per_Unit]</f>
        <v>24.61</v>
      </c>
      <c r="H243">
        <f>tblComponents[Contribution_Per_Unit]</f>
        <v>313.43</v>
      </c>
      <c r="I243">
        <f>tblComponents[Contribution_Margin]</f>
        <v>0.247</v>
      </c>
      <c r="J243">
        <f>tblComponents[Actual_Cycle_Time_Min]/60</f>
        <v>3.8666666666666662E-2</v>
      </c>
      <c r="K243">
        <f t="shared" si="21"/>
        <v>8105.9482758620697</v>
      </c>
      <c r="L243">
        <f>H243*tblComponents[Planned_Production_or_Procurement]</f>
        <v>1780282.4000000001</v>
      </c>
      <c r="M243">
        <f t="shared" si="22"/>
        <v>45</v>
      </c>
      <c r="N243" t="str">
        <f t="shared" si="23"/>
        <v>High Economic Priority</v>
      </c>
      <c r="O243" t="str">
        <f>tblComponents[Criticality]</f>
        <v>Medium</v>
      </c>
      <c r="P243">
        <f>tblComponents[Planned_Production_or_Procurement]</f>
        <v>5680</v>
      </c>
      <c r="Q243">
        <f t="shared" si="24"/>
        <v>219.62666666666664</v>
      </c>
      <c r="R243" t="str">
        <f t="shared" si="25"/>
        <v>Medium</v>
      </c>
      <c r="S243" t="str">
        <f t="shared" si="26"/>
        <v>High Priority</v>
      </c>
    </row>
    <row r="244" spans="1:19" x14ac:dyDescent="0.35">
      <c r="A244" s="12" t="str">
        <f>tblComponents[Component_ID]</f>
        <v>C243</v>
      </c>
      <c r="B244" s="12" t="str">
        <f>tblComponents[Component_Name]</f>
        <v>Component 243</v>
      </c>
      <c r="C244" t="str">
        <f>tblComponents[Sourcing_Type]</f>
        <v>Make</v>
      </c>
      <c r="D244">
        <f>tblComponents[Forecast_Demand]</f>
        <v>508</v>
      </c>
      <c r="E244">
        <f>tblComponents[Selling_Price_Per_Unit]</f>
        <v>2644.29</v>
      </c>
      <c r="F244">
        <f>tblComponents[Variable_Cost_Per_Unit]</f>
        <v>1716.45</v>
      </c>
      <c r="G244">
        <f>tblComponents[Direct_Labor_Cost_Per_Unit]</f>
        <v>110.98</v>
      </c>
      <c r="H244">
        <f>tblComponents[Contribution_Per_Unit]</f>
        <v>927.84</v>
      </c>
      <c r="I244">
        <f>tblComponents[Contribution_Margin]</f>
        <v>0.35089999999999999</v>
      </c>
      <c r="J244">
        <f>tblComponents[Actual_Cycle_Time_Min]/60</f>
        <v>0.47633333333333333</v>
      </c>
      <c r="K244">
        <f t="shared" si="21"/>
        <v>1947.8796361091672</v>
      </c>
      <c r="L244">
        <f>H244*tblComponents[Planned_Production_or_Procurement]</f>
        <v>791447.52</v>
      </c>
      <c r="M244">
        <f t="shared" si="22"/>
        <v>226</v>
      </c>
      <c r="N244" t="str">
        <f t="shared" si="23"/>
        <v>Low Economic Priority</v>
      </c>
      <c r="O244" t="str">
        <f>tblComponents[Criticality]</f>
        <v>Medium</v>
      </c>
      <c r="P244">
        <f>tblComponents[Planned_Production_or_Procurement]</f>
        <v>853</v>
      </c>
      <c r="Q244">
        <f t="shared" si="24"/>
        <v>406.31233333333336</v>
      </c>
      <c r="R244" t="str">
        <f t="shared" si="25"/>
        <v>Medium</v>
      </c>
      <c r="S244" t="str">
        <f t="shared" si="26"/>
        <v>Medium Priority</v>
      </c>
    </row>
    <row r="245" spans="1:19" x14ac:dyDescent="0.35">
      <c r="A245" s="12" t="str">
        <f>tblComponents[Component_ID]</f>
        <v>C244</v>
      </c>
      <c r="B245" s="12" t="str">
        <f>tblComponents[Component_Name]</f>
        <v>Component 244</v>
      </c>
      <c r="C245" t="str">
        <f>tblComponents[Sourcing_Type]</f>
        <v>Make</v>
      </c>
      <c r="D245">
        <f>tblComponents[Forecast_Demand]</f>
        <v>1501</v>
      </c>
      <c r="E245">
        <f>tblComponents[Selling_Price_Per_Unit]</f>
        <v>1343.03</v>
      </c>
      <c r="F245">
        <f>tblComponents[Variable_Cost_Per_Unit]</f>
        <v>838.8</v>
      </c>
      <c r="G245">
        <f>tblComponents[Direct_Labor_Cost_Per_Unit]</f>
        <v>59.53</v>
      </c>
      <c r="H245">
        <f>tblComponents[Contribution_Per_Unit]</f>
        <v>504.23</v>
      </c>
      <c r="I245">
        <f>tblComponents[Contribution_Margin]</f>
        <v>0.37540000000000001</v>
      </c>
      <c r="J245">
        <f>tblComponents[Actual_Cycle_Time_Min]/60</f>
        <v>4.8000000000000001E-2</v>
      </c>
      <c r="K245">
        <f t="shared" si="21"/>
        <v>10504.791666666666</v>
      </c>
      <c r="L245">
        <f>H245*tblComponents[Planned_Production_or_Procurement]</f>
        <v>584402.57000000007</v>
      </c>
      <c r="M245">
        <f t="shared" si="22"/>
        <v>23</v>
      </c>
      <c r="N245" t="str">
        <f t="shared" si="23"/>
        <v>High Economic Priority</v>
      </c>
      <c r="O245" t="str">
        <f>tblComponents[Criticality]</f>
        <v>Low</v>
      </c>
      <c r="P245">
        <f>tblComponents[Planned_Production_or_Procurement]</f>
        <v>1159</v>
      </c>
      <c r="Q245">
        <f t="shared" si="24"/>
        <v>55.631999999999998</v>
      </c>
      <c r="R245" t="str">
        <f t="shared" si="25"/>
        <v>Low</v>
      </c>
      <c r="S245" t="str">
        <f t="shared" si="26"/>
        <v>High Priority</v>
      </c>
    </row>
    <row r="246" spans="1:19" x14ac:dyDescent="0.35">
      <c r="A246" s="12" t="str">
        <f>tblComponents[Component_ID]</f>
        <v>C245</v>
      </c>
      <c r="B246" s="12" t="str">
        <f>tblComponents[Component_Name]</f>
        <v>Component 245</v>
      </c>
      <c r="C246" t="str">
        <f>tblComponents[Sourcing_Type]</f>
        <v>Make</v>
      </c>
      <c r="D246">
        <f>tblComponents[Forecast_Demand]</f>
        <v>497</v>
      </c>
      <c r="E246">
        <f>tblComponents[Selling_Price_Per_Unit]</f>
        <v>621.02</v>
      </c>
      <c r="F246">
        <f>tblComponents[Variable_Cost_Per_Unit]</f>
        <v>496.28</v>
      </c>
      <c r="G246">
        <f>tblComponents[Direct_Labor_Cost_Per_Unit]</f>
        <v>45.54</v>
      </c>
      <c r="H246">
        <f>tblComponents[Contribution_Per_Unit]</f>
        <v>124.74</v>
      </c>
      <c r="I246">
        <f>tblComponents[Contribution_Margin]</f>
        <v>0.2009</v>
      </c>
      <c r="J246">
        <f>tblComponents[Actual_Cycle_Time_Min]/60</f>
        <v>8.6166666666666669E-2</v>
      </c>
      <c r="K246">
        <f t="shared" si="21"/>
        <v>1447.6595744680851</v>
      </c>
      <c r="L246">
        <f>H246*tblComponents[Planned_Production_or_Procurement]</f>
        <v>810685.26</v>
      </c>
      <c r="M246">
        <f t="shared" si="22"/>
        <v>263</v>
      </c>
      <c r="N246" t="str">
        <f t="shared" si="23"/>
        <v>Low Economic Priority</v>
      </c>
      <c r="O246" t="str">
        <f>tblComponents[Criticality]</f>
        <v>Low</v>
      </c>
      <c r="P246">
        <f>tblComponents[Planned_Production_or_Procurement]</f>
        <v>6499</v>
      </c>
      <c r="Q246">
        <f t="shared" si="24"/>
        <v>559.99716666666666</v>
      </c>
      <c r="R246" t="str">
        <f t="shared" si="25"/>
        <v>Low</v>
      </c>
      <c r="S246" t="str">
        <f t="shared" si="26"/>
        <v>Low Priority</v>
      </c>
    </row>
    <row r="247" spans="1:19" x14ac:dyDescent="0.35">
      <c r="A247" s="12" t="str">
        <f>tblComponents[Component_ID]</f>
        <v>C246</v>
      </c>
      <c r="B247" s="12" t="str">
        <f>tblComponents[Component_Name]</f>
        <v>Component 246</v>
      </c>
      <c r="C247" t="str">
        <f>tblComponents[Sourcing_Type]</f>
        <v>Make</v>
      </c>
      <c r="D247">
        <f>tblComponents[Forecast_Demand]</f>
        <v>381</v>
      </c>
      <c r="E247">
        <f>tblComponents[Selling_Price_Per_Unit]</f>
        <v>1155.77</v>
      </c>
      <c r="F247">
        <f>tblComponents[Variable_Cost_Per_Unit]</f>
        <v>963.05</v>
      </c>
      <c r="G247">
        <f>tblComponents[Direct_Labor_Cost_Per_Unit]</f>
        <v>83.43</v>
      </c>
      <c r="H247">
        <f>tblComponents[Contribution_Per_Unit]</f>
        <v>192.72</v>
      </c>
      <c r="I247">
        <f>tblComponents[Contribution_Margin]</f>
        <v>0.16669999999999999</v>
      </c>
      <c r="J247">
        <f>tblComponents[Actual_Cycle_Time_Min]/60</f>
        <v>0.27933333333333338</v>
      </c>
      <c r="K247">
        <f t="shared" si="21"/>
        <v>689.92840095465385</v>
      </c>
      <c r="L247">
        <f>H247*tblComponents[Planned_Production_or_Procurement]</f>
        <v>214497.36</v>
      </c>
      <c r="M247">
        <f t="shared" si="22"/>
        <v>297</v>
      </c>
      <c r="N247" t="str">
        <f t="shared" si="23"/>
        <v>Low Economic Priority</v>
      </c>
      <c r="O247" t="str">
        <f>tblComponents[Criticality]</f>
        <v>Medium</v>
      </c>
      <c r="P247">
        <f>tblComponents[Planned_Production_or_Procurement]</f>
        <v>1113</v>
      </c>
      <c r="Q247">
        <f t="shared" si="24"/>
        <v>310.89800000000002</v>
      </c>
      <c r="R247" t="str">
        <f t="shared" si="25"/>
        <v>Medium</v>
      </c>
      <c r="S247" t="str">
        <f t="shared" si="26"/>
        <v>Medium Priority</v>
      </c>
    </row>
    <row r="248" spans="1:19" x14ac:dyDescent="0.35">
      <c r="A248" s="12" t="str">
        <f>tblComponents[Component_ID]</f>
        <v>C247</v>
      </c>
      <c r="B248" s="12" t="str">
        <f>tblComponents[Component_Name]</f>
        <v>Component 247</v>
      </c>
      <c r="C248" t="str">
        <f>tblComponents[Sourcing_Type]</f>
        <v>Make</v>
      </c>
      <c r="D248">
        <f>tblComponents[Forecast_Demand]</f>
        <v>267</v>
      </c>
      <c r="E248">
        <f>tblComponents[Selling_Price_Per_Unit]</f>
        <v>942.17</v>
      </c>
      <c r="F248">
        <f>tblComponents[Variable_Cost_Per_Unit]</f>
        <v>594.19000000000005</v>
      </c>
      <c r="G248">
        <f>tblComponents[Direct_Labor_Cost_Per_Unit]</f>
        <v>35.31</v>
      </c>
      <c r="H248">
        <f>tblComponents[Contribution_Per_Unit]</f>
        <v>347.98</v>
      </c>
      <c r="I248">
        <f>tblComponents[Contribution_Margin]</f>
        <v>0.36930000000000002</v>
      </c>
      <c r="J248">
        <f>tblComponents[Actual_Cycle_Time_Min]/60</f>
        <v>0.19916666666666666</v>
      </c>
      <c r="K248">
        <f t="shared" si="21"/>
        <v>1747.1799163179917</v>
      </c>
      <c r="L248">
        <f>H248*tblComponents[Planned_Production_or_Procurement]</f>
        <v>531365.46000000008</v>
      </c>
      <c r="M248">
        <f t="shared" si="22"/>
        <v>241</v>
      </c>
      <c r="N248" t="str">
        <f t="shared" si="23"/>
        <v>Low Economic Priority</v>
      </c>
      <c r="O248" t="str">
        <f>tblComponents[Criticality]</f>
        <v>High</v>
      </c>
      <c r="P248">
        <f>tblComponents[Planned_Production_or_Procurement]</f>
        <v>1527</v>
      </c>
      <c r="Q248">
        <f t="shared" si="24"/>
        <v>304.1275</v>
      </c>
      <c r="R248" t="str">
        <f t="shared" si="25"/>
        <v>High</v>
      </c>
      <c r="S248" t="str">
        <f t="shared" si="26"/>
        <v>High Priority</v>
      </c>
    </row>
    <row r="249" spans="1:19" x14ac:dyDescent="0.35">
      <c r="A249" s="12" t="str">
        <f>tblComponents[Component_ID]</f>
        <v>C248</v>
      </c>
      <c r="B249" s="12" t="str">
        <f>tblComponents[Component_Name]</f>
        <v>Component 248</v>
      </c>
      <c r="C249" t="str">
        <f>tblComponents[Sourcing_Type]</f>
        <v>Make</v>
      </c>
      <c r="D249">
        <f>tblComponents[Forecast_Demand]</f>
        <v>989</v>
      </c>
      <c r="E249">
        <f>tblComponents[Selling_Price_Per_Unit]</f>
        <v>1717.8</v>
      </c>
      <c r="F249">
        <f>tblComponents[Variable_Cost_Per_Unit]</f>
        <v>1292.9000000000001</v>
      </c>
      <c r="G249">
        <f>tblComponents[Direct_Labor_Cost_Per_Unit]</f>
        <v>98</v>
      </c>
      <c r="H249">
        <f>tblComponents[Contribution_Per_Unit]</f>
        <v>424.9</v>
      </c>
      <c r="I249">
        <f>tblComponents[Contribution_Margin]</f>
        <v>0.24740000000000001</v>
      </c>
      <c r="J249">
        <f>tblComponents[Actual_Cycle_Time_Min]/60</f>
        <v>0.19883333333333333</v>
      </c>
      <c r="K249">
        <f t="shared" si="21"/>
        <v>2136.9656328583401</v>
      </c>
      <c r="L249">
        <f>H249*tblComponents[Planned_Production_or_Procurement]</f>
        <v>689187.79999999993</v>
      </c>
      <c r="M249">
        <f t="shared" si="22"/>
        <v>215</v>
      </c>
      <c r="N249" t="str">
        <f t="shared" si="23"/>
        <v>Low Economic Priority</v>
      </c>
      <c r="O249" t="str">
        <f>tblComponents[Criticality]</f>
        <v>High</v>
      </c>
      <c r="P249">
        <f>tblComponents[Planned_Production_or_Procurement]</f>
        <v>1622</v>
      </c>
      <c r="Q249">
        <f t="shared" si="24"/>
        <v>322.50766666666669</v>
      </c>
      <c r="R249" t="str">
        <f t="shared" si="25"/>
        <v>High</v>
      </c>
      <c r="S249" t="str">
        <f t="shared" si="26"/>
        <v>High Priority</v>
      </c>
    </row>
    <row r="250" spans="1:19" x14ac:dyDescent="0.35">
      <c r="A250" s="12" t="str">
        <f>tblComponents[Component_ID]</f>
        <v>C249</v>
      </c>
      <c r="B250" s="12" t="str">
        <f>tblComponents[Component_Name]</f>
        <v>Component 249</v>
      </c>
      <c r="C250" t="str">
        <f>tblComponents[Sourcing_Type]</f>
        <v>Make</v>
      </c>
      <c r="D250">
        <f>tblComponents[Forecast_Demand]</f>
        <v>507</v>
      </c>
      <c r="E250">
        <f>tblComponents[Selling_Price_Per_Unit]</f>
        <v>3602.08</v>
      </c>
      <c r="F250">
        <f>tblComponents[Variable_Cost_Per_Unit]</f>
        <v>2573.9</v>
      </c>
      <c r="G250">
        <f>tblComponents[Direct_Labor_Cost_Per_Unit]</f>
        <v>145.77000000000001</v>
      </c>
      <c r="H250">
        <f>tblComponents[Contribution_Per_Unit]</f>
        <v>1028.18</v>
      </c>
      <c r="I250">
        <f>tblComponents[Contribution_Margin]</f>
        <v>0.28539999999999999</v>
      </c>
      <c r="J250">
        <f>tblComponents[Actual_Cycle_Time_Min]/60</f>
        <v>0.41366666666666668</v>
      </c>
      <c r="K250">
        <f t="shared" si="21"/>
        <v>2485.5278001611605</v>
      </c>
      <c r="L250">
        <f>H250*tblComponents[Planned_Production_or_Procurement]</f>
        <v>2125248.06</v>
      </c>
      <c r="M250">
        <f t="shared" si="22"/>
        <v>195</v>
      </c>
      <c r="N250" t="str">
        <f t="shared" si="23"/>
        <v>Low Economic Priority</v>
      </c>
      <c r="O250" t="str">
        <f>tblComponents[Criticality]</f>
        <v>Medium</v>
      </c>
      <c r="P250">
        <f>tblComponents[Planned_Production_or_Procurement]</f>
        <v>2067</v>
      </c>
      <c r="Q250">
        <f t="shared" si="24"/>
        <v>855.04899999999998</v>
      </c>
      <c r="R250" t="str">
        <f t="shared" si="25"/>
        <v>Medium</v>
      </c>
      <c r="S250" t="str">
        <f t="shared" si="26"/>
        <v>Medium Priority</v>
      </c>
    </row>
    <row r="251" spans="1:19" x14ac:dyDescent="0.35">
      <c r="A251" s="12" t="str">
        <f>tblComponents[Component_ID]</f>
        <v>C250</v>
      </c>
      <c r="B251" s="12" t="str">
        <f>tblComponents[Component_Name]</f>
        <v>Component 250</v>
      </c>
      <c r="C251" t="str">
        <f>tblComponents[Sourcing_Type]</f>
        <v>Make</v>
      </c>
      <c r="D251">
        <f>tblComponents[Forecast_Demand]</f>
        <v>747</v>
      </c>
      <c r="E251">
        <f>tblComponents[Selling_Price_Per_Unit]</f>
        <v>271.88</v>
      </c>
      <c r="F251">
        <f>tblComponents[Variable_Cost_Per_Unit]</f>
        <v>165.3</v>
      </c>
      <c r="G251">
        <f>tblComponents[Direct_Labor_Cost_Per_Unit]</f>
        <v>12.36</v>
      </c>
      <c r="H251">
        <f>tblComponents[Contribution_Per_Unit]</f>
        <v>106.58</v>
      </c>
      <c r="I251">
        <f>tblComponents[Contribution_Margin]</f>
        <v>0.39200000000000002</v>
      </c>
      <c r="J251">
        <f>tblComponents[Actual_Cycle_Time_Min]/60</f>
        <v>2.2833333333333334E-2</v>
      </c>
      <c r="K251">
        <f t="shared" si="21"/>
        <v>4667.7372262773724</v>
      </c>
      <c r="L251">
        <f>H251*tblComponents[Planned_Production_or_Procurement]</f>
        <v>578942.55999999994</v>
      </c>
      <c r="M251">
        <f t="shared" si="22"/>
        <v>112</v>
      </c>
      <c r="N251" t="str">
        <f t="shared" si="23"/>
        <v>Medium Economic Priority</v>
      </c>
      <c r="O251" t="str">
        <f>tblComponents[Criticality]</f>
        <v>Medium</v>
      </c>
      <c r="P251">
        <f>tblComponents[Planned_Production_or_Procurement]</f>
        <v>5432</v>
      </c>
      <c r="Q251">
        <f t="shared" si="24"/>
        <v>124.03066666666668</v>
      </c>
      <c r="R251" t="str">
        <f t="shared" si="25"/>
        <v>Medium</v>
      </c>
      <c r="S251" t="str">
        <f t="shared" si="26"/>
        <v>Medium Priority</v>
      </c>
    </row>
    <row r="252" spans="1:19" x14ac:dyDescent="0.35">
      <c r="A252" s="12" t="str">
        <f>tblComponents[Component_ID]</f>
        <v>C251</v>
      </c>
      <c r="B252" s="12" t="str">
        <f>tblComponents[Component_Name]</f>
        <v>Component 251</v>
      </c>
      <c r="C252" t="str">
        <f>tblComponents[Sourcing_Type]</f>
        <v>Make</v>
      </c>
      <c r="D252">
        <f>tblComponents[Forecast_Demand]</f>
        <v>1775</v>
      </c>
      <c r="E252">
        <f>tblComponents[Selling_Price_Per_Unit]</f>
        <v>559.52</v>
      </c>
      <c r="F252">
        <f>tblComponents[Variable_Cost_Per_Unit]</f>
        <v>466.28</v>
      </c>
      <c r="G252">
        <f>tblComponents[Direct_Labor_Cost_Per_Unit]</f>
        <v>7.04</v>
      </c>
      <c r="H252">
        <f>tblComponents[Contribution_Per_Unit]</f>
        <v>93.24</v>
      </c>
      <c r="I252">
        <f>tblComponents[Contribution_Margin]</f>
        <v>0.1666</v>
      </c>
      <c r="J252">
        <f>tblComponents[Actual_Cycle_Time_Min]/60</f>
        <v>4.9166666666666671E-2</v>
      </c>
      <c r="K252">
        <f t="shared" si="21"/>
        <v>1896.4067796610166</v>
      </c>
      <c r="L252">
        <f>H252*tblComponents[Planned_Production_or_Procurement]</f>
        <v>698647.32</v>
      </c>
      <c r="M252">
        <f t="shared" si="22"/>
        <v>231</v>
      </c>
      <c r="N252" t="str">
        <f t="shared" si="23"/>
        <v>Low Economic Priority</v>
      </c>
      <c r="O252" t="str">
        <f>tblComponents[Criticality]</f>
        <v>Medium</v>
      </c>
      <c r="P252">
        <f>tblComponents[Planned_Production_or_Procurement]</f>
        <v>7493</v>
      </c>
      <c r="Q252">
        <f t="shared" si="24"/>
        <v>368.40583333333336</v>
      </c>
      <c r="R252" t="str">
        <f t="shared" si="25"/>
        <v>Medium</v>
      </c>
      <c r="S252" t="str">
        <f t="shared" si="26"/>
        <v>Medium Priority</v>
      </c>
    </row>
    <row r="253" spans="1:19" x14ac:dyDescent="0.35">
      <c r="A253" s="12" t="str">
        <f>tblComponents[Component_ID]</f>
        <v>C252</v>
      </c>
      <c r="B253" s="12" t="str">
        <f>tblComponents[Component_Name]</f>
        <v>Component 252</v>
      </c>
      <c r="C253" t="str">
        <f>tblComponents[Sourcing_Type]</f>
        <v>Make</v>
      </c>
      <c r="D253">
        <f>tblComponents[Forecast_Demand]</f>
        <v>747</v>
      </c>
      <c r="E253">
        <f>tblComponents[Selling_Price_Per_Unit]</f>
        <v>1517.65</v>
      </c>
      <c r="F253">
        <f>tblComponents[Variable_Cost_Per_Unit]</f>
        <v>1044.02</v>
      </c>
      <c r="G253">
        <f>tblComponents[Direct_Labor_Cost_Per_Unit]</f>
        <v>215.34</v>
      </c>
      <c r="H253">
        <f>tblComponents[Contribution_Per_Unit]</f>
        <v>473.63</v>
      </c>
      <c r="I253">
        <f>tblComponents[Contribution_Margin]</f>
        <v>0.31209999999999999</v>
      </c>
      <c r="J253">
        <f>tblComponents[Actual_Cycle_Time_Min]/60</f>
        <v>0.16500000000000001</v>
      </c>
      <c r="K253">
        <f t="shared" si="21"/>
        <v>2870.4848484848485</v>
      </c>
      <c r="L253">
        <f>H253*tblComponents[Planned_Production_or_Procurement]</f>
        <v>457052.95</v>
      </c>
      <c r="M253">
        <f t="shared" si="22"/>
        <v>174</v>
      </c>
      <c r="N253" t="str">
        <f t="shared" si="23"/>
        <v>Low Economic Priority</v>
      </c>
      <c r="O253" t="str">
        <f>tblComponents[Criticality]</f>
        <v>Low</v>
      </c>
      <c r="P253">
        <f>tblComponents[Planned_Production_or_Procurement]</f>
        <v>965</v>
      </c>
      <c r="Q253">
        <f t="shared" si="24"/>
        <v>159.22499999999999</v>
      </c>
      <c r="R253" t="str">
        <f t="shared" si="25"/>
        <v>Low</v>
      </c>
      <c r="S253" t="str">
        <f t="shared" si="26"/>
        <v>Low Priority</v>
      </c>
    </row>
    <row r="254" spans="1:19" x14ac:dyDescent="0.35">
      <c r="A254" s="12" t="str">
        <f>tblComponents[Component_ID]</f>
        <v>C253</v>
      </c>
      <c r="B254" s="12" t="str">
        <f>tblComponents[Component_Name]</f>
        <v>Component 253</v>
      </c>
      <c r="C254" t="str">
        <f>tblComponents[Sourcing_Type]</f>
        <v>Make</v>
      </c>
      <c r="D254">
        <f>tblComponents[Forecast_Demand]</f>
        <v>499</v>
      </c>
      <c r="E254">
        <f>tblComponents[Selling_Price_Per_Unit]</f>
        <v>1662.93</v>
      </c>
      <c r="F254">
        <f>tblComponents[Variable_Cost_Per_Unit]</f>
        <v>1382.68</v>
      </c>
      <c r="G254">
        <f>tblComponents[Direct_Labor_Cost_Per_Unit]</f>
        <v>121.68</v>
      </c>
      <c r="H254">
        <f>tblComponents[Contribution_Per_Unit]</f>
        <v>280.25</v>
      </c>
      <c r="I254">
        <f>tblComponents[Contribution_Margin]</f>
        <v>0.16850000000000001</v>
      </c>
      <c r="J254">
        <f>tblComponents[Actual_Cycle_Time_Min]/60</f>
        <v>0.21600000000000003</v>
      </c>
      <c r="K254">
        <f t="shared" si="21"/>
        <v>1297.4537037037035</v>
      </c>
      <c r="L254">
        <f>H254*tblComponents[Planned_Production_or_Procurement]</f>
        <v>772369</v>
      </c>
      <c r="M254">
        <f t="shared" si="22"/>
        <v>276</v>
      </c>
      <c r="N254" t="str">
        <f t="shared" si="23"/>
        <v>Low Economic Priority</v>
      </c>
      <c r="O254" t="str">
        <f>tblComponents[Criticality]</f>
        <v>High</v>
      </c>
      <c r="P254">
        <f>tblComponents[Planned_Production_or_Procurement]</f>
        <v>2756</v>
      </c>
      <c r="Q254">
        <f t="shared" si="24"/>
        <v>595.29600000000005</v>
      </c>
      <c r="R254" t="str">
        <f t="shared" si="25"/>
        <v>High</v>
      </c>
      <c r="S254" t="str">
        <f t="shared" si="26"/>
        <v>High Priority</v>
      </c>
    </row>
    <row r="255" spans="1:19" x14ac:dyDescent="0.35">
      <c r="A255" s="12" t="str">
        <f>tblComponents[Component_ID]</f>
        <v>C254</v>
      </c>
      <c r="B255" s="12" t="str">
        <f>tblComponents[Component_Name]</f>
        <v>Component 254</v>
      </c>
      <c r="C255" t="str">
        <f>tblComponents[Sourcing_Type]</f>
        <v>Make</v>
      </c>
      <c r="D255">
        <f>tblComponents[Forecast_Demand]</f>
        <v>1268</v>
      </c>
      <c r="E255">
        <f>tblComponents[Selling_Price_Per_Unit]</f>
        <v>1073.05</v>
      </c>
      <c r="F255">
        <f>tblComponents[Variable_Cost_Per_Unit]</f>
        <v>811.37</v>
      </c>
      <c r="G255">
        <f>tblComponents[Direct_Labor_Cost_Per_Unit]</f>
        <v>24.54</v>
      </c>
      <c r="H255">
        <f>tblComponents[Contribution_Per_Unit]</f>
        <v>261.68</v>
      </c>
      <c r="I255">
        <f>tblComponents[Contribution_Margin]</f>
        <v>0.24390000000000001</v>
      </c>
      <c r="J255">
        <f>tblComponents[Actual_Cycle_Time_Min]/60</f>
        <v>5.4333333333333331E-2</v>
      </c>
      <c r="K255">
        <f t="shared" si="21"/>
        <v>4816.1963190184051</v>
      </c>
      <c r="L255">
        <f>H255*tblComponents[Planned_Production_or_Procurement]</f>
        <v>1133597.76</v>
      </c>
      <c r="M255">
        <f t="shared" si="22"/>
        <v>106</v>
      </c>
      <c r="N255" t="str">
        <f t="shared" si="23"/>
        <v>Medium Economic Priority</v>
      </c>
      <c r="O255" t="str">
        <f>tblComponents[Criticality]</f>
        <v>Medium</v>
      </c>
      <c r="P255">
        <f>tblComponents[Planned_Production_or_Procurement]</f>
        <v>4332</v>
      </c>
      <c r="Q255">
        <f t="shared" si="24"/>
        <v>235.37199999999999</v>
      </c>
      <c r="R255" t="str">
        <f t="shared" si="25"/>
        <v>Medium</v>
      </c>
      <c r="S255" t="str">
        <f t="shared" si="26"/>
        <v>Medium Priority</v>
      </c>
    </row>
    <row r="256" spans="1:19" x14ac:dyDescent="0.35">
      <c r="A256" s="12" t="str">
        <f>tblComponents[Component_ID]</f>
        <v>C255</v>
      </c>
      <c r="B256" s="12" t="str">
        <f>tblComponents[Component_Name]</f>
        <v>Component 255</v>
      </c>
      <c r="C256" t="str">
        <f>tblComponents[Sourcing_Type]</f>
        <v>Make</v>
      </c>
      <c r="D256">
        <f>tblComponents[Forecast_Demand]</f>
        <v>475</v>
      </c>
      <c r="E256">
        <f>tblComponents[Selling_Price_Per_Unit]</f>
        <v>1770</v>
      </c>
      <c r="F256">
        <f>tblComponents[Variable_Cost_Per_Unit]</f>
        <v>1148.81</v>
      </c>
      <c r="G256">
        <f>tblComponents[Direct_Labor_Cost_Per_Unit]</f>
        <v>16.03</v>
      </c>
      <c r="H256">
        <f>tblComponents[Contribution_Per_Unit]</f>
        <v>621.19000000000005</v>
      </c>
      <c r="I256">
        <f>tblComponents[Contribution_Margin]</f>
        <v>0.35099999999999998</v>
      </c>
      <c r="J256">
        <f>tblComponents[Actual_Cycle_Time_Min]/60</f>
        <v>6.6166666666666665E-2</v>
      </c>
      <c r="K256">
        <f t="shared" si="21"/>
        <v>9388.2619647355168</v>
      </c>
      <c r="L256">
        <f>H256*tblComponents[Planned_Production_or_Procurement]</f>
        <v>3978721.95</v>
      </c>
      <c r="M256">
        <f t="shared" si="22"/>
        <v>36</v>
      </c>
      <c r="N256" t="str">
        <f t="shared" si="23"/>
        <v>High Economic Priority</v>
      </c>
      <c r="O256" t="str">
        <f>tblComponents[Criticality]</f>
        <v>Low</v>
      </c>
      <c r="P256">
        <f>tblComponents[Planned_Production_or_Procurement]</f>
        <v>6405</v>
      </c>
      <c r="Q256">
        <f t="shared" si="24"/>
        <v>423.79750000000001</v>
      </c>
      <c r="R256" t="str">
        <f t="shared" si="25"/>
        <v>Low</v>
      </c>
      <c r="S256" t="str">
        <f t="shared" si="26"/>
        <v>High Priority</v>
      </c>
    </row>
    <row r="257" spans="1:19" x14ac:dyDescent="0.35">
      <c r="A257" s="12" t="str">
        <f>tblComponents[Component_ID]</f>
        <v>C256</v>
      </c>
      <c r="B257" s="12" t="str">
        <f>tblComponents[Component_Name]</f>
        <v>Component 256</v>
      </c>
      <c r="C257" t="str">
        <f>tblComponents[Sourcing_Type]</f>
        <v>Make</v>
      </c>
      <c r="D257">
        <f>tblComponents[Forecast_Demand]</f>
        <v>840</v>
      </c>
      <c r="E257">
        <f>tblComponents[Selling_Price_Per_Unit]</f>
        <v>758.97</v>
      </c>
      <c r="F257">
        <f>tblComponents[Variable_Cost_Per_Unit]</f>
        <v>562.88</v>
      </c>
      <c r="G257">
        <f>tblComponents[Direct_Labor_Cost_Per_Unit]</f>
        <v>31.98</v>
      </c>
      <c r="H257">
        <f>tblComponents[Contribution_Per_Unit]</f>
        <v>196.09</v>
      </c>
      <c r="I257">
        <f>tblComponents[Contribution_Margin]</f>
        <v>0.25840000000000002</v>
      </c>
      <c r="J257">
        <f>tblComponents[Actual_Cycle_Time_Min]/60</f>
        <v>0.14499999999999999</v>
      </c>
      <c r="K257">
        <f t="shared" si="21"/>
        <v>1352.344827586207</v>
      </c>
      <c r="L257">
        <f>H257*tblComponents[Planned_Production_or_Procurement]</f>
        <v>394336.99</v>
      </c>
      <c r="M257">
        <f t="shared" si="22"/>
        <v>267</v>
      </c>
      <c r="N257" t="str">
        <f t="shared" si="23"/>
        <v>Low Economic Priority</v>
      </c>
      <c r="O257" t="str">
        <f>tblComponents[Criticality]</f>
        <v>Low</v>
      </c>
      <c r="P257">
        <f>tblComponents[Planned_Production_or_Procurement]</f>
        <v>2011</v>
      </c>
      <c r="Q257">
        <f t="shared" si="24"/>
        <v>291.59499999999997</v>
      </c>
      <c r="R257" t="str">
        <f t="shared" si="25"/>
        <v>Low</v>
      </c>
      <c r="S257" t="str">
        <f t="shared" si="26"/>
        <v>Low Priority</v>
      </c>
    </row>
    <row r="258" spans="1:19" x14ac:dyDescent="0.35">
      <c r="A258" s="12" t="str">
        <f>tblComponents[Component_ID]</f>
        <v>C257</v>
      </c>
      <c r="B258" s="12" t="str">
        <f>tblComponents[Component_Name]</f>
        <v>Component 257</v>
      </c>
      <c r="C258" t="str">
        <f>tblComponents[Sourcing_Type]</f>
        <v>Make</v>
      </c>
      <c r="D258">
        <f>tblComponents[Forecast_Demand]</f>
        <v>1620</v>
      </c>
      <c r="E258">
        <f>tblComponents[Selling_Price_Per_Unit]</f>
        <v>544.61</v>
      </c>
      <c r="F258">
        <f>tblComponents[Variable_Cost_Per_Unit]</f>
        <v>327.14999999999998</v>
      </c>
      <c r="G258">
        <f>tblComponents[Direct_Labor_Cost_Per_Unit]</f>
        <v>14.86</v>
      </c>
      <c r="H258">
        <f>tblComponents[Contribution_Per_Unit]</f>
        <v>217.46</v>
      </c>
      <c r="I258">
        <f>tblComponents[Contribution_Margin]</f>
        <v>0.39929999999999999</v>
      </c>
      <c r="J258">
        <f>tblComponents[Actual_Cycle_Time_Min]/60</f>
        <v>3.6000000000000004E-2</v>
      </c>
      <c r="K258">
        <f t="shared" si="21"/>
        <v>6040.5555555555547</v>
      </c>
      <c r="L258">
        <f>H258*tblComponents[Planned_Production_or_Procurement]</f>
        <v>430135.88</v>
      </c>
      <c r="M258">
        <f t="shared" si="22"/>
        <v>78</v>
      </c>
      <c r="N258" t="str">
        <f t="shared" si="23"/>
        <v>Medium Economic Priority</v>
      </c>
      <c r="O258" t="str">
        <f>tblComponents[Criticality]</f>
        <v>Low</v>
      </c>
      <c r="P258">
        <f>tblComponents[Planned_Production_or_Procurement]</f>
        <v>1978</v>
      </c>
      <c r="Q258">
        <f t="shared" si="24"/>
        <v>71.208000000000013</v>
      </c>
      <c r="R258" t="str">
        <f t="shared" si="25"/>
        <v>Low</v>
      </c>
      <c r="S258" t="str">
        <f t="shared" si="26"/>
        <v>Medium Priority</v>
      </c>
    </row>
    <row r="259" spans="1:19" x14ac:dyDescent="0.35">
      <c r="A259" s="12" t="str">
        <f>tblComponents[Component_ID]</f>
        <v>C258</v>
      </c>
      <c r="B259" s="12" t="str">
        <f>tblComponents[Component_Name]</f>
        <v>Component 258</v>
      </c>
      <c r="C259" t="str">
        <f>tblComponents[Sourcing_Type]</f>
        <v>Make</v>
      </c>
      <c r="D259">
        <f>tblComponents[Forecast_Demand]</f>
        <v>1419</v>
      </c>
      <c r="E259">
        <f>tblComponents[Selling_Price_Per_Unit]</f>
        <v>471.03</v>
      </c>
      <c r="F259">
        <f>tblComponents[Variable_Cost_Per_Unit]</f>
        <v>334.54</v>
      </c>
      <c r="G259">
        <f>tblComponents[Direct_Labor_Cost_Per_Unit]</f>
        <v>14.27</v>
      </c>
      <c r="H259">
        <f>tblComponents[Contribution_Per_Unit]</f>
        <v>136.49</v>
      </c>
      <c r="I259">
        <f>tblComponents[Contribution_Margin]</f>
        <v>0.2898</v>
      </c>
      <c r="J259">
        <f>tblComponents[Actual_Cycle_Time_Min]/60</f>
        <v>6.0166666666666667E-2</v>
      </c>
      <c r="K259">
        <f t="shared" ref="K259:K322" si="27">IFERROR(H259/J259,0)</f>
        <v>2268.531855955679</v>
      </c>
      <c r="L259">
        <f>H259*tblComponents[Planned_Production_or_Procurement]</f>
        <v>443319.52</v>
      </c>
      <c r="M259">
        <f t="shared" ref="M259:M322" si="28">IF(C259="Make",1+COUNTIFS($C$2:$C$501,"Make",$K$2:$K$501,"&gt;"&amp;K259),"")</f>
        <v>207</v>
      </c>
      <c r="N259" t="str">
        <f t="shared" ref="N259:N322" si="29">IF(C259="Buy","Not Applicable",IF(M259&lt;=75,"High Economic Priority",IF(M259&lt;=150,"Medium Economic Priority","Low Economic Priority")))</f>
        <v>Low Economic Priority</v>
      </c>
      <c r="O259" t="str">
        <f>tblComponents[Criticality]</f>
        <v>Low</v>
      </c>
      <c r="P259">
        <f>tblComponents[Planned_Production_or_Procurement]</f>
        <v>3248</v>
      </c>
      <c r="Q259">
        <f t="shared" ref="Q259:Q322" si="30">J259*P259</f>
        <v>195.42133333333334</v>
      </c>
      <c r="R259" t="str">
        <f t="shared" ref="R259:R322" si="31">IF(O259="Critical","Critical",IF(O259="High","High",IF(O259="Medium","Medium","Low")))</f>
        <v>Low</v>
      </c>
      <c r="S259" t="str">
        <f t="shared" ref="S259:S322" si="32">IF(C259="Buy","Not Applicable",
IF(O259="Critical","Critical Priority",
IF(AND(N259="High Economic Priority",O259="High"),"High Priority",
IF(AND(N259="High Economic Priority",O259="Medium"),"High Priority",
IF(AND(N259="High Economic Priority",O259="Low"),"High Priority",
IF(AND(N259="Medium Economic Priority",O259="High"),"High Priority",
IF(AND(N259="Medium Economic Priority",O259="Medium"),"Medium Priority",
IF(AND(N259="Medium Economic Priority",O259="Low"),"Medium Priority",
IF(AND(N259="Low Economic Priority",O259="High"),"High Priority",
IF(AND(N259="Low Economic Priority",O259="Medium"),"Medium Priority","Low Priority"))))))))))</f>
        <v>Low Priority</v>
      </c>
    </row>
    <row r="260" spans="1:19" x14ac:dyDescent="0.35">
      <c r="A260" s="12" t="str">
        <f>tblComponents[Component_ID]</f>
        <v>C259</v>
      </c>
      <c r="B260" s="12" t="str">
        <f>tblComponents[Component_Name]</f>
        <v>Component 259</v>
      </c>
      <c r="C260" t="str">
        <f>tblComponents[Sourcing_Type]</f>
        <v>Make</v>
      </c>
      <c r="D260">
        <f>tblComponents[Forecast_Demand]</f>
        <v>868</v>
      </c>
      <c r="E260">
        <f>tblComponents[Selling_Price_Per_Unit]</f>
        <v>1964.6</v>
      </c>
      <c r="F260">
        <f>tblComponents[Variable_Cost_Per_Unit]</f>
        <v>1512.17</v>
      </c>
      <c r="G260">
        <f>tblComponents[Direct_Labor_Cost_Per_Unit]</f>
        <v>46.71</v>
      </c>
      <c r="H260">
        <f>tblComponents[Contribution_Per_Unit]</f>
        <v>452.43</v>
      </c>
      <c r="I260">
        <f>tblComponents[Contribution_Margin]</f>
        <v>0.2303</v>
      </c>
      <c r="J260">
        <f>tblComponents[Actual_Cycle_Time_Min]/60</f>
        <v>0.25283333333333335</v>
      </c>
      <c r="K260">
        <f t="shared" si="27"/>
        <v>1789.439683586025</v>
      </c>
      <c r="L260">
        <f>H260*tblComponents[Planned_Production_or_Procurement]</f>
        <v>809397.27</v>
      </c>
      <c r="M260">
        <f t="shared" si="28"/>
        <v>239</v>
      </c>
      <c r="N260" t="str">
        <f t="shared" si="29"/>
        <v>Low Economic Priority</v>
      </c>
      <c r="O260" t="str">
        <f>tblComponents[Criticality]</f>
        <v>Low</v>
      </c>
      <c r="P260">
        <f>tblComponents[Planned_Production_or_Procurement]</f>
        <v>1789</v>
      </c>
      <c r="Q260">
        <f t="shared" si="30"/>
        <v>452.31883333333337</v>
      </c>
      <c r="R260" t="str">
        <f t="shared" si="31"/>
        <v>Low</v>
      </c>
      <c r="S260" t="str">
        <f t="shared" si="32"/>
        <v>Low Priority</v>
      </c>
    </row>
    <row r="261" spans="1:19" x14ac:dyDescent="0.35">
      <c r="A261" s="12" t="str">
        <f>tblComponents[Component_ID]</f>
        <v>C260</v>
      </c>
      <c r="B261" s="12" t="str">
        <f>tblComponents[Component_Name]</f>
        <v>Component 260</v>
      </c>
      <c r="C261" t="str">
        <f>tblComponents[Sourcing_Type]</f>
        <v>Make</v>
      </c>
      <c r="D261">
        <f>tblComponents[Forecast_Demand]</f>
        <v>616</v>
      </c>
      <c r="E261">
        <f>tblComponents[Selling_Price_Per_Unit]</f>
        <v>2077.58</v>
      </c>
      <c r="F261">
        <f>tblComponents[Variable_Cost_Per_Unit]</f>
        <v>1651.62</v>
      </c>
      <c r="G261">
        <f>tblComponents[Direct_Labor_Cost_Per_Unit]</f>
        <v>56.49</v>
      </c>
      <c r="H261">
        <f>tblComponents[Contribution_Per_Unit]</f>
        <v>425.96</v>
      </c>
      <c r="I261">
        <f>tblComponents[Contribution_Margin]</f>
        <v>0.20499999999999999</v>
      </c>
      <c r="J261">
        <f>tblComponents[Actual_Cycle_Time_Min]/60</f>
        <v>7.5166666666666659E-2</v>
      </c>
      <c r="K261">
        <f t="shared" si="27"/>
        <v>5666.8736141906875</v>
      </c>
      <c r="L261">
        <f>H261*tblComponents[Planned_Production_or_Procurement]</f>
        <v>1435911.16</v>
      </c>
      <c r="M261">
        <f t="shared" si="28"/>
        <v>82</v>
      </c>
      <c r="N261" t="str">
        <f t="shared" si="29"/>
        <v>Medium Economic Priority</v>
      </c>
      <c r="O261" t="str">
        <f>tblComponents[Criticality]</f>
        <v>High</v>
      </c>
      <c r="P261">
        <f>tblComponents[Planned_Production_or_Procurement]</f>
        <v>3371</v>
      </c>
      <c r="Q261">
        <f t="shared" si="30"/>
        <v>253.3868333333333</v>
      </c>
      <c r="R261" t="str">
        <f t="shared" si="31"/>
        <v>High</v>
      </c>
      <c r="S261" t="str">
        <f t="shared" si="32"/>
        <v>High Priority</v>
      </c>
    </row>
    <row r="262" spans="1:19" x14ac:dyDescent="0.35">
      <c r="A262" s="12" t="str">
        <f>tblComponents[Component_ID]</f>
        <v>C261</v>
      </c>
      <c r="B262" s="12" t="str">
        <f>tblComponents[Component_Name]</f>
        <v>Component 261</v>
      </c>
      <c r="C262" t="str">
        <f>tblComponents[Sourcing_Type]</f>
        <v>Make</v>
      </c>
      <c r="D262">
        <f>tblComponents[Forecast_Demand]</f>
        <v>893</v>
      </c>
      <c r="E262">
        <f>tblComponents[Selling_Price_Per_Unit]</f>
        <v>2869.49</v>
      </c>
      <c r="F262">
        <f>tblComponents[Variable_Cost_Per_Unit]</f>
        <v>2187.61</v>
      </c>
      <c r="G262">
        <f>tblComponents[Direct_Labor_Cost_Per_Unit]</f>
        <v>80.430000000000007</v>
      </c>
      <c r="H262">
        <f>tblComponents[Contribution_Per_Unit]</f>
        <v>681.88</v>
      </c>
      <c r="I262">
        <f>tblComponents[Contribution_Margin]</f>
        <v>0.23760000000000001</v>
      </c>
      <c r="J262">
        <f>tblComponents[Actual_Cycle_Time_Min]/60</f>
        <v>0.26200000000000001</v>
      </c>
      <c r="K262">
        <f t="shared" si="27"/>
        <v>2602.5954198473282</v>
      </c>
      <c r="L262">
        <f>H262*tblComponents[Planned_Production_or_Procurement]</f>
        <v>1616737.48</v>
      </c>
      <c r="M262">
        <f t="shared" si="28"/>
        <v>185</v>
      </c>
      <c r="N262" t="str">
        <f t="shared" si="29"/>
        <v>Low Economic Priority</v>
      </c>
      <c r="O262" t="str">
        <f>tblComponents[Criticality]</f>
        <v>Medium</v>
      </c>
      <c r="P262">
        <f>tblComponents[Planned_Production_or_Procurement]</f>
        <v>2371</v>
      </c>
      <c r="Q262">
        <f t="shared" si="30"/>
        <v>621.202</v>
      </c>
      <c r="R262" t="str">
        <f t="shared" si="31"/>
        <v>Medium</v>
      </c>
      <c r="S262" t="str">
        <f t="shared" si="32"/>
        <v>Medium Priority</v>
      </c>
    </row>
    <row r="263" spans="1:19" x14ac:dyDescent="0.35">
      <c r="A263" s="12" t="str">
        <f>tblComponents[Component_ID]</f>
        <v>C262</v>
      </c>
      <c r="B263" s="12" t="str">
        <f>tblComponents[Component_Name]</f>
        <v>Component 262</v>
      </c>
      <c r="C263" t="str">
        <f>tblComponents[Sourcing_Type]</f>
        <v>Make</v>
      </c>
      <c r="D263">
        <f>tblComponents[Forecast_Demand]</f>
        <v>971</v>
      </c>
      <c r="E263">
        <f>tblComponents[Selling_Price_Per_Unit]</f>
        <v>2931.26</v>
      </c>
      <c r="F263">
        <f>tblComponents[Variable_Cost_Per_Unit]</f>
        <v>2218.5700000000002</v>
      </c>
      <c r="G263">
        <f>tblComponents[Direct_Labor_Cost_Per_Unit]</f>
        <v>91.86</v>
      </c>
      <c r="H263">
        <f>tblComponents[Contribution_Per_Unit]</f>
        <v>712.69</v>
      </c>
      <c r="I263">
        <f>tblComponents[Contribution_Margin]</f>
        <v>0.24310000000000001</v>
      </c>
      <c r="J263">
        <f>tblComponents[Actual_Cycle_Time_Min]/60</f>
        <v>0.152</v>
      </c>
      <c r="K263">
        <f t="shared" si="27"/>
        <v>4688.7500000000009</v>
      </c>
      <c r="L263">
        <f>H263*tblComponents[Planned_Production_or_Procurement]</f>
        <v>4613242.37</v>
      </c>
      <c r="M263">
        <f t="shared" si="28"/>
        <v>111</v>
      </c>
      <c r="N263" t="str">
        <f t="shared" si="29"/>
        <v>Medium Economic Priority</v>
      </c>
      <c r="O263" t="str">
        <f>tblComponents[Criticality]</f>
        <v>High</v>
      </c>
      <c r="P263">
        <f>tblComponents[Planned_Production_or_Procurement]</f>
        <v>6473</v>
      </c>
      <c r="Q263">
        <f t="shared" si="30"/>
        <v>983.89599999999996</v>
      </c>
      <c r="R263" t="str">
        <f t="shared" si="31"/>
        <v>High</v>
      </c>
      <c r="S263" t="str">
        <f t="shared" si="32"/>
        <v>High Priority</v>
      </c>
    </row>
    <row r="264" spans="1:19" x14ac:dyDescent="0.35">
      <c r="A264" s="12" t="str">
        <f>tblComponents[Component_ID]</f>
        <v>C263</v>
      </c>
      <c r="B264" s="12" t="str">
        <f>tblComponents[Component_Name]</f>
        <v>Component 263</v>
      </c>
      <c r="C264" t="str">
        <f>tblComponents[Sourcing_Type]</f>
        <v>Make</v>
      </c>
      <c r="D264">
        <f>tblComponents[Forecast_Demand]</f>
        <v>1742</v>
      </c>
      <c r="E264">
        <f>tblComponents[Selling_Price_Per_Unit]</f>
        <v>1510.85</v>
      </c>
      <c r="F264">
        <f>tblComponents[Variable_Cost_Per_Unit]</f>
        <v>1258.27</v>
      </c>
      <c r="G264">
        <f>tblComponents[Direct_Labor_Cost_Per_Unit]</f>
        <v>8.26</v>
      </c>
      <c r="H264">
        <f>tblComponents[Contribution_Per_Unit]</f>
        <v>252.58</v>
      </c>
      <c r="I264">
        <f>tblComponents[Contribution_Margin]</f>
        <v>0.16719999999999999</v>
      </c>
      <c r="J264">
        <f>tblComponents[Actual_Cycle_Time_Min]/60</f>
        <v>4.8666666666666664E-2</v>
      </c>
      <c r="K264">
        <f t="shared" si="27"/>
        <v>5190.0000000000009</v>
      </c>
      <c r="L264">
        <f>H264*tblComponents[Planned_Production_or_Procurement]</f>
        <v>1531139.96</v>
      </c>
      <c r="M264">
        <f t="shared" si="28"/>
        <v>92</v>
      </c>
      <c r="N264" t="str">
        <f t="shared" si="29"/>
        <v>Medium Economic Priority</v>
      </c>
      <c r="O264" t="str">
        <f>tblComponents[Criticality]</f>
        <v>High</v>
      </c>
      <c r="P264">
        <f>tblComponents[Planned_Production_or_Procurement]</f>
        <v>6062</v>
      </c>
      <c r="Q264">
        <f t="shared" si="30"/>
        <v>295.01733333333334</v>
      </c>
      <c r="R264" t="str">
        <f t="shared" si="31"/>
        <v>High</v>
      </c>
      <c r="S264" t="str">
        <f t="shared" si="32"/>
        <v>High Priority</v>
      </c>
    </row>
    <row r="265" spans="1:19" x14ac:dyDescent="0.35">
      <c r="A265" s="12" t="str">
        <f>tblComponents[Component_ID]</f>
        <v>C264</v>
      </c>
      <c r="B265" s="12" t="str">
        <f>tblComponents[Component_Name]</f>
        <v>Component 264</v>
      </c>
      <c r="C265" t="str">
        <f>tblComponents[Sourcing_Type]</f>
        <v>Make</v>
      </c>
      <c r="D265">
        <f>tblComponents[Forecast_Demand]</f>
        <v>1297</v>
      </c>
      <c r="E265">
        <f>tblComponents[Selling_Price_Per_Unit]</f>
        <v>830.38</v>
      </c>
      <c r="F265">
        <f>tblComponents[Variable_Cost_Per_Unit]</f>
        <v>629.1</v>
      </c>
      <c r="G265">
        <f>tblComponents[Direct_Labor_Cost_Per_Unit]</f>
        <v>3.82</v>
      </c>
      <c r="H265">
        <f>tblComponents[Contribution_Per_Unit]</f>
        <v>201.28</v>
      </c>
      <c r="I265">
        <f>tblComponents[Contribution_Margin]</f>
        <v>0.2424</v>
      </c>
      <c r="J265">
        <f>tblComponents[Actual_Cycle_Time_Min]/60</f>
        <v>2.6500000000000003E-2</v>
      </c>
      <c r="K265">
        <f t="shared" si="27"/>
        <v>7595.4716981132069</v>
      </c>
      <c r="L265">
        <f>H265*tblComponents[Planned_Production_or_Procurement]</f>
        <v>1404330.56</v>
      </c>
      <c r="M265">
        <f t="shared" si="28"/>
        <v>52</v>
      </c>
      <c r="N265" t="str">
        <f t="shared" si="29"/>
        <v>High Economic Priority</v>
      </c>
      <c r="O265" t="str">
        <f>tblComponents[Criticality]</f>
        <v>Medium</v>
      </c>
      <c r="P265">
        <f>tblComponents[Planned_Production_or_Procurement]</f>
        <v>6977</v>
      </c>
      <c r="Q265">
        <f t="shared" si="30"/>
        <v>184.89050000000003</v>
      </c>
      <c r="R265" t="str">
        <f t="shared" si="31"/>
        <v>Medium</v>
      </c>
      <c r="S265" t="str">
        <f t="shared" si="32"/>
        <v>High Priority</v>
      </c>
    </row>
    <row r="266" spans="1:19" x14ac:dyDescent="0.35">
      <c r="A266" s="12" t="str">
        <f>tblComponents[Component_ID]</f>
        <v>C265</v>
      </c>
      <c r="B266" s="12" t="str">
        <f>tblComponents[Component_Name]</f>
        <v>Component 265</v>
      </c>
      <c r="C266" t="str">
        <f>tblComponents[Sourcing_Type]</f>
        <v>Make</v>
      </c>
      <c r="D266">
        <f>tblComponents[Forecast_Demand]</f>
        <v>2127</v>
      </c>
      <c r="E266">
        <f>tblComponents[Selling_Price_Per_Unit]</f>
        <v>405.4</v>
      </c>
      <c r="F266">
        <f>tblComponents[Variable_Cost_Per_Unit]</f>
        <v>297.54000000000002</v>
      </c>
      <c r="G266">
        <f>tblComponents[Direct_Labor_Cost_Per_Unit]</f>
        <v>5.53</v>
      </c>
      <c r="H266">
        <f>tblComponents[Contribution_Per_Unit]</f>
        <v>107.86</v>
      </c>
      <c r="I266">
        <f>tblComponents[Contribution_Margin]</f>
        <v>0.2661</v>
      </c>
      <c r="J266">
        <f>tblComponents[Actual_Cycle_Time_Min]/60</f>
        <v>6.2333333333333338E-2</v>
      </c>
      <c r="K266">
        <f t="shared" si="27"/>
        <v>1730.374331550802</v>
      </c>
      <c r="L266">
        <f>H266*tblComponents[Planned_Production_or_Procurement]</f>
        <v>144316.68</v>
      </c>
      <c r="M266">
        <f t="shared" si="28"/>
        <v>242</v>
      </c>
      <c r="N266" t="str">
        <f t="shared" si="29"/>
        <v>Low Economic Priority</v>
      </c>
      <c r="O266" t="str">
        <f>tblComponents[Criticality]</f>
        <v>Medium</v>
      </c>
      <c r="P266">
        <f>tblComponents[Planned_Production_or_Procurement]</f>
        <v>1338</v>
      </c>
      <c r="Q266">
        <f t="shared" si="30"/>
        <v>83.402000000000001</v>
      </c>
      <c r="R266" t="str">
        <f t="shared" si="31"/>
        <v>Medium</v>
      </c>
      <c r="S266" t="str">
        <f t="shared" si="32"/>
        <v>Medium Priority</v>
      </c>
    </row>
    <row r="267" spans="1:19" x14ac:dyDescent="0.35">
      <c r="A267" s="12" t="str">
        <f>tblComponents[Component_ID]</f>
        <v>C266</v>
      </c>
      <c r="B267" s="12" t="str">
        <f>tblComponents[Component_Name]</f>
        <v>Component 266</v>
      </c>
      <c r="C267" t="str">
        <f>tblComponents[Sourcing_Type]</f>
        <v>Make</v>
      </c>
      <c r="D267">
        <f>tblComponents[Forecast_Demand]</f>
        <v>151</v>
      </c>
      <c r="E267">
        <f>tblComponents[Selling_Price_Per_Unit]</f>
        <v>622.46</v>
      </c>
      <c r="F267">
        <f>tblComponents[Variable_Cost_Per_Unit]</f>
        <v>416.62</v>
      </c>
      <c r="G267">
        <f>tblComponents[Direct_Labor_Cost_Per_Unit]</f>
        <v>14.65</v>
      </c>
      <c r="H267">
        <f>tblComponents[Contribution_Per_Unit]</f>
        <v>205.84</v>
      </c>
      <c r="I267">
        <f>tblComponents[Contribution_Margin]</f>
        <v>0.33069999999999999</v>
      </c>
      <c r="J267">
        <f>tblComponents[Actual_Cycle_Time_Min]/60</f>
        <v>0.10716666666666666</v>
      </c>
      <c r="K267">
        <f t="shared" si="27"/>
        <v>1920.7465007776052</v>
      </c>
      <c r="L267">
        <f>H267*tblComponents[Planned_Production_or_Procurement]</f>
        <v>681330.4</v>
      </c>
      <c r="M267">
        <f t="shared" si="28"/>
        <v>228</v>
      </c>
      <c r="N267" t="str">
        <f t="shared" si="29"/>
        <v>Low Economic Priority</v>
      </c>
      <c r="O267" t="str">
        <f>tblComponents[Criticality]</f>
        <v>Medium</v>
      </c>
      <c r="P267">
        <f>tblComponents[Planned_Production_or_Procurement]</f>
        <v>3310</v>
      </c>
      <c r="Q267">
        <f t="shared" si="30"/>
        <v>354.72166666666664</v>
      </c>
      <c r="R267" t="str">
        <f t="shared" si="31"/>
        <v>Medium</v>
      </c>
      <c r="S267" t="str">
        <f t="shared" si="32"/>
        <v>Medium Priority</v>
      </c>
    </row>
    <row r="268" spans="1:19" x14ac:dyDescent="0.35">
      <c r="A268" s="12" t="str">
        <f>tblComponents[Component_ID]</f>
        <v>C267</v>
      </c>
      <c r="B268" s="12" t="str">
        <f>tblComponents[Component_Name]</f>
        <v>Component 267</v>
      </c>
      <c r="C268" t="str">
        <f>tblComponents[Sourcing_Type]</f>
        <v>Make</v>
      </c>
      <c r="D268">
        <f>tblComponents[Forecast_Demand]</f>
        <v>904</v>
      </c>
      <c r="E268">
        <f>tblComponents[Selling_Price_Per_Unit]</f>
        <v>3298.89</v>
      </c>
      <c r="F268">
        <f>tblComponents[Variable_Cost_Per_Unit]</f>
        <v>2262.44</v>
      </c>
      <c r="G268">
        <f>tblComponents[Direct_Labor_Cost_Per_Unit]</f>
        <v>40.89</v>
      </c>
      <c r="H268">
        <f>tblComponents[Contribution_Per_Unit]</f>
        <v>1036.45</v>
      </c>
      <c r="I268">
        <f>tblComponents[Contribution_Margin]</f>
        <v>0.31419999999999998</v>
      </c>
      <c r="J268">
        <f>tblComponents[Actual_Cycle_Time_Min]/60</f>
        <v>0.23883333333333334</v>
      </c>
      <c r="K268">
        <f t="shared" si="27"/>
        <v>4339.6371249127706</v>
      </c>
      <c r="L268">
        <f>H268*tblComponents[Planned_Production_or_Procurement]</f>
        <v>2690624.2</v>
      </c>
      <c r="M268">
        <f t="shared" si="28"/>
        <v>125</v>
      </c>
      <c r="N268" t="str">
        <f t="shared" si="29"/>
        <v>Medium Economic Priority</v>
      </c>
      <c r="O268" t="str">
        <f>tblComponents[Criticality]</f>
        <v>Medium</v>
      </c>
      <c r="P268">
        <f>tblComponents[Planned_Production_or_Procurement]</f>
        <v>2596</v>
      </c>
      <c r="Q268">
        <f t="shared" si="30"/>
        <v>620.01133333333337</v>
      </c>
      <c r="R268" t="str">
        <f t="shared" si="31"/>
        <v>Medium</v>
      </c>
      <c r="S268" t="str">
        <f t="shared" si="32"/>
        <v>Medium Priority</v>
      </c>
    </row>
    <row r="269" spans="1:19" x14ac:dyDescent="0.35">
      <c r="A269" s="12" t="str">
        <f>tblComponents[Component_ID]</f>
        <v>C268</v>
      </c>
      <c r="B269" s="12" t="str">
        <f>tblComponents[Component_Name]</f>
        <v>Component 268</v>
      </c>
      <c r="C269" t="str">
        <f>tblComponents[Sourcing_Type]</f>
        <v>Make</v>
      </c>
      <c r="D269">
        <f>tblComponents[Forecast_Demand]</f>
        <v>304</v>
      </c>
      <c r="E269">
        <f>tblComponents[Selling_Price_Per_Unit]</f>
        <v>1544.33</v>
      </c>
      <c r="F269">
        <f>tblComponents[Variable_Cost_Per_Unit]</f>
        <v>1039.04</v>
      </c>
      <c r="G269">
        <f>tblComponents[Direct_Labor_Cost_Per_Unit]</f>
        <v>20.329999999999998</v>
      </c>
      <c r="H269">
        <f>tblComponents[Contribution_Per_Unit]</f>
        <v>505.29</v>
      </c>
      <c r="I269">
        <f>tblComponents[Contribution_Margin]</f>
        <v>0.32719999999999999</v>
      </c>
      <c r="J269">
        <f>tblComponents[Actual_Cycle_Time_Min]/60</f>
        <v>0.10066666666666667</v>
      </c>
      <c r="K269">
        <f t="shared" si="27"/>
        <v>5019.4370860927156</v>
      </c>
      <c r="L269">
        <f>H269*tblComponents[Planned_Production_or_Procurement]</f>
        <v>454761</v>
      </c>
      <c r="M269">
        <f t="shared" si="28"/>
        <v>98</v>
      </c>
      <c r="N269" t="str">
        <f t="shared" si="29"/>
        <v>Medium Economic Priority</v>
      </c>
      <c r="O269" t="str">
        <f>tblComponents[Criticality]</f>
        <v>Medium</v>
      </c>
      <c r="P269">
        <f>tblComponents[Planned_Production_or_Procurement]</f>
        <v>900</v>
      </c>
      <c r="Q269">
        <f t="shared" si="30"/>
        <v>90.6</v>
      </c>
      <c r="R269" t="str">
        <f t="shared" si="31"/>
        <v>Medium</v>
      </c>
      <c r="S269" t="str">
        <f t="shared" si="32"/>
        <v>Medium Priority</v>
      </c>
    </row>
    <row r="270" spans="1:19" x14ac:dyDescent="0.35">
      <c r="A270" s="12" t="str">
        <f>tblComponents[Component_ID]</f>
        <v>C269</v>
      </c>
      <c r="B270" s="12" t="str">
        <f>tblComponents[Component_Name]</f>
        <v>Component 269</v>
      </c>
      <c r="C270" t="str">
        <f>tblComponents[Sourcing_Type]</f>
        <v>Make</v>
      </c>
      <c r="D270">
        <f>tblComponents[Forecast_Demand]</f>
        <v>1534</v>
      </c>
      <c r="E270">
        <f>tblComponents[Selling_Price_Per_Unit]</f>
        <v>1506.94</v>
      </c>
      <c r="F270">
        <f>tblComponents[Variable_Cost_Per_Unit]</f>
        <v>1277.75</v>
      </c>
      <c r="G270">
        <f>tblComponents[Direct_Labor_Cost_Per_Unit]</f>
        <v>33.83</v>
      </c>
      <c r="H270">
        <f>tblComponents[Contribution_Per_Unit]</f>
        <v>229.19</v>
      </c>
      <c r="I270">
        <f>tblComponents[Contribution_Margin]</f>
        <v>0.15210000000000001</v>
      </c>
      <c r="J270">
        <f>tblComponents[Actual_Cycle_Time_Min]/60</f>
        <v>3.6833333333333336E-2</v>
      </c>
      <c r="K270">
        <f t="shared" si="27"/>
        <v>6222.3529411764703</v>
      </c>
      <c r="L270">
        <f>H270*tblComponents[Planned_Production_or_Procurement]</f>
        <v>820500.2</v>
      </c>
      <c r="M270">
        <f t="shared" si="28"/>
        <v>71</v>
      </c>
      <c r="N270" t="str">
        <f t="shared" si="29"/>
        <v>High Economic Priority</v>
      </c>
      <c r="O270" t="str">
        <f>tblComponents[Criticality]</f>
        <v>Medium</v>
      </c>
      <c r="P270">
        <f>tblComponents[Planned_Production_or_Procurement]</f>
        <v>3580</v>
      </c>
      <c r="Q270">
        <f t="shared" si="30"/>
        <v>131.86333333333334</v>
      </c>
      <c r="R270" t="str">
        <f t="shared" si="31"/>
        <v>Medium</v>
      </c>
      <c r="S270" t="str">
        <f t="shared" si="32"/>
        <v>High Priority</v>
      </c>
    </row>
    <row r="271" spans="1:19" x14ac:dyDescent="0.35">
      <c r="A271" s="12" t="str">
        <f>tblComponents[Component_ID]</f>
        <v>C270</v>
      </c>
      <c r="B271" s="12" t="str">
        <f>tblComponents[Component_Name]</f>
        <v>Component 270</v>
      </c>
      <c r="C271" t="str">
        <f>tblComponents[Sourcing_Type]</f>
        <v>Make</v>
      </c>
      <c r="D271">
        <f>tblComponents[Forecast_Demand]</f>
        <v>729</v>
      </c>
      <c r="E271">
        <f>tblComponents[Selling_Price_Per_Unit]</f>
        <v>1910.72</v>
      </c>
      <c r="F271">
        <f>tblComponents[Variable_Cost_Per_Unit]</f>
        <v>1520.14</v>
      </c>
      <c r="G271">
        <f>tblComponents[Direct_Labor_Cost_Per_Unit]</f>
        <v>23.38</v>
      </c>
      <c r="H271">
        <f>tblComponents[Contribution_Per_Unit]</f>
        <v>390.58</v>
      </c>
      <c r="I271">
        <f>tblComponents[Contribution_Margin]</f>
        <v>0.2044</v>
      </c>
      <c r="J271">
        <f>tblComponents[Actual_Cycle_Time_Min]/60</f>
        <v>0.17216666666666666</v>
      </c>
      <c r="K271">
        <f t="shared" si="27"/>
        <v>2268.6156824782188</v>
      </c>
      <c r="L271">
        <f>H271*tblComponents[Planned_Production_or_Procurement]</f>
        <v>735071.55999999994</v>
      </c>
      <c r="M271">
        <f t="shared" si="28"/>
        <v>206</v>
      </c>
      <c r="N271" t="str">
        <f t="shared" si="29"/>
        <v>Low Economic Priority</v>
      </c>
      <c r="O271" t="str">
        <f>tblComponents[Criticality]</f>
        <v>Medium</v>
      </c>
      <c r="P271">
        <f>tblComponents[Planned_Production_or_Procurement]</f>
        <v>1882</v>
      </c>
      <c r="Q271">
        <f t="shared" si="30"/>
        <v>324.01766666666668</v>
      </c>
      <c r="R271" t="str">
        <f t="shared" si="31"/>
        <v>Medium</v>
      </c>
      <c r="S271" t="str">
        <f t="shared" si="32"/>
        <v>Medium Priority</v>
      </c>
    </row>
    <row r="272" spans="1:19" x14ac:dyDescent="0.35">
      <c r="A272" s="12" t="str">
        <f>tblComponents[Component_ID]</f>
        <v>C271</v>
      </c>
      <c r="B272" s="12" t="str">
        <f>tblComponents[Component_Name]</f>
        <v>Component 271</v>
      </c>
      <c r="C272" t="str">
        <f>tblComponents[Sourcing_Type]</f>
        <v>Make</v>
      </c>
      <c r="D272">
        <f>tblComponents[Forecast_Demand]</f>
        <v>203</v>
      </c>
      <c r="E272">
        <f>tblComponents[Selling_Price_Per_Unit]</f>
        <v>3533.28</v>
      </c>
      <c r="F272">
        <f>tblComponents[Variable_Cost_Per_Unit]</f>
        <v>2418.81</v>
      </c>
      <c r="G272">
        <f>tblComponents[Direct_Labor_Cost_Per_Unit]</f>
        <v>195.85</v>
      </c>
      <c r="H272">
        <f>tblComponents[Contribution_Per_Unit]</f>
        <v>1114.47</v>
      </c>
      <c r="I272">
        <f>tblComponents[Contribution_Margin]</f>
        <v>0.31540000000000001</v>
      </c>
      <c r="J272">
        <f>tblComponents[Actual_Cycle_Time_Min]/60</f>
        <v>0.442</v>
      </c>
      <c r="K272">
        <f t="shared" si="27"/>
        <v>2521.4253393665158</v>
      </c>
      <c r="L272">
        <f>H272*tblComponents[Planned_Production_or_Procurement]</f>
        <v>1204742.07</v>
      </c>
      <c r="M272">
        <f t="shared" si="28"/>
        <v>191</v>
      </c>
      <c r="N272" t="str">
        <f t="shared" si="29"/>
        <v>Low Economic Priority</v>
      </c>
      <c r="O272" t="str">
        <f>tblComponents[Criticality]</f>
        <v>Medium</v>
      </c>
      <c r="P272">
        <f>tblComponents[Planned_Production_or_Procurement]</f>
        <v>1081</v>
      </c>
      <c r="Q272">
        <f t="shared" si="30"/>
        <v>477.80200000000002</v>
      </c>
      <c r="R272" t="str">
        <f t="shared" si="31"/>
        <v>Medium</v>
      </c>
      <c r="S272" t="str">
        <f t="shared" si="32"/>
        <v>Medium Priority</v>
      </c>
    </row>
    <row r="273" spans="1:19" x14ac:dyDescent="0.35">
      <c r="A273" s="12" t="str">
        <f>tblComponents[Component_ID]</f>
        <v>C272</v>
      </c>
      <c r="B273" s="12" t="str">
        <f>tblComponents[Component_Name]</f>
        <v>Component 272</v>
      </c>
      <c r="C273" t="str">
        <f>tblComponents[Sourcing_Type]</f>
        <v>Make</v>
      </c>
      <c r="D273">
        <f>tblComponents[Forecast_Demand]</f>
        <v>785</v>
      </c>
      <c r="E273">
        <f>tblComponents[Selling_Price_Per_Unit]</f>
        <v>2690.83</v>
      </c>
      <c r="F273">
        <f>tblComponents[Variable_Cost_Per_Unit]</f>
        <v>1961.62</v>
      </c>
      <c r="G273">
        <f>tblComponents[Direct_Labor_Cost_Per_Unit]</f>
        <v>42.34</v>
      </c>
      <c r="H273">
        <f>tblComponents[Contribution_Per_Unit]</f>
        <v>729.21</v>
      </c>
      <c r="I273">
        <f>tblComponents[Contribution_Margin]</f>
        <v>0.27100000000000002</v>
      </c>
      <c r="J273">
        <f>tblComponents[Actual_Cycle_Time_Min]/60</f>
        <v>0.38583333333333331</v>
      </c>
      <c r="K273">
        <f t="shared" si="27"/>
        <v>1889.9611231101514</v>
      </c>
      <c r="L273">
        <f>H273*tblComponents[Planned_Production_or_Procurement]</f>
        <v>857550.96000000008</v>
      </c>
      <c r="M273">
        <f t="shared" si="28"/>
        <v>232</v>
      </c>
      <c r="N273" t="str">
        <f t="shared" si="29"/>
        <v>Low Economic Priority</v>
      </c>
      <c r="O273" t="str">
        <f>tblComponents[Criticality]</f>
        <v>Low</v>
      </c>
      <c r="P273">
        <f>tblComponents[Planned_Production_or_Procurement]</f>
        <v>1176</v>
      </c>
      <c r="Q273">
        <f t="shared" si="30"/>
        <v>453.73999999999995</v>
      </c>
      <c r="R273" t="str">
        <f t="shared" si="31"/>
        <v>Low</v>
      </c>
      <c r="S273" t="str">
        <f t="shared" si="32"/>
        <v>Low Priority</v>
      </c>
    </row>
    <row r="274" spans="1:19" x14ac:dyDescent="0.35">
      <c r="A274" s="12" t="str">
        <f>tblComponents[Component_ID]</f>
        <v>C273</v>
      </c>
      <c r="B274" s="12" t="str">
        <f>tblComponents[Component_Name]</f>
        <v>Component 273</v>
      </c>
      <c r="C274" t="str">
        <f>tblComponents[Sourcing_Type]</f>
        <v>Make</v>
      </c>
      <c r="D274">
        <f>tblComponents[Forecast_Demand]</f>
        <v>898</v>
      </c>
      <c r="E274">
        <f>tblComponents[Selling_Price_Per_Unit]</f>
        <v>806.11</v>
      </c>
      <c r="F274">
        <f>tblComponents[Variable_Cost_Per_Unit]</f>
        <v>684.12</v>
      </c>
      <c r="G274">
        <f>tblComponents[Direct_Labor_Cost_Per_Unit]</f>
        <v>24.64</v>
      </c>
      <c r="H274">
        <f>tblComponents[Contribution_Per_Unit]</f>
        <v>121.99</v>
      </c>
      <c r="I274">
        <f>tblComponents[Contribution_Margin]</f>
        <v>0.15129999999999999</v>
      </c>
      <c r="J274">
        <f>tblComponents[Actual_Cycle_Time_Min]/60</f>
        <v>0.186</v>
      </c>
      <c r="K274">
        <f t="shared" si="27"/>
        <v>655.86021505376345</v>
      </c>
      <c r="L274">
        <f>H274*tblComponents[Planned_Production_or_Procurement]</f>
        <v>246297.81</v>
      </c>
      <c r="M274">
        <f t="shared" si="28"/>
        <v>299</v>
      </c>
      <c r="N274" t="str">
        <f t="shared" si="29"/>
        <v>Low Economic Priority</v>
      </c>
      <c r="O274" t="str">
        <f>tblComponents[Criticality]</f>
        <v>Medium</v>
      </c>
      <c r="P274">
        <f>tblComponents[Planned_Production_or_Procurement]</f>
        <v>2019</v>
      </c>
      <c r="Q274">
        <f t="shared" si="30"/>
        <v>375.53399999999999</v>
      </c>
      <c r="R274" t="str">
        <f t="shared" si="31"/>
        <v>Medium</v>
      </c>
      <c r="S274" t="str">
        <f t="shared" si="32"/>
        <v>Medium Priority</v>
      </c>
    </row>
    <row r="275" spans="1:19" x14ac:dyDescent="0.35">
      <c r="A275" s="12" t="str">
        <f>tblComponents[Component_ID]</f>
        <v>C274</v>
      </c>
      <c r="B275" s="12" t="str">
        <f>tblComponents[Component_Name]</f>
        <v>Component 274</v>
      </c>
      <c r="C275" t="str">
        <f>tblComponents[Sourcing_Type]</f>
        <v>Make</v>
      </c>
      <c r="D275">
        <f>tblComponents[Forecast_Demand]</f>
        <v>1717</v>
      </c>
      <c r="E275">
        <f>tblComponents[Selling_Price_Per_Unit]</f>
        <v>1008.67</v>
      </c>
      <c r="F275">
        <f>tblComponents[Variable_Cost_Per_Unit]</f>
        <v>654.5</v>
      </c>
      <c r="G275">
        <f>tblComponents[Direct_Labor_Cost_Per_Unit]</f>
        <v>44.75</v>
      </c>
      <c r="H275">
        <f>tblComponents[Contribution_Per_Unit]</f>
        <v>354.17</v>
      </c>
      <c r="I275">
        <f>tblComponents[Contribution_Margin]</f>
        <v>0.35110000000000002</v>
      </c>
      <c r="J275">
        <f>tblComponents[Actual_Cycle_Time_Min]/60</f>
        <v>0.22383333333333333</v>
      </c>
      <c r="K275">
        <f t="shared" si="27"/>
        <v>1582.2933730454208</v>
      </c>
      <c r="L275">
        <f>H275*tblComponents[Planned_Production_or_Procurement]</f>
        <v>774569.79</v>
      </c>
      <c r="M275">
        <f t="shared" si="28"/>
        <v>251</v>
      </c>
      <c r="N275" t="str">
        <f t="shared" si="29"/>
        <v>Low Economic Priority</v>
      </c>
      <c r="O275" t="str">
        <f>tblComponents[Criticality]</f>
        <v>Critical</v>
      </c>
      <c r="P275">
        <f>tblComponents[Planned_Production_or_Procurement]</f>
        <v>2187</v>
      </c>
      <c r="Q275">
        <f t="shared" si="30"/>
        <v>489.52350000000001</v>
      </c>
      <c r="R275" t="str">
        <f t="shared" si="31"/>
        <v>Critical</v>
      </c>
      <c r="S275" t="str">
        <f t="shared" si="32"/>
        <v>Critical Priority</v>
      </c>
    </row>
    <row r="276" spans="1:19" x14ac:dyDescent="0.35">
      <c r="A276" s="12" t="str">
        <f>tblComponents[Component_ID]</f>
        <v>C275</v>
      </c>
      <c r="B276" s="12" t="str">
        <f>tblComponents[Component_Name]</f>
        <v>Component 275</v>
      </c>
      <c r="C276" t="str">
        <f>tblComponents[Sourcing_Type]</f>
        <v>Make</v>
      </c>
      <c r="D276">
        <f>tblComponents[Forecast_Demand]</f>
        <v>1007</v>
      </c>
      <c r="E276">
        <f>tblComponents[Selling_Price_Per_Unit]</f>
        <v>882.89</v>
      </c>
      <c r="F276">
        <f>tblComponents[Variable_Cost_Per_Unit]</f>
        <v>579.88</v>
      </c>
      <c r="G276">
        <f>tblComponents[Direct_Labor_Cost_Per_Unit]</f>
        <v>57.81</v>
      </c>
      <c r="H276">
        <f>tblComponents[Contribution_Per_Unit]</f>
        <v>303.01</v>
      </c>
      <c r="I276">
        <f>tblComponents[Contribution_Margin]</f>
        <v>0.34320000000000001</v>
      </c>
      <c r="J276">
        <f>tblComponents[Actual_Cycle_Time_Min]/60</f>
        <v>7.4333333333333335E-2</v>
      </c>
      <c r="K276">
        <f t="shared" si="27"/>
        <v>4076.3677130044839</v>
      </c>
      <c r="L276">
        <f>H276*tblComponents[Planned_Production_or_Procurement]</f>
        <v>1487779.0999999999</v>
      </c>
      <c r="M276">
        <f t="shared" si="28"/>
        <v>132</v>
      </c>
      <c r="N276" t="str">
        <f t="shared" si="29"/>
        <v>Medium Economic Priority</v>
      </c>
      <c r="O276" t="str">
        <f>tblComponents[Criticality]</f>
        <v>Low</v>
      </c>
      <c r="P276">
        <f>tblComponents[Planned_Production_or_Procurement]</f>
        <v>4910</v>
      </c>
      <c r="Q276">
        <f t="shared" si="30"/>
        <v>364.97666666666669</v>
      </c>
      <c r="R276" t="str">
        <f t="shared" si="31"/>
        <v>Low</v>
      </c>
      <c r="S276" t="str">
        <f t="shared" si="32"/>
        <v>Medium Priority</v>
      </c>
    </row>
    <row r="277" spans="1:19" x14ac:dyDescent="0.35">
      <c r="A277" s="12" t="str">
        <f>tblComponents[Component_ID]</f>
        <v>C276</v>
      </c>
      <c r="B277" s="12" t="str">
        <f>tblComponents[Component_Name]</f>
        <v>Component 276</v>
      </c>
      <c r="C277" t="str">
        <f>tblComponents[Sourcing_Type]</f>
        <v>Make</v>
      </c>
      <c r="D277">
        <f>tblComponents[Forecast_Demand]</f>
        <v>1234</v>
      </c>
      <c r="E277">
        <f>tblComponents[Selling_Price_Per_Unit]</f>
        <v>1807.08</v>
      </c>
      <c r="F277">
        <f>tblComponents[Variable_Cost_Per_Unit]</f>
        <v>1288.26</v>
      </c>
      <c r="G277">
        <f>tblComponents[Direct_Labor_Cost_Per_Unit]</f>
        <v>37.56</v>
      </c>
      <c r="H277">
        <f>tblComponents[Contribution_Per_Unit]</f>
        <v>518.82000000000005</v>
      </c>
      <c r="I277">
        <f>tblComponents[Contribution_Margin]</f>
        <v>0.28710000000000002</v>
      </c>
      <c r="J277">
        <f>tblComponents[Actual_Cycle_Time_Min]/60</f>
        <v>7.400000000000001E-2</v>
      </c>
      <c r="K277">
        <f t="shared" si="27"/>
        <v>7011.0810810810808</v>
      </c>
      <c r="L277">
        <f>H277*tblComponents[Planned_Production_or_Procurement]</f>
        <v>3800875.3200000003</v>
      </c>
      <c r="M277">
        <f t="shared" si="28"/>
        <v>59</v>
      </c>
      <c r="N277" t="str">
        <f t="shared" si="29"/>
        <v>High Economic Priority</v>
      </c>
      <c r="O277" t="str">
        <f>tblComponents[Criticality]</f>
        <v>Medium</v>
      </c>
      <c r="P277">
        <f>tblComponents[Planned_Production_or_Procurement]</f>
        <v>7326</v>
      </c>
      <c r="Q277">
        <f t="shared" si="30"/>
        <v>542.12400000000002</v>
      </c>
      <c r="R277" t="str">
        <f t="shared" si="31"/>
        <v>Medium</v>
      </c>
      <c r="S277" t="str">
        <f t="shared" si="32"/>
        <v>High Priority</v>
      </c>
    </row>
    <row r="278" spans="1:19" x14ac:dyDescent="0.35">
      <c r="A278" s="12" t="str">
        <f>tblComponents[Component_ID]</f>
        <v>C277</v>
      </c>
      <c r="B278" s="12" t="str">
        <f>tblComponents[Component_Name]</f>
        <v>Component 277</v>
      </c>
      <c r="C278" t="str">
        <f>tblComponents[Sourcing_Type]</f>
        <v>Make</v>
      </c>
      <c r="D278">
        <f>tblComponents[Forecast_Demand]</f>
        <v>1415</v>
      </c>
      <c r="E278">
        <f>tblComponents[Selling_Price_Per_Unit]</f>
        <v>258.33999999999997</v>
      </c>
      <c r="F278">
        <f>tblComponents[Variable_Cost_Per_Unit]</f>
        <v>215.3</v>
      </c>
      <c r="G278">
        <f>tblComponents[Direct_Labor_Cost_Per_Unit]</f>
        <v>6.42</v>
      </c>
      <c r="H278">
        <f>tblComponents[Contribution_Per_Unit]</f>
        <v>43.04</v>
      </c>
      <c r="I278">
        <f>tblComponents[Contribution_Margin]</f>
        <v>0.1666</v>
      </c>
      <c r="J278">
        <f>tblComponents[Actual_Cycle_Time_Min]/60</f>
        <v>5.45E-2</v>
      </c>
      <c r="K278">
        <f t="shared" si="27"/>
        <v>789.72477064220186</v>
      </c>
      <c r="L278">
        <f>H278*tblComponents[Planned_Production_or_Procurement]</f>
        <v>82593.759999999995</v>
      </c>
      <c r="M278">
        <f t="shared" si="28"/>
        <v>294</v>
      </c>
      <c r="N278" t="str">
        <f t="shared" si="29"/>
        <v>Low Economic Priority</v>
      </c>
      <c r="O278" t="str">
        <f>tblComponents[Criticality]</f>
        <v>Critical</v>
      </c>
      <c r="P278">
        <f>tblComponents[Planned_Production_or_Procurement]</f>
        <v>1919</v>
      </c>
      <c r="Q278">
        <f t="shared" si="30"/>
        <v>104.5855</v>
      </c>
      <c r="R278" t="str">
        <f t="shared" si="31"/>
        <v>Critical</v>
      </c>
      <c r="S278" t="str">
        <f t="shared" si="32"/>
        <v>Critical Priority</v>
      </c>
    </row>
    <row r="279" spans="1:19" x14ac:dyDescent="0.35">
      <c r="A279" s="12" t="str">
        <f>tblComponents[Component_ID]</f>
        <v>C278</v>
      </c>
      <c r="B279" s="12" t="str">
        <f>tblComponents[Component_Name]</f>
        <v>Component 278</v>
      </c>
      <c r="C279" t="str">
        <f>tblComponents[Sourcing_Type]</f>
        <v>Make</v>
      </c>
      <c r="D279">
        <f>tblComponents[Forecast_Demand]</f>
        <v>1192</v>
      </c>
      <c r="E279">
        <f>tblComponents[Selling_Price_Per_Unit]</f>
        <v>941.14</v>
      </c>
      <c r="F279">
        <f>tblComponents[Variable_Cost_Per_Unit]</f>
        <v>619.62</v>
      </c>
      <c r="G279">
        <f>tblComponents[Direct_Labor_Cost_Per_Unit]</f>
        <v>27.07</v>
      </c>
      <c r="H279">
        <f>tblComponents[Contribution_Per_Unit]</f>
        <v>321.52</v>
      </c>
      <c r="I279">
        <f>tblComponents[Contribution_Margin]</f>
        <v>0.34160000000000001</v>
      </c>
      <c r="J279">
        <f>tblComponents[Actual_Cycle_Time_Min]/60</f>
        <v>0.12333333333333334</v>
      </c>
      <c r="K279">
        <f t="shared" si="27"/>
        <v>2606.9189189189187</v>
      </c>
      <c r="L279">
        <f>H279*tblComponents[Planned_Production_or_Procurement]</f>
        <v>1780256.24</v>
      </c>
      <c r="M279">
        <f t="shared" si="28"/>
        <v>184</v>
      </c>
      <c r="N279" t="str">
        <f t="shared" si="29"/>
        <v>Low Economic Priority</v>
      </c>
      <c r="O279" t="str">
        <f>tblComponents[Criticality]</f>
        <v>Low</v>
      </c>
      <c r="P279">
        <f>tblComponents[Planned_Production_or_Procurement]</f>
        <v>5537</v>
      </c>
      <c r="Q279">
        <f t="shared" si="30"/>
        <v>682.89666666666665</v>
      </c>
      <c r="R279" t="str">
        <f t="shared" si="31"/>
        <v>Low</v>
      </c>
      <c r="S279" t="str">
        <f t="shared" si="32"/>
        <v>Low Priority</v>
      </c>
    </row>
    <row r="280" spans="1:19" x14ac:dyDescent="0.35">
      <c r="A280" s="12" t="str">
        <f>tblComponents[Component_ID]</f>
        <v>C279</v>
      </c>
      <c r="B280" s="12" t="str">
        <f>tblComponents[Component_Name]</f>
        <v>Component 279</v>
      </c>
      <c r="C280" t="str">
        <f>tblComponents[Sourcing_Type]</f>
        <v>Make</v>
      </c>
      <c r="D280">
        <f>tblComponents[Forecast_Demand]</f>
        <v>1562</v>
      </c>
      <c r="E280">
        <f>tblComponents[Selling_Price_Per_Unit]</f>
        <v>839.46</v>
      </c>
      <c r="F280">
        <f>tblComponents[Variable_Cost_Per_Unit]</f>
        <v>591.04</v>
      </c>
      <c r="G280">
        <f>tblComponents[Direct_Labor_Cost_Per_Unit]</f>
        <v>7.1</v>
      </c>
      <c r="H280">
        <f>tblComponents[Contribution_Per_Unit]</f>
        <v>248.42</v>
      </c>
      <c r="I280">
        <f>tblComponents[Contribution_Margin]</f>
        <v>0.2959</v>
      </c>
      <c r="J280">
        <f>tblComponents[Actual_Cycle_Time_Min]/60</f>
        <v>0.13850000000000001</v>
      </c>
      <c r="K280">
        <f t="shared" si="27"/>
        <v>1793.6462093862813</v>
      </c>
      <c r="L280">
        <f>H280*tblComponents[Planned_Production_or_Procurement]</f>
        <v>419332.95999999996</v>
      </c>
      <c r="M280">
        <f t="shared" si="28"/>
        <v>237</v>
      </c>
      <c r="N280" t="str">
        <f t="shared" si="29"/>
        <v>Low Economic Priority</v>
      </c>
      <c r="O280" t="str">
        <f>tblComponents[Criticality]</f>
        <v>Medium</v>
      </c>
      <c r="P280">
        <f>tblComponents[Planned_Production_or_Procurement]</f>
        <v>1688</v>
      </c>
      <c r="Q280">
        <f t="shared" si="30"/>
        <v>233.78800000000001</v>
      </c>
      <c r="R280" t="str">
        <f t="shared" si="31"/>
        <v>Medium</v>
      </c>
      <c r="S280" t="str">
        <f t="shared" si="32"/>
        <v>Medium Priority</v>
      </c>
    </row>
    <row r="281" spans="1:19" x14ac:dyDescent="0.35">
      <c r="A281" s="12" t="str">
        <f>tblComponents[Component_ID]</f>
        <v>C280</v>
      </c>
      <c r="B281" s="12" t="str">
        <f>tblComponents[Component_Name]</f>
        <v>Component 280</v>
      </c>
      <c r="C281" t="str">
        <f>tblComponents[Sourcing_Type]</f>
        <v>Make</v>
      </c>
      <c r="D281">
        <f>tblComponents[Forecast_Demand]</f>
        <v>867</v>
      </c>
      <c r="E281">
        <f>tblComponents[Selling_Price_Per_Unit]</f>
        <v>2050.8200000000002</v>
      </c>
      <c r="F281">
        <f>tblComponents[Variable_Cost_Per_Unit]</f>
        <v>1342.28</v>
      </c>
      <c r="G281">
        <f>tblComponents[Direct_Labor_Cost_Per_Unit]</f>
        <v>198.57</v>
      </c>
      <c r="H281">
        <f>tblComponents[Contribution_Per_Unit]</f>
        <v>708.54</v>
      </c>
      <c r="I281">
        <f>tblComponents[Contribution_Margin]</f>
        <v>0.34549999999999997</v>
      </c>
      <c r="J281">
        <f>tblComponents[Actual_Cycle_Time_Min]/60</f>
        <v>5.5833333333333332E-2</v>
      </c>
      <c r="K281">
        <f t="shared" si="27"/>
        <v>12690.268656716418</v>
      </c>
      <c r="L281">
        <f>H281*tblComponents[Planned_Production_or_Procurement]</f>
        <v>306797.82</v>
      </c>
      <c r="M281">
        <f t="shared" si="28"/>
        <v>17</v>
      </c>
      <c r="N281" t="str">
        <f t="shared" si="29"/>
        <v>High Economic Priority</v>
      </c>
      <c r="O281" t="str">
        <f>tblComponents[Criticality]</f>
        <v>Medium</v>
      </c>
      <c r="P281">
        <f>tblComponents[Planned_Production_or_Procurement]</f>
        <v>433</v>
      </c>
      <c r="Q281">
        <f t="shared" si="30"/>
        <v>24.175833333333333</v>
      </c>
      <c r="R281" t="str">
        <f t="shared" si="31"/>
        <v>Medium</v>
      </c>
      <c r="S281" t="str">
        <f t="shared" si="32"/>
        <v>High Priority</v>
      </c>
    </row>
    <row r="282" spans="1:19" x14ac:dyDescent="0.35">
      <c r="A282" s="12" t="str">
        <f>tblComponents[Component_ID]</f>
        <v>C281</v>
      </c>
      <c r="B282" s="12" t="str">
        <f>tblComponents[Component_Name]</f>
        <v>Component 281</v>
      </c>
      <c r="C282" t="str">
        <f>tblComponents[Sourcing_Type]</f>
        <v>Make</v>
      </c>
      <c r="D282">
        <f>tblComponents[Forecast_Demand]</f>
        <v>622</v>
      </c>
      <c r="E282">
        <f>tblComponents[Selling_Price_Per_Unit]</f>
        <v>1590.1</v>
      </c>
      <c r="F282">
        <f>tblComponents[Variable_Cost_Per_Unit]</f>
        <v>1052.75</v>
      </c>
      <c r="G282">
        <f>tblComponents[Direct_Labor_Cost_Per_Unit]</f>
        <v>13.77</v>
      </c>
      <c r="H282">
        <f>tblComponents[Contribution_Per_Unit]</f>
        <v>537.35</v>
      </c>
      <c r="I282">
        <f>tblComponents[Contribution_Margin]</f>
        <v>0.33789999999999998</v>
      </c>
      <c r="J282">
        <f>tblComponents[Actual_Cycle_Time_Min]/60</f>
        <v>0.21816666666666668</v>
      </c>
      <c r="K282">
        <f t="shared" si="27"/>
        <v>2463.0252100840335</v>
      </c>
      <c r="L282">
        <f>H282*tblComponents[Planned_Production_or_Procurement]</f>
        <v>1850633.4000000001</v>
      </c>
      <c r="M282">
        <f t="shared" si="28"/>
        <v>196</v>
      </c>
      <c r="N282" t="str">
        <f t="shared" si="29"/>
        <v>Low Economic Priority</v>
      </c>
      <c r="O282" t="str">
        <f>tblComponents[Criticality]</f>
        <v>Low</v>
      </c>
      <c r="P282">
        <f>tblComponents[Planned_Production_or_Procurement]</f>
        <v>3444</v>
      </c>
      <c r="Q282">
        <f t="shared" si="30"/>
        <v>751.36599999999999</v>
      </c>
      <c r="R282" t="str">
        <f t="shared" si="31"/>
        <v>Low</v>
      </c>
      <c r="S282" t="str">
        <f t="shared" si="32"/>
        <v>Low Priority</v>
      </c>
    </row>
    <row r="283" spans="1:19" x14ac:dyDescent="0.35">
      <c r="A283" s="12" t="str">
        <f>tblComponents[Component_ID]</f>
        <v>C282</v>
      </c>
      <c r="B283" s="12" t="str">
        <f>tblComponents[Component_Name]</f>
        <v>Component 282</v>
      </c>
      <c r="C283" t="str">
        <f>tblComponents[Sourcing_Type]</f>
        <v>Make</v>
      </c>
      <c r="D283">
        <f>tblComponents[Forecast_Demand]</f>
        <v>2856</v>
      </c>
      <c r="E283">
        <f>tblComponents[Selling_Price_Per_Unit]</f>
        <v>1175.28</v>
      </c>
      <c r="F283">
        <f>tblComponents[Variable_Cost_Per_Unit]</f>
        <v>763.05</v>
      </c>
      <c r="G283">
        <f>tblComponents[Direct_Labor_Cost_Per_Unit]</f>
        <v>53.6</v>
      </c>
      <c r="H283">
        <f>tblComponents[Contribution_Per_Unit]</f>
        <v>412.23</v>
      </c>
      <c r="I283">
        <f>tblComponents[Contribution_Margin]</f>
        <v>0.3508</v>
      </c>
      <c r="J283">
        <f>tblComponents[Actual_Cycle_Time_Min]/60</f>
        <v>7.9333333333333325E-2</v>
      </c>
      <c r="K283">
        <f t="shared" si="27"/>
        <v>5196.176470588236</v>
      </c>
      <c r="L283">
        <f>H283*tblComponents[Planned_Production_or_Procurement]</f>
        <v>6361121.1299999999</v>
      </c>
      <c r="M283">
        <f t="shared" si="28"/>
        <v>90</v>
      </c>
      <c r="N283" t="str">
        <f t="shared" si="29"/>
        <v>Medium Economic Priority</v>
      </c>
      <c r="O283" t="str">
        <f>tblComponents[Criticality]</f>
        <v>High</v>
      </c>
      <c r="P283">
        <f>tblComponents[Planned_Production_or_Procurement]</f>
        <v>15431</v>
      </c>
      <c r="Q283">
        <f t="shared" si="30"/>
        <v>1224.1926666666666</v>
      </c>
      <c r="R283" t="str">
        <f t="shared" si="31"/>
        <v>High</v>
      </c>
      <c r="S283" t="str">
        <f t="shared" si="32"/>
        <v>High Priority</v>
      </c>
    </row>
    <row r="284" spans="1:19" x14ac:dyDescent="0.35">
      <c r="A284" s="12" t="str">
        <f>tblComponents[Component_ID]</f>
        <v>C283</v>
      </c>
      <c r="B284" s="12" t="str">
        <f>tblComponents[Component_Name]</f>
        <v>Component 283</v>
      </c>
      <c r="C284" t="str">
        <f>tblComponents[Sourcing_Type]</f>
        <v>Make</v>
      </c>
      <c r="D284">
        <f>tblComponents[Forecast_Demand]</f>
        <v>498</v>
      </c>
      <c r="E284">
        <f>tblComponents[Selling_Price_Per_Unit]</f>
        <v>907.3</v>
      </c>
      <c r="F284">
        <f>tblComponents[Variable_Cost_Per_Unit]</f>
        <v>653.71</v>
      </c>
      <c r="G284">
        <f>tblComponents[Direct_Labor_Cost_Per_Unit]</f>
        <v>39.549999999999997</v>
      </c>
      <c r="H284">
        <f>tblComponents[Contribution_Per_Unit]</f>
        <v>253.59</v>
      </c>
      <c r="I284">
        <f>tblComponents[Contribution_Margin]</f>
        <v>0.27950000000000003</v>
      </c>
      <c r="J284">
        <f>tblComponents[Actual_Cycle_Time_Min]/60</f>
        <v>0.10766666666666666</v>
      </c>
      <c r="K284">
        <f t="shared" si="27"/>
        <v>2355.3250773993809</v>
      </c>
      <c r="L284">
        <f>H284*tblComponents[Planned_Production_or_Procurement]</f>
        <v>579960.32999999996</v>
      </c>
      <c r="M284">
        <f t="shared" si="28"/>
        <v>202</v>
      </c>
      <c r="N284" t="str">
        <f t="shared" si="29"/>
        <v>Low Economic Priority</v>
      </c>
      <c r="O284" t="str">
        <f>tblComponents[Criticality]</f>
        <v>Medium</v>
      </c>
      <c r="P284">
        <f>tblComponents[Planned_Production_or_Procurement]</f>
        <v>2287</v>
      </c>
      <c r="Q284">
        <f t="shared" si="30"/>
        <v>246.23366666666666</v>
      </c>
      <c r="R284" t="str">
        <f t="shared" si="31"/>
        <v>Medium</v>
      </c>
      <c r="S284" t="str">
        <f t="shared" si="32"/>
        <v>Medium Priority</v>
      </c>
    </row>
    <row r="285" spans="1:19" x14ac:dyDescent="0.35">
      <c r="A285" s="12" t="str">
        <f>tblComponents[Component_ID]</f>
        <v>C284</v>
      </c>
      <c r="B285" s="12" t="str">
        <f>tblComponents[Component_Name]</f>
        <v>Component 284</v>
      </c>
      <c r="C285" t="str">
        <f>tblComponents[Sourcing_Type]</f>
        <v>Make</v>
      </c>
      <c r="D285">
        <f>tblComponents[Forecast_Demand]</f>
        <v>497</v>
      </c>
      <c r="E285">
        <f>tblComponents[Selling_Price_Per_Unit]</f>
        <v>1293.6300000000001</v>
      </c>
      <c r="F285">
        <f>tblComponents[Variable_Cost_Per_Unit]</f>
        <v>1054.2</v>
      </c>
      <c r="G285">
        <f>tblComponents[Direct_Labor_Cost_Per_Unit]</f>
        <v>35.770000000000003</v>
      </c>
      <c r="H285">
        <f>tblComponents[Contribution_Per_Unit]</f>
        <v>239.43</v>
      </c>
      <c r="I285">
        <f>tblComponents[Contribution_Margin]</f>
        <v>0.18509999999999999</v>
      </c>
      <c r="J285">
        <f>tblComponents[Actual_Cycle_Time_Min]/60</f>
        <v>0.18116666666666664</v>
      </c>
      <c r="K285">
        <f t="shared" si="27"/>
        <v>1321.6007359705613</v>
      </c>
      <c r="L285">
        <f>H285*tblComponents[Planned_Production_or_Procurement]</f>
        <v>934495.29</v>
      </c>
      <c r="M285">
        <f t="shared" si="28"/>
        <v>271</v>
      </c>
      <c r="N285" t="str">
        <f t="shared" si="29"/>
        <v>Low Economic Priority</v>
      </c>
      <c r="O285" t="str">
        <f>tblComponents[Criticality]</f>
        <v>High</v>
      </c>
      <c r="P285">
        <f>tblComponents[Planned_Production_or_Procurement]</f>
        <v>3903</v>
      </c>
      <c r="Q285">
        <f t="shared" si="30"/>
        <v>707.09349999999995</v>
      </c>
      <c r="R285" t="str">
        <f t="shared" si="31"/>
        <v>High</v>
      </c>
      <c r="S285" t="str">
        <f t="shared" si="32"/>
        <v>High Priority</v>
      </c>
    </row>
    <row r="286" spans="1:19" x14ac:dyDescent="0.35">
      <c r="A286" s="12" t="str">
        <f>tblComponents[Component_ID]</f>
        <v>C285</v>
      </c>
      <c r="B286" s="12" t="str">
        <f>tblComponents[Component_Name]</f>
        <v>Component 285</v>
      </c>
      <c r="C286" t="str">
        <f>tblComponents[Sourcing_Type]</f>
        <v>Make</v>
      </c>
      <c r="D286">
        <f>tblComponents[Forecast_Demand]</f>
        <v>1208</v>
      </c>
      <c r="E286">
        <f>tblComponents[Selling_Price_Per_Unit]</f>
        <v>1217.8599999999999</v>
      </c>
      <c r="F286">
        <f>tblComponents[Variable_Cost_Per_Unit]</f>
        <v>830.84</v>
      </c>
      <c r="G286">
        <f>tblComponents[Direct_Labor_Cost_Per_Unit]</f>
        <v>10.83</v>
      </c>
      <c r="H286">
        <f>tblComponents[Contribution_Per_Unit]</f>
        <v>387.02</v>
      </c>
      <c r="I286">
        <f>tblComponents[Contribution_Margin]</f>
        <v>0.31780000000000003</v>
      </c>
      <c r="J286">
        <f>tblComponents[Actual_Cycle_Time_Min]/60</f>
        <v>4.7E-2</v>
      </c>
      <c r="K286">
        <f t="shared" si="27"/>
        <v>8234.4680851063822</v>
      </c>
      <c r="L286">
        <f>H286*tblComponents[Planned_Production_or_Procurement]</f>
        <v>1784936.24</v>
      </c>
      <c r="M286">
        <f t="shared" si="28"/>
        <v>43</v>
      </c>
      <c r="N286" t="str">
        <f t="shared" si="29"/>
        <v>High Economic Priority</v>
      </c>
      <c r="O286" t="str">
        <f>tblComponents[Criticality]</f>
        <v>Low</v>
      </c>
      <c r="P286">
        <f>tblComponents[Planned_Production_or_Procurement]</f>
        <v>4612</v>
      </c>
      <c r="Q286">
        <f t="shared" si="30"/>
        <v>216.76400000000001</v>
      </c>
      <c r="R286" t="str">
        <f t="shared" si="31"/>
        <v>Low</v>
      </c>
      <c r="S286" t="str">
        <f t="shared" si="32"/>
        <v>High Priority</v>
      </c>
    </row>
    <row r="287" spans="1:19" x14ac:dyDescent="0.35">
      <c r="A287" s="12" t="str">
        <f>tblComponents[Component_ID]</f>
        <v>C286</v>
      </c>
      <c r="B287" s="12" t="str">
        <f>tblComponents[Component_Name]</f>
        <v>Component 286</v>
      </c>
      <c r="C287" t="str">
        <f>tblComponents[Sourcing_Type]</f>
        <v>Make</v>
      </c>
      <c r="D287">
        <f>tblComponents[Forecast_Demand]</f>
        <v>911</v>
      </c>
      <c r="E287">
        <f>tblComponents[Selling_Price_Per_Unit]</f>
        <v>747.12</v>
      </c>
      <c r="F287">
        <f>tblComponents[Variable_Cost_Per_Unit]</f>
        <v>519.16</v>
      </c>
      <c r="G287">
        <f>tblComponents[Direct_Labor_Cost_Per_Unit]</f>
        <v>38.39</v>
      </c>
      <c r="H287">
        <f>tblComponents[Contribution_Per_Unit]</f>
        <v>227.96</v>
      </c>
      <c r="I287">
        <f>tblComponents[Contribution_Margin]</f>
        <v>0.30509999999999998</v>
      </c>
      <c r="J287">
        <f>tblComponents[Actual_Cycle_Time_Min]/60</f>
        <v>6.0333333333333336E-2</v>
      </c>
      <c r="K287">
        <f t="shared" si="27"/>
        <v>3778.3425414364642</v>
      </c>
      <c r="L287">
        <f>H287*tblComponents[Planned_Production_or_Procurement]</f>
        <v>4915729.4400000004</v>
      </c>
      <c r="M287">
        <f t="shared" si="28"/>
        <v>141</v>
      </c>
      <c r="N287" t="str">
        <f t="shared" si="29"/>
        <v>Medium Economic Priority</v>
      </c>
      <c r="O287" t="str">
        <f>tblComponents[Criticality]</f>
        <v>High</v>
      </c>
      <c r="P287">
        <f>tblComponents[Planned_Production_or_Procurement]</f>
        <v>21564</v>
      </c>
      <c r="Q287">
        <f t="shared" si="30"/>
        <v>1301.028</v>
      </c>
      <c r="R287" t="str">
        <f t="shared" si="31"/>
        <v>High</v>
      </c>
      <c r="S287" t="str">
        <f t="shared" si="32"/>
        <v>High Priority</v>
      </c>
    </row>
    <row r="288" spans="1:19" x14ac:dyDescent="0.35">
      <c r="A288" s="12" t="str">
        <f>tblComponents[Component_ID]</f>
        <v>C287</v>
      </c>
      <c r="B288" s="12" t="str">
        <f>tblComponents[Component_Name]</f>
        <v>Component 287</v>
      </c>
      <c r="C288" t="str">
        <f>tblComponents[Sourcing_Type]</f>
        <v>Make</v>
      </c>
      <c r="D288">
        <f>tblComponents[Forecast_Demand]</f>
        <v>1235</v>
      </c>
      <c r="E288">
        <f>tblComponents[Selling_Price_Per_Unit]</f>
        <v>1244.92</v>
      </c>
      <c r="F288">
        <f>tblComponents[Variable_Cost_Per_Unit]</f>
        <v>827.17</v>
      </c>
      <c r="G288">
        <f>tblComponents[Direct_Labor_Cost_Per_Unit]</f>
        <v>30.48</v>
      </c>
      <c r="H288">
        <f>tblComponents[Contribution_Per_Unit]</f>
        <v>417.75</v>
      </c>
      <c r="I288">
        <f>tblComponents[Contribution_Margin]</f>
        <v>0.33560000000000001</v>
      </c>
      <c r="J288">
        <f>tblComponents[Actual_Cycle_Time_Min]/60</f>
        <v>0.14733333333333334</v>
      </c>
      <c r="K288">
        <f t="shared" si="27"/>
        <v>2835.4072398190042</v>
      </c>
      <c r="L288">
        <f>H288*tblComponents[Planned_Production_or_Procurement]</f>
        <v>436548.75</v>
      </c>
      <c r="M288">
        <f t="shared" si="28"/>
        <v>176</v>
      </c>
      <c r="N288" t="str">
        <f t="shared" si="29"/>
        <v>Low Economic Priority</v>
      </c>
      <c r="O288" t="str">
        <f>tblComponents[Criticality]</f>
        <v>Medium</v>
      </c>
      <c r="P288">
        <f>tblComponents[Planned_Production_or_Procurement]</f>
        <v>1045</v>
      </c>
      <c r="Q288">
        <f t="shared" si="30"/>
        <v>153.96333333333334</v>
      </c>
      <c r="R288" t="str">
        <f t="shared" si="31"/>
        <v>Medium</v>
      </c>
      <c r="S288" t="str">
        <f t="shared" si="32"/>
        <v>Medium Priority</v>
      </c>
    </row>
    <row r="289" spans="1:19" x14ac:dyDescent="0.35">
      <c r="A289" s="12" t="str">
        <f>tblComponents[Component_ID]</f>
        <v>C288</v>
      </c>
      <c r="B289" s="12" t="str">
        <f>tblComponents[Component_Name]</f>
        <v>Component 288</v>
      </c>
      <c r="C289" t="str">
        <f>tblComponents[Sourcing_Type]</f>
        <v>Make</v>
      </c>
      <c r="D289">
        <f>tblComponents[Forecast_Demand]</f>
        <v>132</v>
      </c>
      <c r="E289">
        <f>tblComponents[Selling_Price_Per_Unit]</f>
        <v>566.12</v>
      </c>
      <c r="F289">
        <f>tblComponents[Variable_Cost_Per_Unit]</f>
        <v>457.16</v>
      </c>
      <c r="G289">
        <f>tblComponents[Direct_Labor_Cost_Per_Unit]</f>
        <v>56.81</v>
      </c>
      <c r="H289">
        <f>tblComponents[Contribution_Per_Unit]</f>
        <v>108.96</v>
      </c>
      <c r="I289">
        <f>tblComponents[Contribution_Margin]</f>
        <v>0.1925</v>
      </c>
      <c r="J289">
        <f>tblComponents[Actual_Cycle_Time_Min]/60</f>
        <v>5.8333333333333334E-2</v>
      </c>
      <c r="K289">
        <f t="shared" si="27"/>
        <v>1867.8857142857141</v>
      </c>
      <c r="L289">
        <f>H289*tblComponents[Planned_Production_or_Procurement]</f>
        <v>1281042.72</v>
      </c>
      <c r="M289">
        <f t="shared" si="28"/>
        <v>233</v>
      </c>
      <c r="N289" t="str">
        <f t="shared" si="29"/>
        <v>Low Economic Priority</v>
      </c>
      <c r="O289" t="str">
        <f>tblComponents[Criticality]</f>
        <v>High</v>
      </c>
      <c r="P289">
        <f>tblComponents[Planned_Production_or_Procurement]</f>
        <v>11757</v>
      </c>
      <c r="Q289">
        <f t="shared" si="30"/>
        <v>685.82500000000005</v>
      </c>
      <c r="R289" t="str">
        <f t="shared" si="31"/>
        <v>High</v>
      </c>
      <c r="S289" t="str">
        <f t="shared" si="32"/>
        <v>High Priority</v>
      </c>
    </row>
    <row r="290" spans="1:19" x14ac:dyDescent="0.35">
      <c r="A290" s="12" t="str">
        <f>tblComponents[Component_ID]</f>
        <v>C289</v>
      </c>
      <c r="B290" s="12" t="str">
        <f>tblComponents[Component_Name]</f>
        <v>Component 289</v>
      </c>
      <c r="C290" t="str">
        <f>tblComponents[Sourcing_Type]</f>
        <v>Make</v>
      </c>
      <c r="D290">
        <f>tblComponents[Forecast_Demand]</f>
        <v>743</v>
      </c>
      <c r="E290">
        <f>tblComponents[Selling_Price_Per_Unit]</f>
        <v>980.96</v>
      </c>
      <c r="F290">
        <f>tblComponents[Variable_Cost_Per_Unit]</f>
        <v>786</v>
      </c>
      <c r="G290">
        <f>tblComponents[Direct_Labor_Cost_Per_Unit]</f>
        <v>49.41</v>
      </c>
      <c r="H290">
        <f>tblComponents[Contribution_Per_Unit]</f>
        <v>194.96</v>
      </c>
      <c r="I290">
        <f>tblComponents[Contribution_Margin]</f>
        <v>0.19869999999999999</v>
      </c>
      <c r="J290">
        <f>tblComponents[Actual_Cycle_Time_Min]/60</f>
        <v>0.24566666666666667</v>
      </c>
      <c r="K290">
        <f t="shared" si="27"/>
        <v>793.59565807326999</v>
      </c>
      <c r="L290">
        <f>H290*tblComponents[Planned_Production_or_Procurement]</f>
        <v>273138.96000000002</v>
      </c>
      <c r="M290">
        <f t="shared" si="28"/>
        <v>293</v>
      </c>
      <c r="N290" t="str">
        <f t="shared" si="29"/>
        <v>Low Economic Priority</v>
      </c>
      <c r="O290" t="str">
        <f>tblComponents[Criticality]</f>
        <v>Medium</v>
      </c>
      <c r="P290">
        <f>tblComponents[Planned_Production_or_Procurement]</f>
        <v>1401</v>
      </c>
      <c r="Q290">
        <f t="shared" si="30"/>
        <v>344.17900000000003</v>
      </c>
      <c r="R290" t="str">
        <f t="shared" si="31"/>
        <v>Medium</v>
      </c>
      <c r="S290" t="str">
        <f t="shared" si="32"/>
        <v>Medium Priority</v>
      </c>
    </row>
    <row r="291" spans="1:19" x14ac:dyDescent="0.35">
      <c r="A291" s="12" t="str">
        <f>tblComponents[Component_ID]</f>
        <v>C290</v>
      </c>
      <c r="B291" s="12" t="str">
        <f>tblComponents[Component_Name]</f>
        <v>Component 290</v>
      </c>
      <c r="C291" t="str">
        <f>tblComponents[Sourcing_Type]</f>
        <v>Make</v>
      </c>
      <c r="D291">
        <f>tblComponents[Forecast_Demand]</f>
        <v>1397</v>
      </c>
      <c r="E291">
        <f>tblComponents[Selling_Price_Per_Unit]</f>
        <v>1543.95</v>
      </c>
      <c r="F291">
        <f>tblComponents[Variable_Cost_Per_Unit]</f>
        <v>968.67</v>
      </c>
      <c r="G291">
        <f>tblComponents[Direct_Labor_Cost_Per_Unit]</f>
        <v>89.74</v>
      </c>
      <c r="H291">
        <f>tblComponents[Contribution_Per_Unit]</f>
        <v>575.28</v>
      </c>
      <c r="I291">
        <f>tblComponents[Contribution_Margin]</f>
        <v>0.37259999999999999</v>
      </c>
      <c r="J291">
        <f>tblComponents[Actual_Cycle_Time_Min]/60</f>
        <v>0.184</v>
      </c>
      <c r="K291">
        <f t="shared" si="27"/>
        <v>3126.5217391304345</v>
      </c>
      <c r="L291">
        <f>H291*tblComponents[Planned_Production_or_Procurement]</f>
        <v>1140204.96</v>
      </c>
      <c r="M291">
        <f t="shared" si="28"/>
        <v>167</v>
      </c>
      <c r="N291" t="str">
        <f t="shared" si="29"/>
        <v>Low Economic Priority</v>
      </c>
      <c r="O291" t="str">
        <f>tblComponents[Criticality]</f>
        <v>Medium</v>
      </c>
      <c r="P291">
        <f>tblComponents[Planned_Production_or_Procurement]</f>
        <v>1982</v>
      </c>
      <c r="Q291">
        <f t="shared" si="30"/>
        <v>364.68799999999999</v>
      </c>
      <c r="R291" t="str">
        <f t="shared" si="31"/>
        <v>Medium</v>
      </c>
      <c r="S291" t="str">
        <f t="shared" si="32"/>
        <v>Medium Priority</v>
      </c>
    </row>
    <row r="292" spans="1:19" x14ac:dyDescent="0.35">
      <c r="A292" s="12" t="str">
        <f>tblComponents[Component_ID]</f>
        <v>C291</v>
      </c>
      <c r="B292" s="12" t="str">
        <f>tblComponents[Component_Name]</f>
        <v>Component 291</v>
      </c>
      <c r="C292" t="str">
        <f>tblComponents[Sourcing_Type]</f>
        <v>Make</v>
      </c>
      <c r="D292">
        <f>tblComponents[Forecast_Demand]</f>
        <v>987</v>
      </c>
      <c r="E292">
        <f>tblComponents[Selling_Price_Per_Unit]</f>
        <v>2582.56</v>
      </c>
      <c r="F292">
        <f>tblComponents[Variable_Cost_Per_Unit]</f>
        <v>1710.96</v>
      </c>
      <c r="G292">
        <f>tblComponents[Direct_Labor_Cost_Per_Unit]</f>
        <v>54.08</v>
      </c>
      <c r="H292">
        <f>tblComponents[Contribution_Per_Unit]</f>
        <v>871.6</v>
      </c>
      <c r="I292">
        <f>tblComponents[Contribution_Margin]</f>
        <v>0.33750000000000002</v>
      </c>
      <c r="J292">
        <f>tblComponents[Actual_Cycle_Time_Min]/60</f>
        <v>0.22699999999999998</v>
      </c>
      <c r="K292">
        <f t="shared" si="27"/>
        <v>3839.6475770925113</v>
      </c>
      <c r="L292">
        <f>H292*tblComponents[Planned_Production_or_Procurement]</f>
        <v>343410.4</v>
      </c>
      <c r="M292">
        <f t="shared" si="28"/>
        <v>140</v>
      </c>
      <c r="N292" t="str">
        <f t="shared" si="29"/>
        <v>Medium Economic Priority</v>
      </c>
      <c r="O292" t="str">
        <f>tblComponents[Criticality]</f>
        <v>Low</v>
      </c>
      <c r="P292">
        <f>tblComponents[Planned_Production_or_Procurement]</f>
        <v>394</v>
      </c>
      <c r="Q292">
        <f t="shared" si="30"/>
        <v>89.437999999999988</v>
      </c>
      <c r="R292" t="str">
        <f t="shared" si="31"/>
        <v>Low</v>
      </c>
      <c r="S292" t="str">
        <f t="shared" si="32"/>
        <v>Medium Priority</v>
      </c>
    </row>
    <row r="293" spans="1:19" x14ac:dyDescent="0.35">
      <c r="A293" s="12" t="str">
        <f>tblComponents[Component_ID]</f>
        <v>C292</v>
      </c>
      <c r="B293" s="12" t="str">
        <f>tblComponents[Component_Name]</f>
        <v>Component 292</v>
      </c>
      <c r="C293" t="str">
        <f>tblComponents[Sourcing_Type]</f>
        <v>Make</v>
      </c>
      <c r="D293">
        <f>tblComponents[Forecast_Demand]</f>
        <v>457</v>
      </c>
      <c r="E293">
        <f>tblComponents[Selling_Price_Per_Unit]</f>
        <v>1670.84</v>
      </c>
      <c r="F293">
        <f>tblComponents[Variable_Cost_Per_Unit]</f>
        <v>1040.8399999999999</v>
      </c>
      <c r="G293">
        <f>tblComponents[Direct_Labor_Cost_Per_Unit]</f>
        <v>34.39</v>
      </c>
      <c r="H293">
        <f>tblComponents[Contribution_Per_Unit]</f>
        <v>630</v>
      </c>
      <c r="I293">
        <f>tblComponents[Contribution_Margin]</f>
        <v>0.37709999999999999</v>
      </c>
      <c r="J293">
        <f>tblComponents[Actual_Cycle_Time_Min]/60</f>
        <v>0.16933333333333334</v>
      </c>
      <c r="K293">
        <f t="shared" si="27"/>
        <v>3720.4724409448818</v>
      </c>
      <c r="L293">
        <f>H293*tblComponents[Planned_Production_or_Procurement]</f>
        <v>1074150</v>
      </c>
      <c r="M293">
        <f t="shared" si="28"/>
        <v>143</v>
      </c>
      <c r="N293" t="str">
        <f t="shared" si="29"/>
        <v>Medium Economic Priority</v>
      </c>
      <c r="O293" t="str">
        <f>tblComponents[Criticality]</f>
        <v>Critical</v>
      </c>
      <c r="P293">
        <f>tblComponents[Planned_Production_or_Procurement]</f>
        <v>1705</v>
      </c>
      <c r="Q293">
        <f t="shared" si="30"/>
        <v>288.71333333333331</v>
      </c>
      <c r="R293" t="str">
        <f t="shared" si="31"/>
        <v>Critical</v>
      </c>
      <c r="S293" t="str">
        <f t="shared" si="32"/>
        <v>Critical Priority</v>
      </c>
    </row>
    <row r="294" spans="1:19" x14ac:dyDescent="0.35">
      <c r="A294" s="12" t="str">
        <f>tblComponents[Component_ID]</f>
        <v>C293</v>
      </c>
      <c r="B294" s="12" t="str">
        <f>tblComponents[Component_Name]</f>
        <v>Component 293</v>
      </c>
      <c r="C294" t="str">
        <f>tblComponents[Sourcing_Type]</f>
        <v>Make</v>
      </c>
      <c r="D294">
        <f>tblComponents[Forecast_Demand]</f>
        <v>166</v>
      </c>
      <c r="E294">
        <f>tblComponents[Selling_Price_Per_Unit]</f>
        <v>1020.59</v>
      </c>
      <c r="F294">
        <f>tblComponents[Variable_Cost_Per_Unit]</f>
        <v>673.92</v>
      </c>
      <c r="G294">
        <f>tblComponents[Direct_Labor_Cost_Per_Unit]</f>
        <v>19.190000000000001</v>
      </c>
      <c r="H294">
        <f>tblComponents[Contribution_Per_Unit]</f>
        <v>346.67</v>
      </c>
      <c r="I294">
        <f>tblComponents[Contribution_Margin]</f>
        <v>0.3397</v>
      </c>
      <c r="J294">
        <f>tblComponents[Actual_Cycle_Time_Min]/60</f>
        <v>8.6500000000000007E-2</v>
      </c>
      <c r="K294">
        <f t="shared" si="27"/>
        <v>4007.7456647398844</v>
      </c>
      <c r="L294">
        <f>H294*tblComponents[Planned_Production_or_Procurement]</f>
        <v>2844080.68</v>
      </c>
      <c r="M294">
        <f t="shared" si="28"/>
        <v>134</v>
      </c>
      <c r="N294" t="str">
        <f t="shared" si="29"/>
        <v>Medium Economic Priority</v>
      </c>
      <c r="O294" t="str">
        <f>tblComponents[Criticality]</f>
        <v>Medium</v>
      </c>
      <c r="P294">
        <f>tblComponents[Planned_Production_or_Procurement]</f>
        <v>8204</v>
      </c>
      <c r="Q294">
        <f t="shared" si="30"/>
        <v>709.64600000000007</v>
      </c>
      <c r="R294" t="str">
        <f t="shared" si="31"/>
        <v>Medium</v>
      </c>
      <c r="S294" t="str">
        <f t="shared" si="32"/>
        <v>Medium Priority</v>
      </c>
    </row>
    <row r="295" spans="1:19" x14ac:dyDescent="0.35">
      <c r="A295" s="12" t="str">
        <f>tblComponents[Component_ID]</f>
        <v>C294</v>
      </c>
      <c r="B295" s="12" t="str">
        <f>tblComponents[Component_Name]</f>
        <v>Component 294</v>
      </c>
      <c r="C295" t="str">
        <f>tblComponents[Sourcing_Type]</f>
        <v>Make</v>
      </c>
      <c r="D295">
        <f>tblComponents[Forecast_Demand]</f>
        <v>1174</v>
      </c>
      <c r="E295">
        <f>tblComponents[Selling_Price_Per_Unit]</f>
        <v>441.49</v>
      </c>
      <c r="F295">
        <f>tblComponents[Variable_Cost_Per_Unit]</f>
        <v>309.36</v>
      </c>
      <c r="G295">
        <f>tblComponents[Direct_Labor_Cost_Per_Unit]</f>
        <v>27.49</v>
      </c>
      <c r="H295">
        <f>tblComponents[Contribution_Per_Unit]</f>
        <v>132.13</v>
      </c>
      <c r="I295">
        <f>tblComponents[Contribution_Margin]</f>
        <v>0.29930000000000001</v>
      </c>
      <c r="J295">
        <f>tblComponents[Actual_Cycle_Time_Min]/60</f>
        <v>2.1833333333333333E-2</v>
      </c>
      <c r="K295">
        <f t="shared" si="27"/>
        <v>6051.7557251908393</v>
      </c>
      <c r="L295">
        <f>H295*tblComponents[Planned_Production_or_Procurement]</f>
        <v>2648281.59</v>
      </c>
      <c r="M295">
        <f t="shared" si="28"/>
        <v>77</v>
      </c>
      <c r="N295" t="str">
        <f t="shared" si="29"/>
        <v>Medium Economic Priority</v>
      </c>
      <c r="O295" t="str">
        <f>tblComponents[Criticality]</f>
        <v>Medium</v>
      </c>
      <c r="P295">
        <f>tblComponents[Planned_Production_or_Procurement]</f>
        <v>20043</v>
      </c>
      <c r="Q295">
        <f t="shared" si="30"/>
        <v>437.60550000000001</v>
      </c>
      <c r="R295" t="str">
        <f t="shared" si="31"/>
        <v>Medium</v>
      </c>
      <c r="S295" t="str">
        <f t="shared" si="32"/>
        <v>Medium Priority</v>
      </c>
    </row>
    <row r="296" spans="1:19" x14ac:dyDescent="0.35">
      <c r="A296" s="12" t="str">
        <f>tblComponents[Component_ID]</f>
        <v>C295</v>
      </c>
      <c r="B296" s="12" t="str">
        <f>tblComponents[Component_Name]</f>
        <v>Component 295</v>
      </c>
      <c r="C296" t="str">
        <f>tblComponents[Sourcing_Type]</f>
        <v>Make</v>
      </c>
      <c r="D296">
        <f>tblComponents[Forecast_Demand]</f>
        <v>137</v>
      </c>
      <c r="E296">
        <f>tblComponents[Selling_Price_Per_Unit]</f>
        <v>617.61</v>
      </c>
      <c r="F296">
        <f>tblComponents[Variable_Cost_Per_Unit]</f>
        <v>423.97</v>
      </c>
      <c r="G296">
        <f>tblComponents[Direct_Labor_Cost_Per_Unit]</f>
        <v>11.69</v>
      </c>
      <c r="H296">
        <f>tblComponents[Contribution_Per_Unit]</f>
        <v>193.64</v>
      </c>
      <c r="I296">
        <f>tblComponents[Contribution_Margin]</f>
        <v>0.3135</v>
      </c>
      <c r="J296">
        <f>tblComponents[Actual_Cycle_Time_Min]/60</f>
        <v>0.17733333333333334</v>
      </c>
      <c r="K296">
        <f t="shared" si="27"/>
        <v>1091.9548872180451</v>
      </c>
      <c r="L296">
        <f>H296*tblComponents[Planned_Production_or_Procurement]</f>
        <v>459314.07999999996</v>
      </c>
      <c r="M296">
        <f t="shared" si="28"/>
        <v>283</v>
      </c>
      <c r="N296" t="str">
        <f t="shared" si="29"/>
        <v>Low Economic Priority</v>
      </c>
      <c r="O296" t="str">
        <f>tblComponents[Criticality]</f>
        <v>Critical</v>
      </c>
      <c r="P296">
        <f>tblComponents[Planned_Production_or_Procurement]</f>
        <v>2372</v>
      </c>
      <c r="Q296">
        <f t="shared" si="30"/>
        <v>420.6346666666667</v>
      </c>
      <c r="R296" t="str">
        <f t="shared" si="31"/>
        <v>Critical</v>
      </c>
      <c r="S296" t="str">
        <f t="shared" si="32"/>
        <v>Critical Priority</v>
      </c>
    </row>
    <row r="297" spans="1:19" x14ac:dyDescent="0.35">
      <c r="A297" s="12" t="str">
        <f>tblComponents[Component_ID]</f>
        <v>C296</v>
      </c>
      <c r="B297" s="12" t="str">
        <f>tblComponents[Component_Name]</f>
        <v>Component 296</v>
      </c>
      <c r="C297" t="str">
        <f>tblComponents[Sourcing_Type]</f>
        <v>Make</v>
      </c>
      <c r="D297">
        <f>tblComponents[Forecast_Demand]</f>
        <v>148</v>
      </c>
      <c r="E297">
        <f>tblComponents[Selling_Price_Per_Unit]</f>
        <v>2012.89</v>
      </c>
      <c r="F297">
        <f>tblComponents[Variable_Cost_Per_Unit]</f>
        <v>1263.53</v>
      </c>
      <c r="G297">
        <f>tblComponents[Direct_Labor_Cost_Per_Unit]</f>
        <v>118.62</v>
      </c>
      <c r="H297">
        <f>tblComponents[Contribution_Per_Unit]</f>
        <v>749.36</v>
      </c>
      <c r="I297">
        <f>tblComponents[Contribution_Margin]</f>
        <v>0.37230000000000002</v>
      </c>
      <c r="J297">
        <f>tblComponents[Actual_Cycle_Time_Min]/60</f>
        <v>0.1515</v>
      </c>
      <c r="K297">
        <f t="shared" si="27"/>
        <v>4946.2706270627068</v>
      </c>
      <c r="L297">
        <f>H297*tblComponents[Planned_Production_or_Procurement]</f>
        <v>344705.60000000003</v>
      </c>
      <c r="M297">
        <f t="shared" si="28"/>
        <v>100</v>
      </c>
      <c r="N297" t="str">
        <f t="shared" si="29"/>
        <v>Medium Economic Priority</v>
      </c>
      <c r="O297" t="str">
        <f>tblComponents[Criticality]</f>
        <v>Low</v>
      </c>
      <c r="P297">
        <f>tblComponents[Planned_Production_or_Procurement]</f>
        <v>460</v>
      </c>
      <c r="Q297">
        <f t="shared" si="30"/>
        <v>69.69</v>
      </c>
      <c r="R297" t="str">
        <f t="shared" si="31"/>
        <v>Low</v>
      </c>
      <c r="S297" t="str">
        <f t="shared" si="32"/>
        <v>Medium Priority</v>
      </c>
    </row>
    <row r="298" spans="1:19" x14ac:dyDescent="0.35">
      <c r="A298" s="12" t="str">
        <f>tblComponents[Component_ID]</f>
        <v>C297</v>
      </c>
      <c r="B298" s="12" t="str">
        <f>tblComponents[Component_Name]</f>
        <v>Component 297</v>
      </c>
      <c r="C298" t="str">
        <f>tblComponents[Sourcing_Type]</f>
        <v>Make</v>
      </c>
      <c r="D298">
        <f>tblComponents[Forecast_Demand]</f>
        <v>2586</v>
      </c>
      <c r="E298">
        <f>tblComponents[Selling_Price_Per_Unit]</f>
        <v>1467.22</v>
      </c>
      <c r="F298">
        <f>tblComponents[Variable_Cost_Per_Unit]</f>
        <v>1034.83</v>
      </c>
      <c r="G298">
        <f>tblComponents[Direct_Labor_Cost_Per_Unit]</f>
        <v>60.71</v>
      </c>
      <c r="H298">
        <f>tblComponents[Contribution_Per_Unit]</f>
        <v>432.39</v>
      </c>
      <c r="I298">
        <f>tblComponents[Contribution_Margin]</f>
        <v>0.29470000000000002</v>
      </c>
      <c r="J298">
        <f>tblComponents[Actual_Cycle_Time_Min]/60</f>
        <v>4.5166666666666667E-2</v>
      </c>
      <c r="K298">
        <f t="shared" si="27"/>
        <v>9573.210332103321</v>
      </c>
      <c r="L298">
        <f>H298*tblComponents[Planned_Production_or_Procurement]</f>
        <v>1195990.74</v>
      </c>
      <c r="M298">
        <f t="shared" si="28"/>
        <v>33</v>
      </c>
      <c r="N298" t="str">
        <f t="shared" si="29"/>
        <v>High Economic Priority</v>
      </c>
      <c r="O298" t="str">
        <f>tblComponents[Criticality]</f>
        <v>Medium</v>
      </c>
      <c r="P298">
        <f>tblComponents[Planned_Production_or_Procurement]</f>
        <v>2766</v>
      </c>
      <c r="Q298">
        <f t="shared" si="30"/>
        <v>124.931</v>
      </c>
      <c r="R298" t="str">
        <f t="shared" si="31"/>
        <v>Medium</v>
      </c>
      <c r="S298" t="str">
        <f t="shared" si="32"/>
        <v>High Priority</v>
      </c>
    </row>
    <row r="299" spans="1:19" x14ac:dyDescent="0.35">
      <c r="A299" s="12" t="str">
        <f>tblComponents[Component_ID]</f>
        <v>C298</v>
      </c>
      <c r="B299" s="12" t="str">
        <f>tblComponents[Component_Name]</f>
        <v>Component 298</v>
      </c>
      <c r="C299" t="str">
        <f>tblComponents[Sourcing_Type]</f>
        <v>Make</v>
      </c>
      <c r="D299">
        <f>tblComponents[Forecast_Demand]</f>
        <v>160</v>
      </c>
      <c r="E299">
        <f>tblComponents[Selling_Price_Per_Unit]</f>
        <v>2022.81</v>
      </c>
      <c r="F299">
        <f>tblComponents[Variable_Cost_Per_Unit]</f>
        <v>1399.59</v>
      </c>
      <c r="G299">
        <f>tblComponents[Direct_Labor_Cost_Per_Unit]</f>
        <v>5.86</v>
      </c>
      <c r="H299">
        <f>tblComponents[Contribution_Per_Unit]</f>
        <v>623.22</v>
      </c>
      <c r="I299">
        <f>tblComponents[Contribution_Margin]</f>
        <v>0.30809999999999998</v>
      </c>
      <c r="J299">
        <f>tblComponents[Actual_Cycle_Time_Min]/60</f>
        <v>8.3666666666666653E-2</v>
      </c>
      <c r="K299">
        <f t="shared" si="27"/>
        <v>7448.8446215139456</v>
      </c>
      <c r="L299">
        <f>H299*tblComponents[Planned_Production_or_Procurement]</f>
        <v>7337169.0600000005</v>
      </c>
      <c r="M299">
        <f t="shared" si="28"/>
        <v>53</v>
      </c>
      <c r="N299" t="str">
        <f t="shared" si="29"/>
        <v>High Economic Priority</v>
      </c>
      <c r="O299" t="str">
        <f>tblComponents[Criticality]</f>
        <v>High</v>
      </c>
      <c r="P299">
        <f>tblComponents[Planned_Production_or_Procurement]</f>
        <v>11773</v>
      </c>
      <c r="Q299">
        <f t="shared" si="30"/>
        <v>985.00766666666652</v>
      </c>
      <c r="R299" t="str">
        <f t="shared" si="31"/>
        <v>High</v>
      </c>
      <c r="S299" t="str">
        <f t="shared" si="32"/>
        <v>High Priority</v>
      </c>
    </row>
    <row r="300" spans="1:19" x14ac:dyDescent="0.35">
      <c r="A300" s="12" t="str">
        <f>tblComponents[Component_ID]</f>
        <v>C299</v>
      </c>
      <c r="B300" s="12" t="str">
        <f>tblComponents[Component_Name]</f>
        <v>Component 299</v>
      </c>
      <c r="C300" t="str">
        <f>tblComponents[Sourcing_Type]</f>
        <v>Make</v>
      </c>
      <c r="D300">
        <f>tblComponents[Forecast_Demand]</f>
        <v>612</v>
      </c>
      <c r="E300">
        <f>tblComponents[Selling_Price_Per_Unit]</f>
        <v>1532.73</v>
      </c>
      <c r="F300">
        <f>tblComponents[Variable_Cost_Per_Unit]</f>
        <v>1242.8599999999999</v>
      </c>
      <c r="G300">
        <f>tblComponents[Direct_Labor_Cost_Per_Unit]</f>
        <v>7.94</v>
      </c>
      <c r="H300">
        <f>tblComponents[Contribution_Per_Unit]</f>
        <v>289.87</v>
      </c>
      <c r="I300">
        <f>tblComponents[Contribution_Margin]</f>
        <v>0.18909999999999999</v>
      </c>
      <c r="J300">
        <f>tblComponents[Actual_Cycle_Time_Min]/60</f>
        <v>8.0500000000000002E-2</v>
      </c>
      <c r="K300">
        <f t="shared" si="27"/>
        <v>3600.8695652173915</v>
      </c>
      <c r="L300">
        <f>H300*tblComponents[Planned_Production_or_Procurement]</f>
        <v>1760960.25</v>
      </c>
      <c r="M300">
        <f t="shared" si="28"/>
        <v>147</v>
      </c>
      <c r="N300" t="str">
        <f t="shared" si="29"/>
        <v>Medium Economic Priority</v>
      </c>
      <c r="O300" t="str">
        <f>tblComponents[Criticality]</f>
        <v>Critical</v>
      </c>
      <c r="P300">
        <f>tblComponents[Planned_Production_or_Procurement]</f>
        <v>6075</v>
      </c>
      <c r="Q300">
        <f t="shared" si="30"/>
        <v>489.03750000000002</v>
      </c>
      <c r="R300" t="str">
        <f t="shared" si="31"/>
        <v>Critical</v>
      </c>
      <c r="S300" t="str">
        <f t="shared" si="32"/>
        <v>Critical Priority</v>
      </c>
    </row>
    <row r="301" spans="1:19" x14ac:dyDescent="0.35">
      <c r="A301" s="12" t="str">
        <f>tblComponents[Component_ID]</f>
        <v>C300</v>
      </c>
      <c r="B301" s="12" t="str">
        <f>tblComponents[Component_Name]</f>
        <v>Component 300</v>
      </c>
      <c r="C301" t="str">
        <f>tblComponents[Sourcing_Type]</f>
        <v>Make</v>
      </c>
      <c r="D301">
        <f>tblComponents[Forecast_Demand]</f>
        <v>2410</v>
      </c>
      <c r="E301">
        <f>tblComponents[Selling_Price_Per_Unit]</f>
        <v>573.78</v>
      </c>
      <c r="F301">
        <f>tblComponents[Variable_Cost_Per_Unit]</f>
        <v>419.73</v>
      </c>
      <c r="G301">
        <f>tblComponents[Direct_Labor_Cost_Per_Unit]</f>
        <v>31.08</v>
      </c>
      <c r="H301">
        <f>tblComponents[Contribution_Per_Unit]</f>
        <v>154.05000000000001</v>
      </c>
      <c r="I301">
        <f>tblComponents[Contribution_Margin]</f>
        <v>0.26850000000000002</v>
      </c>
      <c r="J301">
        <f>tblComponents[Actual_Cycle_Time_Min]/60</f>
        <v>7.1833333333333332E-2</v>
      </c>
      <c r="K301">
        <f t="shared" si="27"/>
        <v>2144.5475638051048</v>
      </c>
      <c r="L301">
        <f>H301*tblComponents[Planned_Production_or_Procurement]</f>
        <v>357396</v>
      </c>
      <c r="M301">
        <f t="shared" si="28"/>
        <v>214</v>
      </c>
      <c r="N301" t="str">
        <f t="shared" si="29"/>
        <v>Low Economic Priority</v>
      </c>
      <c r="O301" t="str">
        <f>tblComponents[Criticality]</f>
        <v>High</v>
      </c>
      <c r="P301">
        <f>tblComponents[Planned_Production_or_Procurement]</f>
        <v>2320</v>
      </c>
      <c r="Q301">
        <f t="shared" si="30"/>
        <v>166.65333333333334</v>
      </c>
      <c r="R301" t="str">
        <f t="shared" si="31"/>
        <v>High</v>
      </c>
      <c r="S301" t="str">
        <f t="shared" si="32"/>
        <v>High Priority</v>
      </c>
    </row>
    <row r="302" spans="1:19" x14ac:dyDescent="0.35">
      <c r="A302" s="12" t="str">
        <f>tblComponents[Component_ID]</f>
        <v>C301</v>
      </c>
      <c r="B302" s="12" t="str">
        <f>tblComponents[Component_Name]</f>
        <v>Component 301</v>
      </c>
      <c r="C302" t="str">
        <f>tblComponents[Sourcing_Type]</f>
        <v>Buy</v>
      </c>
      <c r="D302">
        <f>tblComponents[Forecast_Demand]</f>
        <v>1221</v>
      </c>
      <c r="E302">
        <f>tblComponents[Selling_Price_Per_Unit]</f>
        <v>1796.69</v>
      </c>
      <c r="F302">
        <f>tblComponents[Variable_Cost_Per_Unit]</f>
        <v>1205.4000000000001</v>
      </c>
      <c r="G302">
        <f>tblComponents[Direct_Labor_Cost_Per_Unit]</f>
        <v>0</v>
      </c>
      <c r="H302">
        <f>tblComponents[Contribution_Per_Unit]</f>
        <v>591.29</v>
      </c>
      <c r="I302">
        <f>tblComponents[Contribution_Margin]</f>
        <v>0.3291</v>
      </c>
      <c r="J302">
        <f>tblComponents[Actual_Cycle_Time_Min]/60</f>
        <v>0</v>
      </c>
      <c r="K302">
        <f t="shared" si="27"/>
        <v>0</v>
      </c>
      <c r="L302">
        <f>H302*tblComponents[Planned_Production_or_Procurement]</f>
        <v>12120853.709999999</v>
      </c>
      <c r="M302" t="str">
        <f t="shared" si="28"/>
        <v/>
      </c>
      <c r="N302" t="str">
        <f t="shared" si="29"/>
        <v>Not Applicable</v>
      </c>
      <c r="O302" t="str">
        <f>tblComponents[Criticality]</f>
        <v>Medium</v>
      </c>
      <c r="P302">
        <f>tblComponents[Planned_Production_or_Procurement]</f>
        <v>20499</v>
      </c>
      <c r="Q302">
        <f t="shared" si="30"/>
        <v>0</v>
      </c>
      <c r="R302" t="str">
        <f t="shared" si="31"/>
        <v>Medium</v>
      </c>
      <c r="S302" t="str">
        <f t="shared" si="32"/>
        <v>Not Applicable</v>
      </c>
    </row>
    <row r="303" spans="1:19" x14ac:dyDescent="0.35">
      <c r="A303" s="12" t="str">
        <f>tblComponents[Component_ID]</f>
        <v>C302</v>
      </c>
      <c r="B303" s="12" t="str">
        <f>tblComponents[Component_Name]</f>
        <v>Component 302</v>
      </c>
      <c r="C303" t="str">
        <f>tblComponents[Sourcing_Type]</f>
        <v>Buy</v>
      </c>
      <c r="D303">
        <f>tblComponents[Forecast_Demand]</f>
        <v>1395</v>
      </c>
      <c r="E303">
        <f>tblComponents[Selling_Price_Per_Unit]</f>
        <v>1444.97</v>
      </c>
      <c r="F303">
        <f>tblComponents[Variable_Cost_Per_Unit]</f>
        <v>1130.3499999999999</v>
      </c>
      <c r="G303">
        <f>tblComponents[Direct_Labor_Cost_Per_Unit]</f>
        <v>0</v>
      </c>
      <c r="H303">
        <f>tblComponents[Contribution_Per_Unit]</f>
        <v>314.62</v>
      </c>
      <c r="I303">
        <f>tblComponents[Contribution_Margin]</f>
        <v>0.2177</v>
      </c>
      <c r="J303">
        <f>tblComponents[Actual_Cycle_Time_Min]/60</f>
        <v>0</v>
      </c>
      <c r="K303">
        <f t="shared" si="27"/>
        <v>0</v>
      </c>
      <c r="L303">
        <f>H303*tblComponents[Planned_Production_or_Procurement]</f>
        <v>1396598.18</v>
      </c>
      <c r="M303" t="str">
        <f t="shared" si="28"/>
        <v/>
      </c>
      <c r="N303" t="str">
        <f t="shared" si="29"/>
        <v>Not Applicable</v>
      </c>
      <c r="O303" t="str">
        <f>tblComponents[Criticality]</f>
        <v>Medium</v>
      </c>
      <c r="P303">
        <f>tblComponents[Planned_Production_or_Procurement]</f>
        <v>4439</v>
      </c>
      <c r="Q303">
        <f t="shared" si="30"/>
        <v>0</v>
      </c>
      <c r="R303" t="str">
        <f t="shared" si="31"/>
        <v>Medium</v>
      </c>
      <c r="S303" t="str">
        <f t="shared" si="32"/>
        <v>Not Applicable</v>
      </c>
    </row>
    <row r="304" spans="1:19" x14ac:dyDescent="0.35">
      <c r="A304" s="12" t="str">
        <f>tblComponents[Component_ID]</f>
        <v>C303</v>
      </c>
      <c r="B304" s="12" t="str">
        <f>tblComponents[Component_Name]</f>
        <v>Component 303</v>
      </c>
      <c r="C304" t="str">
        <f>tblComponents[Sourcing_Type]</f>
        <v>Buy</v>
      </c>
      <c r="D304">
        <f>tblComponents[Forecast_Demand]</f>
        <v>2819</v>
      </c>
      <c r="E304">
        <f>tblComponents[Selling_Price_Per_Unit]</f>
        <v>222.33</v>
      </c>
      <c r="F304">
        <f>tblComponents[Variable_Cost_Per_Unit]</f>
        <v>177.74</v>
      </c>
      <c r="G304">
        <f>tblComponents[Direct_Labor_Cost_Per_Unit]</f>
        <v>0</v>
      </c>
      <c r="H304">
        <f>tblComponents[Contribution_Per_Unit]</f>
        <v>44.59</v>
      </c>
      <c r="I304">
        <f>tblComponents[Contribution_Margin]</f>
        <v>0.2006</v>
      </c>
      <c r="J304">
        <f>tblComponents[Actual_Cycle_Time_Min]/60</f>
        <v>0</v>
      </c>
      <c r="K304">
        <f t="shared" si="27"/>
        <v>0</v>
      </c>
      <c r="L304">
        <f>H304*tblComponents[Planned_Production_or_Procurement]</f>
        <v>1950009.8800000001</v>
      </c>
      <c r="M304" t="str">
        <f t="shared" si="28"/>
        <v/>
      </c>
      <c r="N304" t="str">
        <f t="shared" si="29"/>
        <v>Not Applicable</v>
      </c>
      <c r="O304" t="str">
        <f>tblComponents[Criticality]</f>
        <v>Medium</v>
      </c>
      <c r="P304">
        <f>tblComponents[Planned_Production_or_Procurement]</f>
        <v>43732</v>
      </c>
      <c r="Q304">
        <f t="shared" si="30"/>
        <v>0</v>
      </c>
      <c r="R304" t="str">
        <f t="shared" si="31"/>
        <v>Medium</v>
      </c>
      <c r="S304" t="str">
        <f t="shared" si="32"/>
        <v>Not Applicable</v>
      </c>
    </row>
    <row r="305" spans="1:19" x14ac:dyDescent="0.35">
      <c r="A305" s="12" t="str">
        <f>tblComponents[Component_ID]</f>
        <v>C304</v>
      </c>
      <c r="B305" s="12" t="str">
        <f>tblComponents[Component_Name]</f>
        <v>Component 304</v>
      </c>
      <c r="C305" t="str">
        <f>tblComponents[Sourcing_Type]</f>
        <v>Buy</v>
      </c>
      <c r="D305">
        <f>tblComponents[Forecast_Demand]</f>
        <v>1091</v>
      </c>
      <c r="E305">
        <f>tblComponents[Selling_Price_Per_Unit]</f>
        <v>1252.6199999999999</v>
      </c>
      <c r="F305">
        <f>tblComponents[Variable_Cost_Per_Unit]</f>
        <v>966.45</v>
      </c>
      <c r="G305">
        <f>tblComponents[Direct_Labor_Cost_Per_Unit]</f>
        <v>0</v>
      </c>
      <c r="H305">
        <f>tblComponents[Contribution_Per_Unit]</f>
        <v>286.17</v>
      </c>
      <c r="I305">
        <f>tblComponents[Contribution_Margin]</f>
        <v>0.22850000000000001</v>
      </c>
      <c r="J305">
        <f>tblComponents[Actual_Cycle_Time_Min]/60</f>
        <v>0</v>
      </c>
      <c r="K305">
        <f t="shared" si="27"/>
        <v>0</v>
      </c>
      <c r="L305">
        <f>H305*tblComponents[Planned_Production_or_Procurement]</f>
        <v>4343488.26</v>
      </c>
      <c r="M305" t="str">
        <f t="shared" si="28"/>
        <v/>
      </c>
      <c r="N305" t="str">
        <f t="shared" si="29"/>
        <v>Not Applicable</v>
      </c>
      <c r="O305" t="str">
        <f>tblComponents[Criticality]</f>
        <v>Medium</v>
      </c>
      <c r="P305">
        <f>tblComponents[Planned_Production_or_Procurement]</f>
        <v>15178</v>
      </c>
      <c r="Q305">
        <f t="shared" si="30"/>
        <v>0</v>
      </c>
      <c r="R305" t="str">
        <f t="shared" si="31"/>
        <v>Medium</v>
      </c>
      <c r="S305" t="str">
        <f t="shared" si="32"/>
        <v>Not Applicable</v>
      </c>
    </row>
    <row r="306" spans="1:19" x14ac:dyDescent="0.35">
      <c r="A306" s="12" t="str">
        <f>tblComponents[Component_ID]</f>
        <v>C305</v>
      </c>
      <c r="B306" s="12" t="str">
        <f>tblComponents[Component_Name]</f>
        <v>Component 305</v>
      </c>
      <c r="C306" t="str">
        <f>tblComponents[Sourcing_Type]</f>
        <v>Buy</v>
      </c>
      <c r="D306">
        <f>tblComponents[Forecast_Demand]</f>
        <v>1938</v>
      </c>
      <c r="E306">
        <f>tblComponents[Selling_Price_Per_Unit]</f>
        <v>796.25</v>
      </c>
      <c r="F306">
        <f>tblComponents[Variable_Cost_Per_Unit]</f>
        <v>628.74</v>
      </c>
      <c r="G306">
        <f>tblComponents[Direct_Labor_Cost_Per_Unit]</f>
        <v>0</v>
      </c>
      <c r="H306">
        <f>tblComponents[Contribution_Per_Unit]</f>
        <v>167.51</v>
      </c>
      <c r="I306">
        <f>tblComponents[Contribution_Margin]</f>
        <v>0.2104</v>
      </c>
      <c r="J306">
        <f>tblComponents[Actual_Cycle_Time_Min]/60</f>
        <v>0</v>
      </c>
      <c r="K306">
        <f t="shared" si="27"/>
        <v>0</v>
      </c>
      <c r="L306">
        <f>H306*tblComponents[Planned_Production_or_Procurement]</f>
        <v>14199990.209999999</v>
      </c>
      <c r="M306" t="str">
        <f t="shared" si="28"/>
        <v/>
      </c>
      <c r="N306" t="str">
        <f t="shared" si="29"/>
        <v>Not Applicable</v>
      </c>
      <c r="O306" t="str">
        <f>tblComponents[Criticality]</f>
        <v>Medium</v>
      </c>
      <c r="P306">
        <f>tblComponents[Planned_Production_or_Procurement]</f>
        <v>84771</v>
      </c>
      <c r="Q306">
        <f t="shared" si="30"/>
        <v>0</v>
      </c>
      <c r="R306" t="str">
        <f t="shared" si="31"/>
        <v>Medium</v>
      </c>
      <c r="S306" t="str">
        <f t="shared" si="32"/>
        <v>Not Applicable</v>
      </c>
    </row>
    <row r="307" spans="1:19" x14ac:dyDescent="0.35">
      <c r="A307" s="12" t="str">
        <f>tblComponents[Component_ID]</f>
        <v>C306</v>
      </c>
      <c r="B307" s="12" t="str">
        <f>tblComponents[Component_Name]</f>
        <v>Component 306</v>
      </c>
      <c r="C307" t="str">
        <f>tblComponents[Sourcing_Type]</f>
        <v>Buy</v>
      </c>
      <c r="D307">
        <f>tblComponents[Forecast_Demand]</f>
        <v>1319</v>
      </c>
      <c r="E307">
        <f>tblComponents[Selling_Price_Per_Unit]</f>
        <v>1247.19</v>
      </c>
      <c r="F307">
        <f>tblComponents[Variable_Cost_Per_Unit]</f>
        <v>993.1</v>
      </c>
      <c r="G307">
        <f>tblComponents[Direct_Labor_Cost_Per_Unit]</f>
        <v>0</v>
      </c>
      <c r="H307">
        <f>tblComponents[Contribution_Per_Unit]</f>
        <v>254.09</v>
      </c>
      <c r="I307">
        <f>tblComponents[Contribution_Margin]</f>
        <v>0.20369999999999999</v>
      </c>
      <c r="J307">
        <f>tblComponents[Actual_Cycle_Time_Min]/60</f>
        <v>0</v>
      </c>
      <c r="K307">
        <f t="shared" si="27"/>
        <v>0</v>
      </c>
      <c r="L307">
        <f>H307*tblComponents[Planned_Production_or_Procurement]</f>
        <v>4774605.1900000004</v>
      </c>
      <c r="M307" t="str">
        <f t="shared" si="28"/>
        <v/>
      </c>
      <c r="N307" t="str">
        <f t="shared" si="29"/>
        <v>Not Applicable</v>
      </c>
      <c r="O307" t="str">
        <f>tblComponents[Criticality]</f>
        <v>Low</v>
      </c>
      <c r="P307">
        <f>tblComponents[Planned_Production_or_Procurement]</f>
        <v>18791</v>
      </c>
      <c r="Q307">
        <f t="shared" si="30"/>
        <v>0</v>
      </c>
      <c r="R307" t="str">
        <f t="shared" si="31"/>
        <v>Low</v>
      </c>
      <c r="S307" t="str">
        <f t="shared" si="32"/>
        <v>Not Applicable</v>
      </c>
    </row>
    <row r="308" spans="1:19" x14ac:dyDescent="0.35">
      <c r="A308" s="12" t="str">
        <f>tblComponents[Component_ID]</f>
        <v>C307</v>
      </c>
      <c r="B308" s="12" t="str">
        <f>tblComponents[Component_Name]</f>
        <v>Component 307</v>
      </c>
      <c r="C308" t="str">
        <f>tblComponents[Sourcing_Type]</f>
        <v>Buy</v>
      </c>
      <c r="D308">
        <f>tblComponents[Forecast_Demand]</f>
        <v>1646</v>
      </c>
      <c r="E308">
        <f>tblComponents[Selling_Price_Per_Unit]</f>
        <v>2379.15</v>
      </c>
      <c r="F308">
        <f>tblComponents[Variable_Cost_Per_Unit]</f>
        <v>1769.58</v>
      </c>
      <c r="G308">
        <f>tblComponents[Direct_Labor_Cost_Per_Unit]</f>
        <v>0</v>
      </c>
      <c r="H308">
        <f>tblComponents[Contribution_Per_Unit]</f>
        <v>609.57000000000005</v>
      </c>
      <c r="I308">
        <f>tblComponents[Contribution_Margin]</f>
        <v>0.25619999999999998</v>
      </c>
      <c r="J308">
        <f>tblComponents[Actual_Cycle_Time_Min]/60</f>
        <v>0</v>
      </c>
      <c r="K308">
        <f t="shared" si="27"/>
        <v>0</v>
      </c>
      <c r="L308">
        <f>H308*tblComponents[Planned_Production_or_Procurement]</f>
        <v>26781457.950000003</v>
      </c>
      <c r="M308" t="str">
        <f t="shared" si="28"/>
        <v/>
      </c>
      <c r="N308" t="str">
        <f t="shared" si="29"/>
        <v>Not Applicable</v>
      </c>
      <c r="O308" t="str">
        <f>tblComponents[Criticality]</f>
        <v>Low</v>
      </c>
      <c r="P308">
        <f>tblComponents[Planned_Production_or_Procurement]</f>
        <v>43935</v>
      </c>
      <c r="Q308">
        <f t="shared" si="30"/>
        <v>0</v>
      </c>
      <c r="R308" t="str">
        <f t="shared" si="31"/>
        <v>Low</v>
      </c>
      <c r="S308" t="str">
        <f t="shared" si="32"/>
        <v>Not Applicable</v>
      </c>
    </row>
    <row r="309" spans="1:19" x14ac:dyDescent="0.35">
      <c r="A309" s="12" t="str">
        <f>tblComponents[Component_ID]</f>
        <v>C308</v>
      </c>
      <c r="B309" s="12" t="str">
        <f>tblComponents[Component_Name]</f>
        <v>Component 308</v>
      </c>
      <c r="C309" t="str">
        <f>tblComponents[Sourcing_Type]</f>
        <v>Buy</v>
      </c>
      <c r="D309">
        <f>tblComponents[Forecast_Demand]</f>
        <v>668</v>
      </c>
      <c r="E309">
        <f>tblComponents[Selling_Price_Per_Unit]</f>
        <v>2144.2600000000002</v>
      </c>
      <c r="F309">
        <f>tblComponents[Variable_Cost_Per_Unit]</f>
        <v>1335.96</v>
      </c>
      <c r="G309">
        <f>tblComponents[Direct_Labor_Cost_Per_Unit]</f>
        <v>0</v>
      </c>
      <c r="H309">
        <f>tblComponents[Contribution_Per_Unit]</f>
        <v>808.3</v>
      </c>
      <c r="I309">
        <f>tblComponents[Contribution_Margin]</f>
        <v>0.377</v>
      </c>
      <c r="J309">
        <f>tblComponents[Actual_Cycle_Time_Min]/60</f>
        <v>0</v>
      </c>
      <c r="K309">
        <f t="shared" si="27"/>
        <v>0</v>
      </c>
      <c r="L309">
        <f>H309*tblComponents[Planned_Production_or_Procurement]</f>
        <v>14217188.699999999</v>
      </c>
      <c r="M309" t="str">
        <f t="shared" si="28"/>
        <v/>
      </c>
      <c r="N309" t="str">
        <f t="shared" si="29"/>
        <v>Not Applicable</v>
      </c>
      <c r="O309" t="str">
        <f>tblComponents[Criticality]</f>
        <v>Low</v>
      </c>
      <c r="P309">
        <f>tblComponents[Planned_Production_or_Procurement]</f>
        <v>17589</v>
      </c>
      <c r="Q309">
        <f t="shared" si="30"/>
        <v>0</v>
      </c>
      <c r="R309" t="str">
        <f t="shared" si="31"/>
        <v>Low</v>
      </c>
      <c r="S309" t="str">
        <f t="shared" si="32"/>
        <v>Not Applicable</v>
      </c>
    </row>
    <row r="310" spans="1:19" x14ac:dyDescent="0.35">
      <c r="A310" s="12" t="str">
        <f>tblComponents[Component_ID]</f>
        <v>C309</v>
      </c>
      <c r="B310" s="12" t="str">
        <f>tblComponents[Component_Name]</f>
        <v>Component 309</v>
      </c>
      <c r="C310" t="str">
        <f>tblComponents[Sourcing_Type]</f>
        <v>Buy</v>
      </c>
      <c r="D310">
        <f>tblComponents[Forecast_Demand]</f>
        <v>196</v>
      </c>
      <c r="E310">
        <f>tblComponents[Selling_Price_Per_Unit]</f>
        <v>494.29</v>
      </c>
      <c r="F310">
        <f>tblComponents[Variable_Cost_Per_Unit]</f>
        <v>357.49</v>
      </c>
      <c r="G310">
        <f>tblComponents[Direct_Labor_Cost_Per_Unit]</f>
        <v>0</v>
      </c>
      <c r="H310">
        <f>tblComponents[Contribution_Per_Unit]</f>
        <v>136.80000000000001</v>
      </c>
      <c r="I310">
        <f>tblComponents[Contribution_Margin]</f>
        <v>0.27679999999999999</v>
      </c>
      <c r="J310">
        <f>tblComponents[Actual_Cycle_Time_Min]/60</f>
        <v>0</v>
      </c>
      <c r="K310">
        <f t="shared" si="27"/>
        <v>0</v>
      </c>
      <c r="L310">
        <f>H310*tblComponents[Planned_Production_or_Procurement]</f>
        <v>5878432.8000000007</v>
      </c>
      <c r="M310" t="str">
        <f t="shared" si="28"/>
        <v/>
      </c>
      <c r="N310" t="str">
        <f t="shared" si="29"/>
        <v>Not Applicable</v>
      </c>
      <c r="O310" t="str">
        <f>tblComponents[Criticality]</f>
        <v>Low</v>
      </c>
      <c r="P310">
        <f>tblComponents[Planned_Production_or_Procurement]</f>
        <v>42971</v>
      </c>
      <c r="Q310">
        <f t="shared" si="30"/>
        <v>0</v>
      </c>
      <c r="R310" t="str">
        <f t="shared" si="31"/>
        <v>Low</v>
      </c>
      <c r="S310" t="str">
        <f t="shared" si="32"/>
        <v>Not Applicable</v>
      </c>
    </row>
    <row r="311" spans="1:19" x14ac:dyDescent="0.35">
      <c r="A311" s="12" t="str">
        <f>tblComponents[Component_ID]</f>
        <v>C310</v>
      </c>
      <c r="B311" s="12" t="str">
        <f>tblComponents[Component_Name]</f>
        <v>Component 310</v>
      </c>
      <c r="C311" t="str">
        <f>tblComponents[Sourcing_Type]</f>
        <v>Buy</v>
      </c>
      <c r="D311">
        <f>tblComponents[Forecast_Demand]</f>
        <v>1125</v>
      </c>
      <c r="E311">
        <f>tblComponents[Selling_Price_Per_Unit]</f>
        <v>250.09</v>
      </c>
      <c r="F311">
        <f>tblComponents[Variable_Cost_Per_Unit]</f>
        <v>200.83</v>
      </c>
      <c r="G311">
        <f>tblComponents[Direct_Labor_Cost_Per_Unit]</f>
        <v>0</v>
      </c>
      <c r="H311">
        <f>tblComponents[Contribution_Per_Unit]</f>
        <v>49.26</v>
      </c>
      <c r="I311">
        <f>tblComponents[Contribution_Margin]</f>
        <v>0.19700000000000001</v>
      </c>
      <c r="J311">
        <f>tblComponents[Actual_Cycle_Time_Min]/60</f>
        <v>0</v>
      </c>
      <c r="K311">
        <f t="shared" si="27"/>
        <v>0</v>
      </c>
      <c r="L311">
        <f>H311*tblComponents[Planned_Production_or_Procurement]</f>
        <v>1769320.68</v>
      </c>
      <c r="M311" t="str">
        <f t="shared" si="28"/>
        <v/>
      </c>
      <c r="N311" t="str">
        <f t="shared" si="29"/>
        <v>Not Applicable</v>
      </c>
      <c r="O311" t="str">
        <f>tblComponents[Criticality]</f>
        <v>Medium</v>
      </c>
      <c r="P311">
        <f>tblComponents[Planned_Production_or_Procurement]</f>
        <v>35918</v>
      </c>
      <c r="Q311">
        <f t="shared" si="30"/>
        <v>0</v>
      </c>
      <c r="R311" t="str">
        <f t="shared" si="31"/>
        <v>Medium</v>
      </c>
      <c r="S311" t="str">
        <f t="shared" si="32"/>
        <v>Not Applicable</v>
      </c>
    </row>
    <row r="312" spans="1:19" x14ac:dyDescent="0.35">
      <c r="A312" s="12" t="str">
        <f>tblComponents[Component_ID]</f>
        <v>C311</v>
      </c>
      <c r="B312" s="12" t="str">
        <f>tblComponents[Component_Name]</f>
        <v>Component 311</v>
      </c>
      <c r="C312" t="str">
        <f>tblComponents[Sourcing_Type]</f>
        <v>Buy</v>
      </c>
      <c r="D312">
        <f>tblComponents[Forecast_Demand]</f>
        <v>2011</v>
      </c>
      <c r="E312">
        <f>tblComponents[Selling_Price_Per_Unit]</f>
        <v>1137.6199999999999</v>
      </c>
      <c r="F312">
        <f>tblComponents[Variable_Cost_Per_Unit]</f>
        <v>945.09</v>
      </c>
      <c r="G312">
        <f>tblComponents[Direct_Labor_Cost_Per_Unit]</f>
        <v>0</v>
      </c>
      <c r="H312">
        <f>tblComponents[Contribution_Per_Unit]</f>
        <v>192.53</v>
      </c>
      <c r="I312">
        <f>tblComponents[Contribution_Margin]</f>
        <v>0.16919999999999999</v>
      </c>
      <c r="J312">
        <f>tblComponents[Actual_Cycle_Time_Min]/60</f>
        <v>0</v>
      </c>
      <c r="K312">
        <f t="shared" si="27"/>
        <v>0</v>
      </c>
      <c r="L312">
        <f>H312*tblComponents[Planned_Production_or_Procurement]</f>
        <v>17056425.23</v>
      </c>
      <c r="M312" t="str">
        <f t="shared" si="28"/>
        <v/>
      </c>
      <c r="N312" t="str">
        <f t="shared" si="29"/>
        <v>Not Applicable</v>
      </c>
      <c r="O312" t="str">
        <f>tblComponents[Criticality]</f>
        <v>Low</v>
      </c>
      <c r="P312">
        <f>tblComponents[Planned_Production_or_Procurement]</f>
        <v>88591</v>
      </c>
      <c r="Q312">
        <f t="shared" si="30"/>
        <v>0</v>
      </c>
      <c r="R312" t="str">
        <f t="shared" si="31"/>
        <v>Low</v>
      </c>
      <c r="S312" t="str">
        <f t="shared" si="32"/>
        <v>Not Applicable</v>
      </c>
    </row>
    <row r="313" spans="1:19" x14ac:dyDescent="0.35">
      <c r="A313" s="12" t="str">
        <f>tblComponents[Component_ID]</f>
        <v>C312</v>
      </c>
      <c r="B313" s="12" t="str">
        <f>tblComponents[Component_Name]</f>
        <v>Component 312</v>
      </c>
      <c r="C313" t="str">
        <f>tblComponents[Sourcing_Type]</f>
        <v>Buy</v>
      </c>
      <c r="D313">
        <f>tblComponents[Forecast_Demand]</f>
        <v>1275</v>
      </c>
      <c r="E313">
        <f>tblComponents[Selling_Price_Per_Unit]</f>
        <v>195.22</v>
      </c>
      <c r="F313">
        <f>tblComponents[Variable_Cost_Per_Unit]</f>
        <v>131.96</v>
      </c>
      <c r="G313">
        <f>tblComponents[Direct_Labor_Cost_Per_Unit]</f>
        <v>0</v>
      </c>
      <c r="H313">
        <f>tblComponents[Contribution_Per_Unit]</f>
        <v>63.26</v>
      </c>
      <c r="I313">
        <f>tblComponents[Contribution_Margin]</f>
        <v>0.32400000000000001</v>
      </c>
      <c r="J313">
        <f>tblComponents[Actual_Cycle_Time_Min]/60</f>
        <v>0</v>
      </c>
      <c r="K313">
        <f t="shared" si="27"/>
        <v>0</v>
      </c>
      <c r="L313">
        <f>H313*tblComponents[Planned_Production_or_Procurement]</f>
        <v>1355029.2</v>
      </c>
      <c r="M313" t="str">
        <f t="shared" si="28"/>
        <v/>
      </c>
      <c r="N313" t="str">
        <f t="shared" si="29"/>
        <v>Not Applicable</v>
      </c>
      <c r="O313" t="str">
        <f>tblComponents[Criticality]</f>
        <v>Low</v>
      </c>
      <c r="P313">
        <f>tblComponents[Planned_Production_or_Procurement]</f>
        <v>21420</v>
      </c>
      <c r="Q313">
        <f t="shared" si="30"/>
        <v>0</v>
      </c>
      <c r="R313" t="str">
        <f t="shared" si="31"/>
        <v>Low</v>
      </c>
      <c r="S313" t="str">
        <f t="shared" si="32"/>
        <v>Not Applicable</v>
      </c>
    </row>
    <row r="314" spans="1:19" x14ac:dyDescent="0.35">
      <c r="A314" s="12" t="str">
        <f>tblComponents[Component_ID]</f>
        <v>C313</v>
      </c>
      <c r="B314" s="12" t="str">
        <f>tblComponents[Component_Name]</f>
        <v>Component 313</v>
      </c>
      <c r="C314" t="str">
        <f>tblComponents[Sourcing_Type]</f>
        <v>Buy</v>
      </c>
      <c r="D314">
        <f>tblComponents[Forecast_Demand]</f>
        <v>278</v>
      </c>
      <c r="E314">
        <f>tblComponents[Selling_Price_Per_Unit]</f>
        <v>1010.11</v>
      </c>
      <c r="F314">
        <f>tblComponents[Variable_Cost_Per_Unit]</f>
        <v>761.93</v>
      </c>
      <c r="G314">
        <f>tblComponents[Direct_Labor_Cost_Per_Unit]</f>
        <v>0</v>
      </c>
      <c r="H314">
        <f>tblComponents[Contribution_Per_Unit]</f>
        <v>248.18</v>
      </c>
      <c r="I314">
        <f>tblComponents[Contribution_Margin]</f>
        <v>0.2457</v>
      </c>
      <c r="J314">
        <f>tblComponents[Actual_Cycle_Time_Min]/60</f>
        <v>0</v>
      </c>
      <c r="K314">
        <f t="shared" si="27"/>
        <v>0</v>
      </c>
      <c r="L314">
        <f>H314*tblComponents[Planned_Production_or_Procurement]</f>
        <v>13427530.720000001</v>
      </c>
      <c r="M314" t="str">
        <f t="shared" si="28"/>
        <v/>
      </c>
      <c r="N314" t="str">
        <f t="shared" si="29"/>
        <v>Not Applicable</v>
      </c>
      <c r="O314" t="str">
        <f>tblComponents[Criticality]</f>
        <v>Medium</v>
      </c>
      <c r="P314">
        <f>tblComponents[Planned_Production_or_Procurement]</f>
        <v>54104</v>
      </c>
      <c r="Q314">
        <f t="shared" si="30"/>
        <v>0</v>
      </c>
      <c r="R314" t="str">
        <f t="shared" si="31"/>
        <v>Medium</v>
      </c>
      <c r="S314" t="str">
        <f t="shared" si="32"/>
        <v>Not Applicable</v>
      </c>
    </row>
    <row r="315" spans="1:19" x14ac:dyDescent="0.35">
      <c r="A315" s="12" t="str">
        <f>tblComponents[Component_ID]</f>
        <v>C314</v>
      </c>
      <c r="B315" s="12" t="str">
        <f>tblComponents[Component_Name]</f>
        <v>Component 314</v>
      </c>
      <c r="C315" t="str">
        <f>tblComponents[Sourcing_Type]</f>
        <v>Buy</v>
      </c>
      <c r="D315">
        <f>tblComponents[Forecast_Demand]</f>
        <v>165</v>
      </c>
      <c r="E315">
        <f>tblComponents[Selling_Price_Per_Unit]</f>
        <v>1349.36</v>
      </c>
      <c r="F315">
        <f>tblComponents[Variable_Cost_Per_Unit]</f>
        <v>869.72</v>
      </c>
      <c r="G315">
        <f>tblComponents[Direct_Labor_Cost_Per_Unit]</f>
        <v>0</v>
      </c>
      <c r="H315">
        <f>tblComponents[Contribution_Per_Unit]</f>
        <v>479.64</v>
      </c>
      <c r="I315">
        <f>tblComponents[Contribution_Margin]</f>
        <v>0.35549999999999998</v>
      </c>
      <c r="J315">
        <f>tblComponents[Actual_Cycle_Time_Min]/60</f>
        <v>0</v>
      </c>
      <c r="K315">
        <f t="shared" si="27"/>
        <v>0</v>
      </c>
      <c r="L315">
        <f>H315*tblComponents[Planned_Production_or_Procurement]</f>
        <v>16817617.32</v>
      </c>
      <c r="M315" t="str">
        <f t="shared" si="28"/>
        <v/>
      </c>
      <c r="N315" t="str">
        <f t="shared" si="29"/>
        <v>Not Applicable</v>
      </c>
      <c r="O315" t="str">
        <f>tblComponents[Criticality]</f>
        <v>Medium</v>
      </c>
      <c r="P315">
        <f>tblComponents[Planned_Production_or_Procurement]</f>
        <v>35063</v>
      </c>
      <c r="Q315">
        <f t="shared" si="30"/>
        <v>0</v>
      </c>
      <c r="R315" t="str">
        <f t="shared" si="31"/>
        <v>Medium</v>
      </c>
      <c r="S315" t="str">
        <f t="shared" si="32"/>
        <v>Not Applicable</v>
      </c>
    </row>
    <row r="316" spans="1:19" x14ac:dyDescent="0.35">
      <c r="A316" s="12" t="str">
        <f>tblComponents[Component_ID]</f>
        <v>C315</v>
      </c>
      <c r="B316" s="12" t="str">
        <f>tblComponents[Component_Name]</f>
        <v>Component 315</v>
      </c>
      <c r="C316" t="str">
        <f>tblComponents[Sourcing_Type]</f>
        <v>Buy</v>
      </c>
      <c r="D316">
        <f>tblComponents[Forecast_Demand]</f>
        <v>2217</v>
      </c>
      <c r="E316">
        <f>tblComponents[Selling_Price_Per_Unit]</f>
        <v>1130.32</v>
      </c>
      <c r="F316">
        <f>tblComponents[Variable_Cost_Per_Unit]</f>
        <v>774.41</v>
      </c>
      <c r="G316">
        <f>tblComponents[Direct_Labor_Cost_Per_Unit]</f>
        <v>0</v>
      </c>
      <c r="H316">
        <f>tblComponents[Contribution_Per_Unit]</f>
        <v>355.91</v>
      </c>
      <c r="I316">
        <f>tblComponents[Contribution_Margin]</f>
        <v>0.31490000000000001</v>
      </c>
      <c r="J316">
        <f>tblComponents[Actual_Cycle_Time_Min]/60</f>
        <v>0</v>
      </c>
      <c r="K316">
        <f t="shared" si="27"/>
        <v>0</v>
      </c>
      <c r="L316">
        <f>H316*tblComponents[Planned_Production_or_Procurement]</f>
        <v>16167211.750000002</v>
      </c>
      <c r="M316" t="str">
        <f t="shared" si="28"/>
        <v/>
      </c>
      <c r="N316" t="str">
        <f t="shared" si="29"/>
        <v>Not Applicable</v>
      </c>
      <c r="O316" t="str">
        <f>tblComponents[Criticality]</f>
        <v>High</v>
      </c>
      <c r="P316">
        <f>tblComponents[Planned_Production_or_Procurement]</f>
        <v>45425</v>
      </c>
      <c r="Q316">
        <f t="shared" si="30"/>
        <v>0</v>
      </c>
      <c r="R316" t="str">
        <f t="shared" si="31"/>
        <v>High</v>
      </c>
      <c r="S316" t="str">
        <f t="shared" si="32"/>
        <v>Not Applicable</v>
      </c>
    </row>
    <row r="317" spans="1:19" x14ac:dyDescent="0.35">
      <c r="A317" s="12" t="str">
        <f>tblComponents[Component_ID]</f>
        <v>C316</v>
      </c>
      <c r="B317" s="12" t="str">
        <f>tblComponents[Component_Name]</f>
        <v>Component 316</v>
      </c>
      <c r="C317" t="str">
        <f>tblComponents[Sourcing_Type]</f>
        <v>Buy</v>
      </c>
      <c r="D317">
        <f>tblComponents[Forecast_Demand]</f>
        <v>314</v>
      </c>
      <c r="E317">
        <f>tblComponents[Selling_Price_Per_Unit]</f>
        <v>990.06</v>
      </c>
      <c r="F317">
        <f>tblComponents[Variable_Cost_Per_Unit]</f>
        <v>644.47</v>
      </c>
      <c r="G317">
        <f>tblComponents[Direct_Labor_Cost_Per_Unit]</f>
        <v>0</v>
      </c>
      <c r="H317">
        <f>tblComponents[Contribution_Per_Unit]</f>
        <v>345.59</v>
      </c>
      <c r="I317">
        <f>tblComponents[Contribution_Margin]</f>
        <v>0.34910000000000002</v>
      </c>
      <c r="J317">
        <f>tblComponents[Actual_Cycle_Time_Min]/60</f>
        <v>0</v>
      </c>
      <c r="K317">
        <f t="shared" si="27"/>
        <v>0</v>
      </c>
      <c r="L317">
        <f>H317*tblComponents[Planned_Production_or_Procurement]</f>
        <v>5627933.1499999994</v>
      </c>
      <c r="M317" t="str">
        <f t="shared" si="28"/>
        <v/>
      </c>
      <c r="N317" t="str">
        <f t="shared" si="29"/>
        <v>Not Applicable</v>
      </c>
      <c r="O317" t="str">
        <f>tblComponents[Criticality]</f>
        <v>High</v>
      </c>
      <c r="P317">
        <f>tblComponents[Planned_Production_or_Procurement]</f>
        <v>16285</v>
      </c>
      <c r="Q317">
        <f t="shared" si="30"/>
        <v>0</v>
      </c>
      <c r="R317" t="str">
        <f t="shared" si="31"/>
        <v>High</v>
      </c>
      <c r="S317" t="str">
        <f t="shared" si="32"/>
        <v>Not Applicable</v>
      </c>
    </row>
    <row r="318" spans="1:19" x14ac:dyDescent="0.35">
      <c r="A318" s="12" t="str">
        <f>tblComponents[Component_ID]</f>
        <v>C317</v>
      </c>
      <c r="B318" s="12" t="str">
        <f>tblComponents[Component_Name]</f>
        <v>Component 317</v>
      </c>
      <c r="C318" t="str">
        <f>tblComponents[Sourcing_Type]</f>
        <v>Buy</v>
      </c>
      <c r="D318">
        <f>tblComponents[Forecast_Demand]</f>
        <v>2939</v>
      </c>
      <c r="E318">
        <f>tblComponents[Selling_Price_Per_Unit]</f>
        <v>822.39</v>
      </c>
      <c r="F318">
        <f>tblComponents[Variable_Cost_Per_Unit]</f>
        <v>643.12</v>
      </c>
      <c r="G318">
        <f>tblComponents[Direct_Labor_Cost_Per_Unit]</f>
        <v>0</v>
      </c>
      <c r="H318">
        <f>tblComponents[Contribution_Per_Unit]</f>
        <v>179.27</v>
      </c>
      <c r="I318">
        <f>tblComponents[Contribution_Margin]</f>
        <v>0.218</v>
      </c>
      <c r="J318">
        <f>tblComponents[Actual_Cycle_Time_Min]/60</f>
        <v>0</v>
      </c>
      <c r="K318">
        <f t="shared" si="27"/>
        <v>0</v>
      </c>
      <c r="L318">
        <f>H318*tblComponents[Planned_Production_or_Procurement]</f>
        <v>15582506.940000001</v>
      </c>
      <c r="M318" t="str">
        <f t="shared" si="28"/>
        <v/>
      </c>
      <c r="N318" t="str">
        <f t="shared" si="29"/>
        <v>Not Applicable</v>
      </c>
      <c r="O318" t="str">
        <f>tblComponents[Criticality]</f>
        <v>High</v>
      </c>
      <c r="P318">
        <f>tblComponents[Planned_Production_or_Procurement]</f>
        <v>86922</v>
      </c>
      <c r="Q318">
        <f t="shared" si="30"/>
        <v>0</v>
      </c>
      <c r="R318" t="str">
        <f t="shared" si="31"/>
        <v>High</v>
      </c>
      <c r="S318" t="str">
        <f t="shared" si="32"/>
        <v>Not Applicable</v>
      </c>
    </row>
    <row r="319" spans="1:19" x14ac:dyDescent="0.35">
      <c r="A319" s="12" t="str">
        <f>tblComponents[Component_ID]</f>
        <v>C318</v>
      </c>
      <c r="B319" s="12" t="str">
        <f>tblComponents[Component_Name]</f>
        <v>Component 318</v>
      </c>
      <c r="C319" t="str">
        <f>tblComponents[Sourcing_Type]</f>
        <v>Buy</v>
      </c>
      <c r="D319">
        <f>tblComponents[Forecast_Demand]</f>
        <v>2613</v>
      </c>
      <c r="E319">
        <f>tblComponents[Selling_Price_Per_Unit]</f>
        <v>895.5</v>
      </c>
      <c r="F319">
        <f>tblComponents[Variable_Cost_Per_Unit]</f>
        <v>606.16999999999996</v>
      </c>
      <c r="G319">
        <f>tblComponents[Direct_Labor_Cost_Per_Unit]</f>
        <v>0</v>
      </c>
      <c r="H319">
        <f>tblComponents[Contribution_Per_Unit]</f>
        <v>289.33</v>
      </c>
      <c r="I319">
        <f>tblComponents[Contribution_Margin]</f>
        <v>0.3231</v>
      </c>
      <c r="J319">
        <f>tblComponents[Actual_Cycle_Time_Min]/60</f>
        <v>0</v>
      </c>
      <c r="K319">
        <f t="shared" si="27"/>
        <v>0</v>
      </c>
      <c r="L319">
        <f>H319*tblComponents[Planned_Production_or_Procurement]</f>
        <v>12617102.639999999</v>
      </c>
      <c r="M319" t="str">
        <f t="shared" si="28"/>
        <v/>
      </c>
      <c r="N319" t="str">
        <f t="shared" si="29"/>
        <v>Not Applicable</v>
      </c>
      <c r="O319" t="str">
        <f>tblComponents[Criticality]</f>
        <v>High</v>
      </c>
      <c r="P319">
        <f>tblComponents[Planned_Production_or_Procurement]</f>
        <v>43608</v>
      </c>
      <c r="Q319">
        <f t="shared" si="30"/>
        <v>0</v>
      </c>
      <c r="R319" t="str">
        <f t="shared" si="31"/>
        <v>High</v>
      </c>
      <c r="S319" t="str">
        <f t="shared" si="32"/>
        <v>Not Applicable</v>
      </c>
    </row>
    <row r="320" spans="1:19" x14ac:dyDescent="0.35">
      <c r="A320" s="12" t="str">
        <f>tblComponents[Component_ID]</f>
        <v>C319</v>
      </c>
      <c r="B320" s="12" t="str">
        <f>tblComponents[Component_Name]</f>
        <v>Component 319</v>
      </c>
      <c r="C320" t="str">
        <f>tblComponents[Sourcing_Type]</f>
        <v>Buy</v>
      </c>
      <c r="D320">
        <f>tblComponents[Forecast_Demand]</f>
        <v>1757</v>
      </c>
      <c r="E320">
        <f>tblComponents[Selling_Price_Per_Unit]</f>
        <v>1595.36</v>
      </c>
      <c r="F320">
        <f>tblComponents[Variable_Cost_Per_Unit]</f>
        <v>1250.74</v>
      </c>
      <c r="G320">
        <f>tblComponents[Direct_Labor_Cost_Per_Unit]</f>
        <v>0</v>
      </c>
      <c r="H320">
        <f>tblComponents[Contribution_Per_Unit]</f>
        <v>344.62</v>
      </c>
      <c r="I320">
        <f>tblComponents[Contribution_Margin]</f>
        <v>0.216</v>
      </c>
      <c r="J320">
        <f>tblComponents[Actual_Cycle_Time_Min]/60</f>
        <v>0</v>
      </c>
      <c r="K320">
        <f t="shared" si="27"/>
        <v>0</v>
      </c>
      <c r="L320">
        <f>H320*tblComponents[Planned_Production_or_Procurement]</f>
        <v>7753950</v>
      </c>
      <c r="M320" t="str">
        <f t="shared" si="28"/>
        <v/>
      </c>
      <c r="N320" t="str">
        <f t="shared" si="29"/>
        <v>Not Applicable</v>
      </c>
      <c r="O320" t="str">
        <f>tblComponents[Criticality]</f>
        <v>Medium</v>
      </c>
      <c r="P320">
        <f>tblComponents[Planned_Production_or_Procurement]</f>
        <v>22500</v>
      </c>
      <c r="Q320">
        <f t="shared" si="30"/>
        <v>0</v>
      </c>
      <c r="R320" t="str">
        <f t="shared" si="31"/>
        <v>Medium</v>
      </c>
      <c r="S320" t="str">
        <f t="shared" si="32"/>
        <v>Not Applicable</v>
      </c>
    </row>
    <row r="321" spans="1:19" x14ac:dyDescent="0.35">
      <c r="A321" s="12" t="str">
        <f>tblComponents[Component_ID]</f>
        <v>C320</v>
      </c>
      <c r="B321" s="12" t="str">
        <f>tblComponents[Component_Name]</f>
        <v>Component 320</v>
      </c>
      <c r="C321" t="str">
        <f>tblComponents[Sourcing_Type]</f>
        <v>Buy</v>
      </c>
      <c r="D321">
        <f>tblComponents[Forecast_Demand]</f>
        <v>705</v>
      </c>
      <c r="E321">
        <f>tblComponents[Selling_Price_Per_Unit]</f>
        <v>2885.49</v>
      </c>
      <c r="F321">
        <f>tblComponents[Variable_Cost_Per_Unit]</f>
        <v>1775.25</v>
      </c>
      <c r="G321">
        <f>tblComponents[Direct_Labor_Cost_Per_Unit]</f>
        <v>0</v>
      </c>
      <c r="H321">
        <f>tblComponents[Contribution_Per_Unit]</f>
        <v>1110.24</v>
      </c>
      <c r="I321">
        <f>tblComponents[Contribution_Margin]</f>
        <v>0.38479999999999998</v>
      </c>
      <c r="J321">
        <f>tblComponents[Actual_Cycle_Time_Min]/60</f>
        <v>0</v>
      </c>
      <c r="K321">
        <f t="shared" si="27"/>
        <v>0</v>
      </c>
      <c r="L321">
        <f>H321*tblComponents[Planned_Production_or_Procurement]</f>
        <v>55273298.399999999</v>
      </c>
      <c r="M321" t="str">
        <f t="shared" si="28"/>
        <v/>
      </c>
      <c r="N321" t="str">
        <f t="shared" si="29"/>
        <v>Not Applicable</v>
      </c>
      <c r="O321" t="str">
        <f>tblComponents[Criticality]</f>
        <v>Medium</v>
      </c>
      <c r="P321">
        <f>tblComponents[Planned_Production_or_Procurement]</f>
        <v>49785</v>
      </c>
      <c r="Q321">
        <f t="shared" si="30"/>
        <v>0</v>
      </c>
      <c r="R321" t="str">
        <f t="shared" si="31"/>
        <v>Medium</v>
      </c>
      <c r="S321" t="str">
        <f t="shared" si="32"/>
        <v>Not Applicable</v>
      </c>
    </row>
    <row r="322" spans="1:19" x14ac:dyDescent="0.35">
      <c r="A322" s="12" t="str">
        <f>tblComponents[Component_ID]</f>
        <v>C321</v>
      </c>
      <c r="B322" s="12" t="str">
        <f>tblComponents[Component_Name]</f>
        <v>Component 321</v>
      </c>
      <c r="C322" t="str">
        <f>tblComponents[Sourcing_Type]</f>
        <v>Buy</v>
      </c>
      <c r="D322">
        <f>tblComponents[Forecast_Demand]</f>
        <v>2858</v>
      </c>
      <c r="E322">
        <f>tblComponents[Selling_Price_Per_Unit]</f>
        <v>1253.6400000000001</v>
      </c>
      <c r="F322">
        <f>tblComponents[Variable_Cost_Per_Unit]</f>
        <v>866.15</v>
      </c>
      <c r="G322">
        <f>tblComponents[Direct_Labor_Cost_Per_Unit]</f>
        <v>0</v>
      </c>
      <c r="H322">
        <f>tblComponents[Contribution_Per_Unit]</f>
        <v>387.49</v>
      </c>
      <c r="I322">
        <f>tblComponents[Contribution_Margin]</f>
        <v>0.30909999999999999</v>
      </c>
      <c r="J322">
        <f>tblComponents[Actual_Cycle_Time_Min]/60</f>
        <v>0</v>
      </c>
      <c r="K322">
        <f t="shared" si="27"/>
        <v>0</v>
      </c>
      <c r="L322">
        <f>H322*tblComponents[Planned_Production_or_Procurement]</f>
        <v>10556002.58</v>
      </c>
      <c r="M322" t="str">
        <f t="shared" si="28"/>
        <v/>
      </c>
      <c r="N322" t="str">
        <f t="shared" si="29"/>
        <v>Not Applicable</v>
      </c>
      <c r="O322" t="str">
        <f>tblComponents[Criticality]</f>
        <v>Medium</v>
      </c>
      <c r="P322">
        <f>tblComponents[Planned_Production_or_Procurement]</f>
        <v>27242</v>
      </c>
      <c r="Q322">
        <f t="shared" si="30"/>
        <v>0</v>
      </c>
      <c r="R322" t="str">
        <f t="shared" si="31"/>
        <v>Medium</v>
      </c>
      <c r="S322" t="str">
        <f t="shared" si="32"/>
        <v>Not Applicable</v>
      </c>
    </row>
    <row r="323" spans="1:19" x14ac:dyDescent="0.35">
      <c r="A323" s="12" t="str">
        <f>tblComponents[Component_ID]</f>
        <v>C322</v>
      </c>
      <c r="B323" s="12" t="str">
        <f>tblComponents[Component_Name]</f>
        <v>Component 322</v>
      </c>
      <c r="C323" t="str">
        <f>tblComponents[Sourcing_Type]</f>
        <v>Buy</v>
      </c>
      <c r="D323">
        <f>tblComponents[Forecast_Demand]</f>
        <v>145</v>
      </c>
      <c r="E323">
        <f>tblComponents[Selling_Price_Per_Unit]</f>
        <v>2693</v>
      </c>
      <c r="F323">
        <f>tblComponents[Variable_Cost_Per_Unit]</f>
        <v>2070.5700000000002</v>
      </c>
      <c r="G323">
        <f>tblComponents[Direct_Labor_Cost_Per_Unit]</f>
        <v>0</v>
      </c>
      <c r="H323">
        <f>tblComponents[Contribution_Per_Unit]</f>
        <v>622.42999999999995</v>
      </c>
      <c r="I323">
        <f>tblComponents[Contribution_Margin]</f>
        <v>0.2311</v>
      </c>
      <c r="J323">
        <f>tblComponents[Actual_Cycle_Time_Min]/60</f>
        <v>0</v>
      </c>
      <c r="K323">
        <f t="shared" ref="K323:K386" si="33">IFERROR(H323/J323,0)</f>
        <v>0</v>
      </c>
      <c r="L323">
        <f>H323*tblComponents[Planned_Production_or_Procurement]</f>
        <v>2992021.01</v>
      </c>
      <c r="M323" t="str">
        <f t="shared" ref="M323:M386" si="34">IF(C323="Make",1+COUNTIFS($C$2:$C$501,"Make",$K$2:$K$501,"&gt;"&amp;K323),"")</f>
        <v/>
      </c>
      <c r="N323" t="str">
        <f t="shared" ref="N323:N386" si="35">IF(C323="Buy","Not Applicable",IF(M323&lt;=75,"High Economic Priority",IF(M323&lt;=150,"Medium Economic Priority","Low Economic Priority")))</f>
        <v>Not Applicable</v>
      </c>
      <c r="O323" t="str">
        <f>tblComponents[Criticality]</f>
        <v>Medium</v>
      </c>
      <c r="P323">
        <f>tblComponents[Planned_Production_or_Procurement]</f>
        <v>4807</v>
      </c>
      <c r="Q323">
        <f t="shared" ref="Q323:Q386" si="36">J323*P323</f>
        <v>0</v>
      </c>
      <c r="R323" t="str">
        <f t="shared" ref="R323:R386" si="37">IF(O323="Critical","Critical",IF(O323="High","High",IF(O323="Medium","Medium","Low")))</f>
        <v>Medium</v>
      </c>
      <c r="S323" t="str">
        <f t="shared" ref="S323:S386" si="38">IF(C323="Buy","Not Applicable",
IF(O323="Critical","Critical Priority",
IF(AND(N323="High Economic Priority",O323="High"),"High Priority",
IF(AND(N323="High Economic Priority",O323="Medium"),"High Priority",
IF(AND(N323="High Economic Priority",O323="Low"),"High Priority",
IF(AND(N323="Medium Economic Priority",O323="High"),"High Priority",
IF(AND(N323="Medium Economic Priority",O323="Medium"),"Medium Priority",
IF(AND(N323="Medium Economic Priority",O323="Low"),"Medium Priority",
IF(AND(N323="Low Economic Priority",O323="High"),"High Priority",
IF(AND(N323="Low Economic Priority",O323="Medium"),"Medium Priority","Low Priority"))))))))))</f>
        <v>Not Applicable</v>
      </c>
    </row>
    <row r="324" spans="1:19" x14ac:dyDescent="0.35">
      <c r="A324" s="12" t="str">
        <f>tblComponents[Component_ID]</f>
        <v>C323</v>
      </c>
      <c r="B324" s="12" t="str">
        <f>tblComponents[Component_Name]</f>
        <v>Component 323</v>
      </c>
      <c r="C324" t="str">
        <f>tblComponents[Sourcing_Type]</f>
        <v>Buy</v>
      </c>
      <c r="D324">
        <f>tblComponents[Forecast_Demand]</f>
        <v>827</v>
      </c>
      <c r="E324">
        <f>tblComponents[Selling_Price_Per_Unit]</f>
        <v>2596.54</v>
      </c>
      <c r="F324">
        <f>tblComponents[Variable_Cost_Per_Unit]</f>
        <v>2032.11</v>
      </c>
      <c r="G324">
        <f>tblComponents[Direct_Labor_Cost_Per_Unit]</f>
        <v>0</v>
      </c>
      <c r="H324">
        <f>tblComponents[Contribution_Per_Unit]</f>
        <v>564.42999999999995</v>
      </c>
      <c r="I324">
        <f>tblComponents[Contribution_Margin]</f>
        <v>0.21740000000000001</v>
      </c>
      <c r="J324">
        <f>tblComponents[Actual_Cycle_Time_Min]/60</f>
        <v>0</v>
      </c>
      <c r="K324">
        <f t="shared" si="33"/>
        <v>0</v>
      </c>
      <c r="L324">
        <f>H324*tblComponents[Planned_Production_or_Procurement]</f>
        <v>11963658.279999999</v>
      </c>
      <c r="M324" t="str">
        <f t="shared" si="34"/>
        <v/>
      </c>
      <c r="N324" t="str">
        <f t="shared" si="35"/>
        <v>Not Applicable</v>
      </c>
      <c r="O324" t="str">
        <f>tblComponents[Criticality]</f>
        <v>Low</v>
      </c>
      <c r="P324">
        <f>tblComponents[Planned_Production_or_Procurement]</f>
        <v>21196</v>
      </c>
      <c r="Q324">
        <f t="shared" si="36"/>
        <v>0</v>
      </c>
      <c r="R324" t="str">
        <f t="shared" si="37"/>
        <v>Low</v>
      </c>
      <c r="S324" t="str">
        <f t="shared" si="38"/>
        <v>Not Applicable</v>
      </c>
    </row>
    <row r="325" spans="1:19" x14ac:dyDescent="0.35">
      <c r="A325" s="12" t="str">
        <f>tblComponents[Component_ID]</f>
        <v>C324</v>
      </c>
      <c r="B325" s="12" t="str">
        <f>tblComponents[Component_Name]</f>
        <v>Component 324</v>
      </c>
      <c r="C325" t="str">
        <f>tblComponents[Sourcing_Type]</f>
        <v>Buy</v>
      </c>
      <c r="D325">
        <f>tblComponents[Forecast_Demand]</f>
        <v>1099</v>
      </c>
      <c r="E325">
        <f>tblComponents[Selling_Price_Per_Unit]</f>
        <v>409.04</v>
      </c>
      <c r="F325">
        <f>tblComponents[Variable_Cost_Per_Unit]</f>
        <v>328.16</v>
      </c>
      <c r="G325">
        <f>tblComponents[Direct_Labor_Cost_Per_Unit]</f>
        <v>0</v>
      </c>
      <c r="H325">
        <f>tblComponents[Contribution_Per_Unit]</f>
        <v>80.88</v>
      </c>
      <c r="I325">
        <f>tblComponents[Contribution_Margin]</f>
        <v>0.19769999999999999</v>
      </c>
      <c r="J325">
        <f>tblComponents[Actual_Cycle_Time_Min]/60</f>
        <v>0</v>
      </c>
      <c r="K325">
        <f t="shared" si="33"/>
        <v>0</v>
      </c>
      <c r="L325">
        <f>H325*tblComponents[Planned_Production_or_Procurement]</f>
        <v>1756632.72</v>
      </c>
      <c r="M325" t="str">
        <f t="shared" si="34"/>
        <v/>
      </c>
      <c r="N325" t="str">
        <f t="shared" si="35"/>
        <v>Not Applicable</v>
      </c>
      <c r="O325" t="str">
        <f>tblComponents[Criticality]</f>
        <v>High</v>
      </c>
      <c r="P325">
        <f>tblComponents[Planned_Production_or_Procurement]</f>
        <v>21719</v>
      </c>
      <c r="Q325">
        <f t="shared" si="36"/>
        <v>0</v>
      </c>
      <c r="R325" t="str">
        <f t="shared" si="37"/>
        <v>High</v>
      </c>
      <c r="S325" t="str">
        <f t="shared" si="38"/>
        <v>Not Applicable</v>
      </c>
    </row>
    <row r="326" spans="1:19" x14ac:dyDescent="0.35">
      <c r="A326" s="12" t="str">
        <f>tblComponents[Component_ID]</f>
        <v>C325</v>
      </c>
      <c r="B326" s="12" t="str">
        <f>tblComponents[Component_Name]</f>
        <v>Component 325</v>
      </c>
      <c r="C326" t="str">
        <f>tblComponents[Sourcing_Type]</f>
        <v>Buy</v>
      </c>
      <c r="D326">
        <f>tblComponents[Forecast_Demand]</f>
        <v>203</v>
      </c>
      <c r="E326">
        <f>tblComponents[Selling_Price_Per_Unit]</f>
        <v>235.87</v>
      </c>
      <c r="F326">
        <f>tblComponents[Variable_Cost_Per_Unit]</f>
        <v>159.53</v>
      </c>
      <c r="G326">
        <f>tblComponents[Direct_Labor_Cost_Per_Unit]</f>
        <v>0</v>
      </c>
      <c r="H326">
        <f>tblComponents[Contribution_Per_Unit]</f>
        <v>76.34</v>
      </c>
      <c r="I326">
        <f>tblComponents[Contribution_Margin]</f>
        <v>0.32369999999999999</v>
      </c>
      <c r="J326">
        <f>tblComponents[Actual_Cycle_Time_Min]/60</f>
        <v>0</v>
      </c>
      <c r="K326">
        <f t="shared" si="33"/>
        <v>0</v>
      </c>
      <c r="L326">
        <f>H326*tblComponents[Planned_Production_or_Procurement]</f>
        <v>2964511.22</v>
      </c>
      <c r="M326" t="str">
        <f t="shared" si="34"/>
        <v/>
      </c>
      <c r="N326" t="str">
        <f t="shared" si="35"/>
        <v>Not Applicable</v>
      </c>
      <c r="O326" t="str">
        <f>tblComponents[Criticality]</f>
        <v>Medium</v>
      </c>
      <c r="P326">
        <f>tblComponents[Planned_Production_or_Procurement]</f>
        <v>38833</v>
      </c>
      <c r="Q326">
        <f t="shared" si="36"/>
        <v>0</v>
      </c>
      <c r="R326" t="str">
        <f t="shared" si="37"/>
        <v>Medium</v>
      </c>
      <c r="S326" t="str">
        <f t="shared" si="38"/>
        <v>Not Applicable</v>
      </c>
    </row>
    <row r="327" spans="1:19" x14ac:dyDescent="0.35">
      <c r="A327" s="12" t="str">
        <f>tblComponents[Component_ID]</f>
        <v>C326</v>
      </c>
      <c r="B327" s="12" t="str">
        <f>tblComponents[Component_Name]</f>
        <v>Component 326</v>
      </c>
      <c r="C327" t="str">
        <f>tblComponents[Sourcing_Type]</f>
        <v>Buy</v>
      </c>
      <c r="D327">
        <f>tblComponents[Forecast_Demand]</f>
        <v>924</v>
      </c>
      <c r="E327">
        <f>tblComponents[Selling_Price_Per_Unit]</f>
        <v>311.02999999999997</v>
      </c>
      <c r="F327">
        <f>tblComponents[Variable_Cost_Per_Unit]</f>
        <v>247.37</v>
      </c>
      <c r="G327">
        <f>tblComponents[Direct_Labor_Cost_Per_Unit]</f>
        <v>0</v>
      </c>
      <c r="H327">
        <f>tblComponents[Contribution_Per_Unit]</f>
        <v>63.66</v>
      </c>
      <c r="I327">
        <f>tblComponents[Contribution_Margin]</f>
        <v>0.20469999999999999</v>
      </c>
      <c r="J327">
        <f>tblComponents[Actual_Cycle_Time_Min]/60</f>
        <v>0</v>
      </c>
      <c r="K327">
        <f t="shared" si="33"/>
        <v>0</v>
      </c>
      <c r="L327">
        <f>H327*tblComponents[Planned_Production_or_Procurement]</f>
        <v>3122395.6799999997</v>
      </c>
      <c r="M327" t="str">
        <f t="shared" si="34"/>
        <v/>
      </c>
      <c r="N327" t="str">
        <f t="shared" si="35"/>
        <v>Not Applicable</v>
      </c>
      <c r="O327" t="str">
        <f>tblComponents[Criticality]</f>
        <v>High</v>
      </c>
      <c r="P327">
        <f>tblComponents[Planned_Production_or_Procurement]</f>
        <v>49048</v>
      </c>
      <c r="Q327">
        <f t="shared" si="36"/>
        <v>0</v>
      </c>
      <c r="R327" t="str">
        <f t="shared" si="37"/>
        <v>High</v>
      </c>
      <c r="S327" t="str">
        <f t="shared" si="38"/>
        <v>Not Applicable</v>
      </c>
    </row>
    <row r="328" spans="1:19" x14ac:dyDescent="0.35">
      <c r="A328" s="12" t="str">
        <f>tblComponents[Component_ID]</f>
        <v>C327</v>
      </c>
      <c r="B328" s="12" t="str">
        <f>tblComponents[Component_Name]</f>
        <v>Component 327</v>
      </c>
      <c r="C328" t="str">
        <f>tblComponents[Sourcing_Type]</f>
        <v>Buy</v>
      </c>
      <c r="D328">
        <f>tblComponents[Forecast_Demand]</f>
        <v>498</v>
      </c>
      <c r="E328">
        <f>tblComponents[Selling_Price_Per_Unit]</f>
        <v>193.18</v>
      </c>
      <c r="F328">
        <f>tblComponents[Variable_Cost_Per_Unit]</f>
        <v>135.44999999999999</v>
      </c>
      <c r="G328">
        <f>tblComponents[Direct_Labor_Cost_Per_Unit]</f>
        <v>0</v>
      </c>
      <c r="H328">
        <f>tblComponents[Contribution_Per_Unit]</f>
        <v>57.73</v>
      </c>
      <c r="I328">
        <f>tblComponents[Contribution_Margin]</f>
        <v>0.29880000000000001</v>
      </c>
      <c r="J328">
        <f>tblComponents[Actual_Cycle_Time_Min]/60</f>
        <v>0</v>
      </c>
      <c r="K328">
        <f t="shared" si="33"/>
        <v>0</v>
      </c>
      <c r="L328">
        <f>H328*tblComponents[Planned_Production_or_Procurement]</f>
        <v>2366930</v>
      </c>
      <c r="M328" t="str">
        <f t="shared" si="34"/>
        <v/>
      </c>
      <c r="N328" t="str">
        <f t="shared" si="35"/>
        <v>Not Applicable</v>
      </c>
      <c r="O328" t="str">
        <f>tblComponents[Criticality]</f>
        <v>High</v>
      </c>
      <c r="P328">
        <f>tblComponents[Planned_Production_or_Procurement]</f>
        <v>41000</v>
      </c>
      <c r="Q328">
        <f t="shared" si="36"/>
        <v>0</v>
      </c>
      <c r="R328" t="str">
        <f t="shared" si="37"/>
        <v>High</v>
      </c>
      <c r="S328" t="str">
        <f t="shared" si="38"/>
        <v>Not Applicable</v>
      </c>
    </row>
    <row r="329" spans="1:19" x14ac:dyDescent="0.35">
      <c r="A329" s="12" t="str">
        <f>tblComponents[Component_ID]</f>
        <v>C328</v>
      </c>
      <c r="B329" s="12" t="str">
        <f>tblComponents[Component_Name]</f>
        <v>Component 328</v>
      </c>
      <c r="C329" t="str">
        <f>tblComponents[Sourcing_Type]</f>
        <v>Buy</v>
      </c>
      <c r="D329">
        <f>tblComponents[Forecast_Demand]</f>
        <v>115</v>
      </c>
      <c r="E329">
        <f>tblComponents[Selling_Price_Per_Unit]</f>
        <v>360.86</v>
      </c>
      <c r="F329">
        <f>tblComponents[Variable_Cost_Per_Unit]</f>
        <v>282.86</v>
      </c>
      <c r="G329">
        <f>tblComponents[Direct_Labor_Cost_Per_Unit]</f>
        <v>0</v>
      </c>
      <c r="H329">
        <f>tblComponents[Contribution_Per_Unit]</f>
        <v>78</v>
      </c>
      <c r="I329">
        <f>tblComponents[Contribution_Margin]</f>
        <v>0.2162</v>
      </c>
      <c r="J329">
        <f>tblComponents[Actual_Cycle_Time_Min]/60</f>
        <v>0</v>
      </c>
      <c r="K329">
        <f t="shared" si="33"/>
        <v>0</v>
      </c>
      <c r="L329">
        <f>H329*tblComponents[Planned_Production_or_Procurement]</f>
        <v>1105962</v>
      </c>
      <c r="M329" t="str">
        <f t="shared" si="34"/>
        <v/>
      </c>
      <c r="N329" t="str">
        <f t="shared" si="35"/>
        <v>Not Applicable</v>
      </c>
      <c r="O329" t="str">
        <f>tblComponents[Criticality]</f>
        <v>Low</v>
      </c>
      <c r="P329">
        <f>tblComponents[Planned_Production_or_Procurement]</f>
        <v>14179</v>
      </c>
      <c r="Q329">
        <f t="shared" si="36"/>
        <v>0</v>
      </c>
      <c r="R329" t="str">
        <f t="shared" si="37"/>
        <v>Low</v>
      </c>
      <c r="S329" t="str">
        <f t="shared" si="38"/>
        <v>Not Applicable</v>
      </c>
    </row>
    <row r="330" spans="1:19" x14ac:dyDescent="0.35">
      <c r="A330" s="12" t="str">
        <f>tblComponents[Component_ID]</f>
        <v>C329</v>
      </c>
      <c r="B330" s="12" t="str">
        <f>tblComponents[Component_Name]</f>
        <v>Component 329</v>
      </c>
      <c r="C330" t="str">
        <f>tblComponents[Sourcing_Type]</f>
        <v>Buy</v>
      </c>
      <c r="D330">
        <f>tblComponents[Forecast_Demand]</f>
        <v>437</v>
      </c>
      <c r="E330">
        <f>tblComponents[Selling_Price_Per_Unit]</f>
        <v>1699.1</v>
      </c>
      <c r="F330">
        <f>tblComponents[Variable_Cost_Per_Unit]</f>
        <v>1163.05</v>
      </c>
      <c r="G330">
        <f>tblComponents[Direct_Labor_Cost_Per_Unit]</f>
        <v>0</v>
      </c>
      <c r="H330">
        <f>tblComponents[Contribution_Per_Unit]</f>
        <v>536.04999999999995</v>
      </c>
      <c r="I330">
        <f>tblComponents[Contribution_Margin]</f>
        <v>0.3155</v>
      </c>
      <c r="J330">
        <f>tblComponents[Actual_Cycle_Time_Min]/60</f>
        <v>0</v>
      </c>
      <c r="K330">
        <f t="shared" si="33"/>
        <v>0</v>
      </c>
      <c r="L330">
        <f>H330*tblComponents[Planned_Production_or_Procurement]</f>
        <v>16000556.449999999</v>
      </c>
      <c r="M330" t="str">
        <f t="shared" si="34"/>
        <v/>
      </c>
      <c r="N330" t="str">
        <f t="shared" si="35"/>
        <v>Not Applicable</v>
      </c>
      <c r="O330" t="str">
        <f>tblComponents[Criticality]</f>
        <v>Medium</v>
      </c>
      <c r="P330">
        <f>tblComponents[Planned_Production_or_Procurement]</f>
        <v>29849</v>
      </c>
      <c r="Q330">
        <f t="shared" si="36"/>
        <v>0</v>
      </c>
      <c r="R330" t="str">
        <f t="shared" si="37"/>
        <v>Medium</v>
      </c>
      <c r="S330" t="str">
        <f t="shared" si="38"/>
        <v>Not Applicable</v>
      </c>
    </row>
    <row r="331" spans="1:19" x14ac:dyDescent="0.35">
      <c r="A331" s="12" t="str">
        <f>tblComponents[Component_ID]</f>
        <v>C330</v>
      </c>
      <c r="B331" s="12" t="str">
        <f>tblComponents[Component_Name]</f>
        <v>Component 330</v>
      </c>
      <c r="C331" t="str">
        <f>tblComponents[Sourcing_Type]</f>
        <v>Buy</v>
      </c>
      <c r="D331">
        <f>tblComponents[Forecast_Demand]</f>
        <v>2132</v>
      </c>
      <c r="E331">
        <f>tblComponents[Selling_Price_Per_Unit]</f>
        <v>226.75</v>
      </c>
      <c r="F331">
        <f>tblComponents[Variable_Cost_Per_Unit]</f>
        <v>146.54</v>
      </c>
      <c r="G331">
        <f>tblComponents[Direct_Labor_Cost_Per_Unit]</f>
        <v>0</v>
      </c>
      <c r="H331">
        <f>tblComponents[Contribution_Per_Unit]</f>
        <v>80.209999999999994</v>
      </c>
      <c r="I331">
        <f>tblComponents[Contribution_Margin]</f>
        <v>0.35370000000000001</v>
      </c>
      <c r="J331">
        <f>tblComponents[Actual_Cycle_Time_Min]/60</f>
        <v>0</v>
      </c>
      <c r="K331">
        <f t="shared" si="33"/>
        <v>0</v>
      </c>
      <c r="L331">
        <f>H331*tblComponents[Planned_Production_or_Procurement]</f>
        <v>3856416.59</v>
      </c>
      <c r="M331" t="str">
        <f t="shared" si="34"/>
        <v/>
      </c>
      <c r="N331" t="str">
        <f t="shared" si="35"/>
        <v>Not Applicable</v>
      </c>
      <c r="O331" t="str">
        <f>tblComponents[Criticality]</f>
        <v>Low</v>
      </c>
      <c r="P331">
        <f>tblComponents[Planned_Production_or_Procurement]</f>
        <v>48079</v>
      </c>
      <c r="Q331">
        <f t="shared" si="36"/>
        <v>0</v>
      </c>
      <c r="R331" t="str">
        <f t="shared" si="37"/>
        <v>Low</v>
      </c>
      <c r="S331" t="str">
        <f t="shared" si="38"/>
        <v>Not Applicable</v>
      </c>
    </row>
    <row r="332" spans="1:19" x14ac:dyDescent="0.35">
      <c r="A332" s="12" t="str">
        <f>tblComponents[Component_ID]</f>
        <v>C331</v>
      </c>
      <c r="B332" s="12" t="str">
        <f>tblComponents[Component_Name]</f>
        <v>Component 331</v>
      </c>
      <c r="C332" t="str">
        <f>tblComponents[Sourcing_Type]</f>
        <v>Buy</v>
      </c>
      <c r="D332">
        <f>tblComponents[Forecast_Demand]</f>
        <v>921</v>
      </c>
      <c r="E332">
        <f>tblComponents[Selling_Price_Per_Unit]</f>
        <v>813.13</v>
      </c>
      <c r="F332">
        <f>tblComponents[Variable_Cost_Per_Unit]</f>
        <v>533</v>
      </c>
      <c r="G332">
        <f>tblComponents[Direct_Labor_Cost_Per_Unit]</f>
        <v>0</v>
      </c>
      <c r="H332">
        <f>tblComponents[Contribution_Per_Unit]</f>
        <v>280.13</v>
      </c>
      <c r="I332">
        <f>tblComponents[Contribution_Margin]</f>
        <v>0.34449999999999997</v>
      </c>
      <c r="J332">
        <f>tblComponents[Actual_Cycle_Time_Min]/60</f>
        <v>0</v>
      </c>
      <c r="K332">
        <f t="shared" si="33"/>
        <v>0</v>
      </c>
      <c r="L332">
        <f>H332*tblComponents[Planned_Production_or_Procurement]</f>
        <v>6989803.7599999998</v>
      </c>
      <c r="M332" t="str">
        <f t="shared" si="34"/>
        <v/>
      </c>
      <c r="N332" t="str">
        <f t="shared" si="35"/>
        <v>Not Applicable</v>
      </c>
      <c r="O332" t="str">
        <f>tblComponents[Criticality]</f>
        <v>Low</v>
      </c>
      <c r="P332">
        <f>tblComponents[Planned_Production_or_Procurement]</f>
        <v>24952</v>
      </c>
      <c r="Q332">
        <f t="shared" si="36"/>
        <v>0</v>
      </c>
      <c r="R332" t="str">
        <f t="shared" si="37"/>
        <v>Low</v>
      </c>
      <c r="S332" t="str">
        <f t="shared" si="38"/>
        <v>Not Applicable</v>
      </c>
    </row>
    <row r="333" spans="1:19" x14ac:dyDescent="0.35">
      <c r="A333" s="12" t="str">
        <f>tblComponents[Component_ID]</f>
        <v>C332</v>
      </c>
      <c r="B333" s="12" t="str">
        <f>tblComponents[Component_Name]</f>
        <v>Component 332</v>
      </c>
      <c r="C333" t="str">
        <f>tblComponents[Sourcing_Type]</f>
        <v>Buy</v>
      </c>
      <c r="D333">
        <f>tblComponents[Forecast_Demand]</f>
        <v>1575</v>
      </c>
      <c r="E333">
        <f>tblComponents[Selling_Price_Per_Unit]</f>
        <v>2464.79</v>
      </c>
      <c r="F333">
        <f>tblComponents[Variable_Cost_Per_Unit]</f>
        <v>1626.24</v>
      </c>
      <c r="G333">
        <f>tblComponents[Direct_Labor_Cost_Per_Unit]</f>
        <v>0</v>
      </c>
      <c r="H333">
        <f>tblComponents[Contribution_Per_Unit]</f>
        <v>838.55</v>
      </c>
      <c r="I333">
        <f>tblComponents[Contribution_Margin]</f>
        <v>0.3402</v>
      </c>
      <c r="J333">
        <f>tblComponents[Actual_Cycle_Time_Min]/60</f>
        <v>0</v>
      </c>
      <c r="K333">
        <f t="shared" si="33"/>
        <v>0</v>
      </c>
      <c r="L333">
        <f>H333*tblComponents[Planned_Production_or_Procurement]</f>
        <v>33849747.850000001</v>
      </c>
      <c r="M333" t="str">
        <f t="shared" si="34"/>
        <v/>
      </c>
      <c r="N333" t="str">
        <f t="shared" si="35"/>
        <v>Not Applicable</v>
      </c>
      <c r="O333" t="str">
        <f>tblComponents[Criticality]</f>
        <v>High</v>
      </c>
      <c r="P333">
        <f>tblComponents[Planned_Production_or_Procurement]</f>
        <v>40367</v>
      </c>
      <c r="Q333">
        <f t="shared" si="36"/>
        <v>0</v>
      </c>
      <c r="R333" t="str">
        <f t="shared" si="37"/>
        <v>High</v>
      </c>
      <c r="S333" t="str">
        <f t="shared" si="38"/>
        <v>Not Applicable</v>
      </c>
    </row>
    <row r="334" spans="1:19" x14ac:dyDescent="0.35">
      <c r="A334" s="12" t="str">
        <f>tblComponents[Component_ID]</f>
        <v>C333</v>
      </c>
      <c r="B334" s="12" t="str">
        <f>tblComponents[Component_Name]</f>
        <v>Component 333</v>
      </c>
      <c r="C334" t="str">
        <f>tblComponents[Sourcing_Type]</f>
        <v>Buy</v>
      </c>
      <c r="D334">
        <f>tblComponents[Forecast_Demand]</f>
        <v>363</v>
      </c>
      <c r="E334">
        <f>tblComponents[Selling_Price_Per_Unit]</f>
        <v>178.39</v>
      </c>
      <c r="F334">
        <f>tblComponents[Variable_Cost_Per_Unit]</f>
        <v>143.26</v>
      </c>
      <c r="G334">
        <f>tblComponents[Direct_Labor_Cost_Per_Unit]</f>
        <v>0</v>
      </c>
      <c r="H334">
        <f>tblComponents[Contribution_Per_Unit]</f>
        <v>35.130000000000003</v>
      </c>
      <c r="I334">
        <f>tblComponents[Contribution_Margin]</f>
        <v>0.19689999999999999</v>
      </c>
      <c r="J334">
        <f>tblComponents[Actual_Cycle_Time_Min]/60</f>
        <v>0</v>
      </c>
      <c r="K334">
        <f t="shared" si="33"/>
        <v>0</v>
      </c>
      <c r="L334">
        <f>H334*tblComponents[Planned_Production_or_Procurement]</f>
        <v>590746.08000000007</v>
      </c>
      <c r="M334" t="str">
        <f t="shared" si="34"/>
        <v/>
      </c>
      <c r="N334" t="str">
        <f t="shared" si="35"/>
        <v>Not Applicable</v>
      </c>
      <c r="O334" t="str">
        <f>tblComponents[Criticality]</f>
        <v>Medium</v>
      </c>
      <c r="P334">
        <f>tblComponents[Planned_Production_or_Procurement]</f>
        <v>16816</v>
      </c>
      <c r="Q334">
        <f t="shared" si="36"/>
        <v>0</v>
      </c>
      <c r="R334" t="str">
        <f t="shared" si="37"/>
        <v>Medium</v>
      </c>
      <c r="S334" t="str">
        <f t="shared" si="38"/>
        <v>Not Applicable</v>
      </c>
    </row>
    <row r="335" spans="1:19" x14ac:dyDescent="0.35">
      <c r="A335" s="12" t="str">
        <f>tblComponents[Component_ID]</f>
        <v>C334</v>
      </c>
      <c r="B335" s="12" t="str">
        <f>tblComponents[Component_Name]</f>
        <v>Component 334</v>
      </c>
      <c r="C335" t="str">
        <f>tblComponents[Sourcing_Type]</f>
        <v>Buy</v>
      </c>
      <c r="D335">
        <f>tblComponents[Forecast_Demand]</f>
        <v>1534</v>
      </c>
      <c r="E335">
        <f>tblComponents[Selling_Price_Per_Unit]</f>
        <v>1664.6</v>
      </c>
      <c r="F335">
        <f>tblComponents[Variable_Cost_Per_Unit]</f>
        <v>1378.13</v>
      </c>
      <c r="G335">
        <f>tblComponents[Direct_Labor_Cost_Per_Unit]</f>
        <v>0</v>
      </c>
      <c r="H335">
        <f>tblComponents[Contribution_Per_Unit]</f>
        <v>286.47000000000003</v>
      </c>
      <c r="I335">
        <f>tblComponents[Contribution_Margin]</f>
        <v>0.1721</v>
      </c>
      <c r="J335">
        <f>tblComponents[Actual_Cycle_Time_Min]/60</f>
        <v>0</v>
      </c>
      <c r="K335">
        <f t="shared" si="33"/>
        <v>0</v>
      </c>
      <c r="L335">
        <f>H335*tblComponents[Planned_Production_or_Procurement]</f>
        <v>24449068.620000001</v>
      </c>
      <c r="M335" t="str">
        <f t="shared" si="34"/>
        <v/>
      </c>
      <c r="N335" t="str">
        <f t="shared" si="35"/>
        <v>Not Applicable</v>
      </c>
      <c r="O335" t="str">
        <f>tblComponents[Criticality]</f>
        <v>High</v>
      </c>
      <c r="P335">
        <f>tblComponents[Planned_Production_or_Procurement]</f>
        <v>85346</v>
      </c>
      <c r="Q335">
        <f t="shared" si="36"/>
        <v>0</v>
      </c>
      <c r="R335" t="str">
        <f t="shared" si="37"/>
        <v>High</v>
      </c>
      <c r="S335" t="str">
        <f t="shared" si="38"/>
        <v>Not Applicable</v>
      </c>
    </row>
    <row r="336" spans="1:19" x14ac:dyDescent="0.35">
      <c r="A336" s="12" t="str">
        <f>tblComponents[Component_ID]</f>
        <v>C335</v>
      </c>
      <c r="B336" s="12" t="str">
        <f>tblComponents[Component_Name]</f>
        <v>Component 335</v>
      </c>
      <c r="C336" t="str">
        <f>tblComponents[Sourcing_Type]</f>
        <v>Buy</v>
      </c>
      <c r="D336">
        <f>tblComponents[Forecast_Demand]</f>
        <v>1717</v>
      </c>
      <c r="E336">
        <f>tblComponents[Selling_Price_Per_Unit]</f>
        <v>656.14</v>
      </c>
      <c r="F336">
        <f>tblComponents[Variable_Cost_Per_Unit]</f>
        <v>443.07</v>
      </c>
      <c r="G336">
        <f>tblComponents[Direct_Labor_Cost_Per_Unit]</f>
        <v>0</v>
      </c>
      <c r="H336">
        <f>tblComponents[Contribution_Per_Unit]</f>
        <v>213.07</v>
      </c>
      <c r="I336">
        <f>tblComponents[Contribution_Margin]</f>
        <v>0.32469999999999999</v>
      </c>
      <c r="J336">
        <f>tblComponents[Actual_Cycle_Time_Min]/60</f>
        <v>0</v>
      </c>
      <c r="K336">
        <f t="shared" si="33"/>
        <v>0</v>
      </c>
      <c r="L336">
        <f>H336*tblComponents[Planned_Production_or_Procurement]</f>
        <v>2422818.9699999997</v>
      </c>
      <c r="M336" t="str">
        <f t="shared" si="34"/>
        <v/>
      </c>
      <c r="N336" t="str">
        <f t="shared" si="35"/>
        <v>Not Applicable</v>
      </c>
      <c r="O336" t="str">
        <f>tblComponents[Criticality]</f>
        <v>Low</v>
      </c>
      <c r="P336">
        <f>tblComponents[Planned_Production_or_Procurement]</f>
        <v>11371</v>
      </c>
      <c r="Q336">
        <f t="shared" si="36"/>
        <v>0</v>
      </c>
      <c r="R336" t="str">
        <f t="shared" si="37"/>
        <v>Low</v>
      </c>
      <c r="S336" t="str">
        <f t="shared" si="38"/>
        <v>Not Applicable</v>
      </c>
    </row>
    <row r="337" spans="1:19" x14ac:dyDescent="0.35">
      <c r="A337" s="12" t="str">
        <f>tblComponents[Component_ID]</f>
        <v>C336</v>
      </c>
      <c r="B337" s="12" t="str">
        <f>tblComponents[Component_Name]</f>
        <v>Component 336</v>
      </c>
      <c r="C337" t="str">
        <f>tblComponents[Sourcing_Type]</f>
        <v>Buy</v>
      </c>
      <c r="D337">
        <f>tblComponents[Forecast_Demand]</f>
        <v>592</v>
      </c>
      <c r="E337">
        <f>tblComponents[Selling_Price_Per_Unit]</f>
        <v>211.04</v>
      </c>
      <c r="F337">
        <f>tblComponents[Variable_Cost_Per_Unit]</f>
        <v>159.94999999999999</v>
      </c>
      <c r="G337">
        <f>tblComponents[Direct_Labor_Cost_Per_Unit]</f>
        <v>0</v>
      </c>
      <c r="H337">
        <f>tblComponents[Contribution_Per_Unit]</f>
        <v>51.09</v>
      </c>
      <c r="I337">
        <f>tblComponents[Contribution_Margin]</f>
        <v>0.24210000000000001</v>
      </c>
      <c r="J337">
        <f>tblComponents[Actual_Cycle_Time_Min]/60</f>
        <v>0</v>
      </c>
      <c r="K337">
        <f t="shared" si="33"/>
        <v>0</v>
      </c>
      <c r="L337">
        <f>H337*tblComponents[Planned_Production_or_Procurement]</f>
        <v>4271532.7200000007</v>
      </c>
      <c r="M337" t="str">
        <f t="shared" si="34"/>
        <v/>
      </c>
      <c r="N337" t="str">
        <f t="shared" si="35"/>
        <v>Not Applicable</v>
      </c>
      <c r="O337" t="str">
        <f>tblComponents[Criticality]</f>
        <v>Medium</v>
      </c>
      <c r="P337">
        <f>tblComponents[Planned_Production_or_Procurement]</f>
        <v>83608</v>
      </c>
      <c r="Q337">
        <f t="shared" si="36"/>
        <v>0</v>
      </c>
      <c r="R337" t="str">
        <f t="shared" si="37"/>
        <v>Medium</v>
      </c>
      <c r="S337" t="str">
        <f t="shared" si="38"/>
        <v>Not Applicable</v>
      </c>
    </row>
    <row r="338" spans="1:19" x14ac:dyDescent="0.35">
      <c r="A338" s="12" t="str">
        <f>tblComponents[Component_ID]</f>
        <v>C337</v>
      </c>
      <c r="B338" s="12" t="str">
        <f>tblComponents[Component_Name]</f>
        <v>Component 337</v>
      </c>
      <c r="C338" t="str">
        <f>tblComponents[Sourcing_Type]</f>
        <v>Buy</v>
      </c>
      <c r="D338">
        <f>tblComponents[Forecast_Demand]</f>
        <v>3461</v>
      </c>
      <c r="E338">
        <f>tblComponents[Selling_Price_Per_Unit]</f>
        <v>1406.89</v>
      </c>
      <c r="F338">
        <f>tblComponents[Variable_Cost_Per_Unit]</f>
        <v>1043.79</v>
      </c>
      <c r="G338">
        <f>tblComponents[Direct_Labor_Cost_Per_Unit]</f>
        <v>0</v>
      </c>
      <c r="H338">
        <f>tblComponents[Contribution_Per_Unit]</f>
        <v>363.1</v>
      </c>
      <c r="I338">
        <f>tblComponents[Contribution_Margin]</f>
        <v>0.2581</v>
      </c>
      <c r="J338">
        <f>tblComponents[Actual_Cycle_Time_Min]/60</f>
        <v>0</v>
      </c>
      <c r="K338">
        <f t="shared" si="33"/>
        <v>0</v>
      </c>
      <c r="L338">
        <f>H338*tblComponents[Planned_Production_or_Procurement]</f>
        <v>7394894.6000000006</v>
      </c>
      <c r="M338" t="str">
        <f t="shared" si="34"/>
        <v/>
      </c>
      <c r="N338" t="str">
        <f t="shared" si="35"/>
        <v>Not Applicable</v>
      </c>
      <c r="O338" t="str">
        <f>tblComponents[Criticality]</f>
        <v>High</v>
      </c>
      <c r="P338">
        <f>tblComponents[Planned_Production_or_Procurement]</f>
        <v>20366</v>
      </c>
      <c r="Q338">
        <f t="shared" si="36"/>
        <v>0</v>
      </c>
      <c r="R338" t="str">
        <f t="shared" si="37"/>
        <v>High</v>
      </c>
      <c r="S338" t="str">
        <f t="shared" si="38"/>
        <v>Not Applicable</v>
      </c>
    </row>
    <row r="339" spans="1:19" x14ac:dyDescent="0.35">
      <c r="A339" s="12" t="str">
        <f>tblComponents[Component_ID]</f>
        <v>C338</v>
      </c>
      <c r="B339" s="12" t="str">
        <f>tblComponents[Component_Name]</f>
        <v>Component 338</v>
      </c>
      <c r="C339" t="str">
        <f>tblComponents[Sourcing_Type]</f>
        <v>Buy</v>
      </c>
      <c r="D339">
        <f>tblComponents[Forecast_Demand]</f>
        <v>2057</v>
      </c>
      <c r="E339">
        <f>tblComponents[Selling_Price_Per_Unit]</f>
        <v>1109.3399999999999</v>
      </c>
      <c r="F339">
        <f>tblComponents[Variable_Cost_Per_Unit]</f>
        <v>934.3</v>
      </c>
      <c r="G339">
        <f>tblComponents[Direct_Labor_Cost_Per_Unit]</f>
        <v>0</v>
      </c>
      <c r="H339">
        <f>tblComponents[Contribution_Per_Unit]</f>
        <v>175.04</v>
      </c>
      <c r="I339">
        <f>tblComponents[Contribution_Margin]</f>
        <v>0.1578</v>
      </c>
      <c r="J339">
        <f>tblComponents[Actual_Cycle_Time_Min]/60</f>
        <v>0</v>
      </c>
      <c r="K339">
        <f t="shared" si="33"/>
        <v>0</v>
      </c>
      <c r="L339">
        <f>H339*tblComponents[Planned_Production_or_Procurement]</f>
        <v>11476672.639999999</v>
      </c>
      <c r="M339" t="str">
        <f t="shared" si="34"/>
        <v/>
      </c>
      <c r="N339" t="str">
        <f t="shared" si="35"/>
        <v>Not Applicable</v>
      </c>
      <c r="O339" t="str">
        <f>tblComponents[Criticality]</f>
        <v>Low</v>
      </c>
      <c r="P339">
        <f>tblComponents[Planned_Production_or_Procurement]</f>
        <v>65566</v>
      </c>
      <c r="Q339">
        <f t="shared" si="36"/>
        <v>0</v>
      </c>
      <c r="R339" t="str">
        <f t="shared" si="37"/>
        <v>Low</v>
      </c>
      <c r="S339" t="str">
        <f t="shared" si="38"/>
        <v>Not Applicable</v>
      </c>
    </row>
    <row r="340" spans="1:19" x14ac:dyDescent="0.35">
      <c r="A340" s="12" t="str">
        <f>tblComponents[Component_ID]</f>
        <v>C339</v>
      </c>
      <c r="B340" s="12" t="str">
        <f>tblComponents[Component_Name]</f>
        <v>Component 339</v>
      </c>
      <c r="C340" t="str">
        <f>tblComponents[Sourcing_Type]</f>
        <v>Buy</v>
      </c>
      <c r="D340">
        <f>tblComponents[Forecast_Demand]</f>
        <v>216</v>
      </c>
      <c r="E340">
        <f>tblComponents[Selling_Price_Per_Unit]</f>
        <v>1418.15</v>
      </c>
      <c r="F340">
        <f>tblComponents[Variable_Cost_Per_Unit]</f>
        <v>1113.4000000000001</v>
      </c>
      <c r="G340">
        <f>tblComponents[Direct_Labor_Cost_Per_Unit]</f>
        <v>0</v>
      </c>
      <c r="H340">
        <f>tblComponents[Contribution_Per_Unit]</f>
        <v>304.75</v>
      </c>
      <c r="I340">
        <f>tblComponents[Contribution_Margin]</f>
        <v>0.21490000000000001</v>
      </c>
      <c r="J340">
        <f>tblComponents[Actual_Cycle_Time_Min]/60</f>
        <v>0</v>
      </c>
      <c r="K340">
        <f t="shared" si="33"/>
        <v>0</v>
      </c>
      <c r="L340">
        <f>H340*tblComponents[Planned_Production_or_Procurement]</f>
        <v>13753062.75</v>
      </c>
      <c r="M340" t="str">
        <f t="shared" si="34"/>
        <v/>
      </c>
      <c r="N340" t="str">
        <f t="shared" si="35"/>
        <v>Not Applicable</v>
      </c>
      <c r="O340" t="str">
        <f>tblComponents[Criticality]</f>
        <v>Medium</v>
      </c>
      <c r="P340">
        <f>tblComponents[Planned_Production_or_Procurement]</f>
        <v>45129</v>
      </c>
      <c r="Q340">
        <f t="shared" si="36"/>
        <v>0</v>
      </c>
      <c r="R340" t="str">
        <f t="shared" si="37"/>
        <v>Medium</v>
      </c>
      <c r="S340" t="str">
        <f t="shared" si="38"/>
        <v>Not Applicable</v>
      </c>
    </row>
    <row r="341" spans="1:19" x14ac:dyDescent="0.35">
      <c r="A341" s="12" t="str">
        <f>tblComponents[Component_ID]</f>
        <v>C340</v>
      </c>
      <c r="B341" s="12" t="str">
        <f>tblComponents[Component_Name]</f>
        <v>Component 340</v>
      </c>
      <c r="C341" t="str">
        <f>tblComponents[Sourcing_Type]</f>
        <v>Buy</v>
      </c>
      <c r="D341">
        <f>tblComponents[Forecast_Demand]</f>
        <v>975</v>
      </c>
      <c r="E341">
        <f>tblComponents[Selling_Price_Per_Unit]</f>
        <v>1420.42</v>
      </c>
      <c r="F341">
        <f>tblComponents[Variable_Cost_Per_Unit]</f>
        <v>1195.4000000000001</v>
      </c>
      <c r="G341">
        <f>tblComponents[Direct_Labor_Cost_Per_Unit]</f>
        <v>0</v>
      </c>
      <c r="H341">
        <f>tblComponents[Contribution_Per_Unit]</f>
        <v>225.02</v>
      </c>
      <c r="I341">
        <f>tblComponents[Contribution_Margin]</f>
        <v>0.15840000000000001</v>
      </c>
      <c r="J341">
        <f>tblComponents[Actual_Cycle_Time_Min]/60</f>
        <v>0</v>
      </c>
      <c r="K341">
        <f t="shared" si="33"/>
        <v>0</v>
      </c>
      <c r="L341">
        <f>H341*tblComponents[Planned_Production_or_Procurement]</f>
        <v>8867813.1799999997</v>
      </c>
      <c r="M341" t="str">
        <f t="shared" si="34"/>
        <v/>
      </c>
      <c r="N341" t="str">
        <f t="shared" si="35"/>
        <v>Not Applicable</v>
      </c>
      <c r="O341" t="str">
        <f>tblComponents[Criticality]</f>
        <v>Medium</v>
      </c>
      <c r="P341">
        <f>tblComponents[Planned_Production_or_Procurement]</f>
        <v>39409</v>
      </c>
      <c r="Q341">
        <f t="shared" si="36"/>
        <v>0</v>
      </c>
      <c r="R341" t="str">
        <f t="shared" si="37"/>
        <v>Medium</v>
      </c>
      <c r="S341" t="str">
        <f t="shared" si="38"/>
        <v>Not Applicable</v>
      </c>
    </row>
    <row r="342" spans="1:19" x14ac:dyDescent="0.35">
      <c r="A342" s="12" t="str">
        <f>tblComponents[Component_ID]</f>
        <v>C341</v>
      </c>
      <c r="B342" s="12" t="str">
        <f>tblComponents[Component_Name]</f>
        <v>Component 341</v>
      </c>
      <c r="C342" t="str">
        <f>tblComponents[Sourcing_Type]</f>
        <v>Buy</v>
      </c>
      <c r="D342">
        <f>tblComponents[Forecast_Demand]</f>
        <v>942</v>
      </c>
      <c r="E342">
        <f>tblComponents[Selling_Price_Per_Unit]</f>
        <v>1893.75</v>
      </c>
      <c r="F342">
        <f>tblComponents[Variable_Cost_Per_Unit]</f>
        <v>1193.45</v>
      </c>
      <c r="G342">
        <f>tblComponents[Direct_Labor_Cost_Per_Unit]</f>
        <v>0</v>
      </c>
      <c r="H342">
        <f>tblComponents[Contribution_Per_Unit]</f>
        <v>700.3</v>
      </c>
      <c r="I342">
        <f>tblComponents[Contribution_Margin]</f>
        <v>0.36980000000000002</v>
      </c>
      <c r="J342">
        <f>tblComponents[Actual_Cycle_Time_Min]/60</f>
        <v>0</v>
      </c>
      <c r="K342">
        <f t="shared" si="33"/>
        <v>0</v>
      </c>
      <c r="L342">
        <f>H342*tblComponents[Planned_Production_or_Procurement]</f>
        <v>23567896.199999999</v>
      </c>
      <c r="M342" t="str">
        <f t="shared" si="34"/>
        <v/>
      </c>
      <c r="N342" t="str">
        <f t="shared" si="35"/>
        <v>Not Applicable</v>
      </c>
      <c r="O342" t="str">
        <f>tblComponents[Criticality]</f>
        <v>Critical</v>
      </c>
      <c r="P342">
        <f>tblComponents[Planned_Production_or_Procurement]</f>
        <v>33654</v>
      </c>
      <c r="Q342">
        <f t="shared" si="36"/>
        <v>0</v>
      </c>
      <c r="R342" t="str">
        <f t="shared" si="37"/>
        <v>Critical</v>
      </c>
      <c r="S342" t="str">
        <f t="shared" si="38"/>
        <v>Not Applicable</v>
      </c>
    </row>
    <row r="343" spans="1:19" x14ac:dyDescent="0.35">
      <c r="A343" s="12" t="str">
        <f>tblComponents[Component_ID]</f>
        <v>C342</v>
      </c>
      <c r="B343" s="12" t="str">
        <f>tblComponents[Component_Name]</f>
        <v>Component 342</v>
      </c>
      <c r="C343" t="str">
        <f>tblComponents[Sourcing_Type]</f>
        <v>Buy</v>
      </c>
      <c r="D343">
        <f>tblComponents[Forecast_Demand]</f>
        <v>1707</v>
      </c>
      <c r="E343">
        <f>tblComponents[Selling_Price_Per_Unit]</f>
        <v>654.29999999999995</v>
      </c>
      <c r="F343">
        <f>tblComponents[Variable_Cost_Per_Unit]</f>
        <v>516.34</v>
      </c>
      <c r="G343">
        <f>tblComponents[Direct_Labor_Cost_Per_Unit]</f>
        <v>0</v>
      </c>
      <c r="H343">
        <f>tblComponents[Contribution_Per_Unit]</f>
        <v>137.96</v>
      </c>
      <c r="I343">
        <f>tblComponents[Contribution_Margin]</f>
        <v>0.2109</v>
      </c>
      <c r="J343">
        <f>tblComponents[Actual_Cycle_Time_Min]/60</f>
        <v>0</v>
      </c>
      <c r="K343">
        <f t="shared" si="33"/>
        <v>0</v>
      </c>
      <c r="L343">
        <f>H343*tblComponents[Planned_Production_or_Procurement]</f>
        <v>731325.96000000008</v>
      </c>
      <c r="M343" t="str">
        <f t="shared" si="34"/>
        <v/>
      </c>
      <c r="N343" t="str">
        <f t="shared" si="35"/>
        <v>Not Applicable</v>
      </c>
      <c r="O343" t="str">
        <f>tblComponents[Criticality]</f>
        <v>Low</v>
      </c>
      <c r="P343">
        <f>tblComponents[Planned_Production_or_Procurement]</f>
        <v>5301</v>
      </c>
      <c r="Q343">
        <f t="shared" si="36"/>
        <v>0</v>
      </c>
      <c r="R343" t="str">
        <f t="shared" si="37"/>
        <v>Low</v>
      </c>
      <c r="S343" t="str">
        <f t="shared" si="38"/>
        <v>Not Applicable</v>
      </c>
    </row>
    <row r="344" spans="1:19" x14ac:dyDescent="0.35">
      <c r="A344" s="12" t="str">
        <f>tblComponents[Component_ID]</f>
        <v>C343</v>
      </c>
      <c r="B344" s="12" t="str">
        <f>tblComponents[Component_Name]</f>
        <v>Component 343</v>
      </c>
      <c r="C344" t="str">
        <f>tblComponents[Sourcing_Type]</f>
        <v>Buy</v>
      </c>
      <c r="D344">
        <f>tblComponents[Forecast_Demand]</f>
        <v>1320</v>
      </c>
      <c r="E344">
        <f>tblComponents[Selling_Price_Per_Unit]</f>
        <v>501.53</v>
      </c>
      <c r="F344">
        <f>tblComponents[Variable_Cost_Per_Unit]</f>
        <v>356.42</v>
      </c>
      <c r="G344">
        <f>tblComponents[Direct_Labor_Cost_Per_Unit]</f>
        <v>0</v>
      </c>
      <c r="H344">
        <f>tblComponents[Contribution_Per_Unit]</f>
        <v>145.11000000000001</v>
      </c>
      <c r="I344">
        <f>tblComponents[Contribution_Margin]</f>
        <v>0.2893</v>
      </c>
      <c r="J344">
        <f>tblComponents[Actual_Cycle_Time_Min]/60</f>
        <v>0</v>
      </c>
      <c r="K344">
        <f t="shared" si="33"/>
        <v>0</v>
      </c>
      <c r="L344">
        <f>H344*tblComponents[Planned_Production_or_Procurement]</f>
        <v>3696967.47</v>
      </c>
      <c r="M344" t="str">
        <f t="shared" si="34"/>
        <v/>
      </c>
      <c r="N344" t="str">
        <f t="shared" si="35"/>
        <v>Not Applicable</v>
      </c>
      <c r="O344" t="str">
        <f>tblComponents[Criticality]</f>
        <v>Critical</v>
      </c>
      <c r="P344">
        <f>tblComponents[Planned_Production_or_Procurement]</f>
        <v>25477</v>
      </c>
      <c r="Q344">
        <f t="shared" si="36"/>
        <v>0</v>
      </c>
      <c r="R344" t="str">
        <f t="shared" si="37"/>
        <v>Critical</v>
      </c>
      <c r="S344" t="str">
        <f t="shared" si="38"/>
        <v>Not Applicable</v>
      </c>
    </row>
    <row r="345" spans="1:19" x14ac:dyDescent="0.35">
      <c r="A345" s="12" t="str">
        <f>tblComponents[Component_ID]</f>
        <v>C344</v>
      </c>
      <c r="B345" s="12" t="str">
        <f>tblComponents[Component_Name]</f>
        <v>Component 344</v>
      </c>
      <c r="C345" t="str">
        <f>tblComponents[Sourcing_Type]</f>
        <v>Buy</v>
      </c>
      <c r="D345">
        <f>tblComponents[Forecast_Demand]</f>
        <v>2673</v>
      </c>
      <c r="E345">
        <f>tblComponents[Selling_Price_Per_Unit]</f>
        <v>994.48</v>
      </c>
      <c r="F345">
        <f>tblComponents[Variable_Cost_Per_Unit]</f>
        <v>835.62</v>
      </c>
      <c r="G345">
        <f>tblComponents[Direct_Labor_Cost_Per_Unit]</f>
        <v>0</v>
      </c>
      <c r="H345">
        <f>tblComponents[Contribution_Per_Unit]</f>
        <v>158.86000000000001</v>
      </c>
      <c r="I345">
        <f>tblComponents[Contribution_Margin]</f>
        <v>0.15970000000000001</v>
      </c>
      <c r="J345">
        <f>tblComponents[Actual_Cycle_Time_Min]/60</f>
        <v>0</v>
      </c>
      <c r="K345">
        <f t="shared" si="33"/>
        <v>0</v>
      </c>
      <c r="L345">
        <f>H345*tblComponents[Planned_Production_or_Procurement]</f>
        <v>5073035.24</v>
      </c>
      <c r="M345" t="str">
        <f t="shared" si="34"/>
        <v/>
      </c>
      <c r="N345" t="str">
        <f t="shared" si="35"/>
        <v>Not Applicable</v>
      </c>
      <c r="O345" t="str">
        <f>tblComponents[Criticality]</f>
        <v>Medium</v>
      </c>
      <c r="P345">
        <f>tblComponents[Planned_Production_or_Procurement]</f>
        <v>31934</v>
      </c>
      <c r="Q345">
        <f t="shared" si="36"/>
        <v>0</v>
      </c>
      <c r="R345" t="str">
        <f t="shared" si="37"/>
        <v>Medium</v>
      </c>
      <c r="S345" t="str">
        <f t="shared" si="38"/>
        <v>Not Applicable</v>
      </c>
    </row>
    <row r="346" spans="1:19" x14ac:dyDescent="0.35">
      <c r="A346" s="12" t="str">
        <f>tblComponents[Component_ID]</f>
        <v>C345</v>
      </c>
      <c r="B346" s="12" t="str">
        <f>tblComponents[Component_Name]</f>
        <v>Component 345</v>
      </c>
      <c r="C346" t="str">
        <f>tblComponents[Sourcing_Type]</f>
        <v>Buy</v>
      </c>
      <c r="D346">
        <f>tblComponents[Forecast_Demand]</f>
        <v>1854</v>
      </c>
      <c r="E346">
        <f>tblComponents[Selling_Price_Per_Unit]</f>
        <v>1726.69</v>
      </c>
      <c r="F346">
        <f>tblComponents[Variable_Cost_Per_Unit]</f>
        <v>1179.83</v>
      </c>
      <c r="G346">
        <f>tblComponents[Direct_Labor_Cost_Per_Unit]</f>
        <v>0</v>
      </c>
      <c r="H346">
        <f>tblComponents[Contribution_Per_Unit]</f>
        <v>546.86</v>
      </c>
      <c r="I346">
        <f>tblComponents[Contribution_Margin]</f>
        <v>0.31669999999999998</v>
      </c>
      <c r="J346">
        <f>tblComponents[Actual_Cycle_Time_Min]/60</f>
        <v>0</v>
      </c>
      <c r="K346">
        <f t="shared" si="33"/>
        <v>0</v>
      </c>
      <c r="L346">
        <f>H346*tblComponents[Planned_Production_or_Procurement]</f>
        <v>8234071.0200000005</v>
      </c>
      <c r="M346" t="str">
        <f t="shared" si="34"/>
        <v/>
      </c>
      <c r="N346" t="str">
        <f t="shared" si="35"/>
        <v>Not Applicable</v>
      </c>
      <c r="O346" t="str">
        <f>tblComponents[Criticality]</f>
        <v>Critical</v>
      </c>
      <c r="P346">
        <f>tblComponents[Planned_Production_or_Procurement]</f>
        <v>15057</v>
      </c>
      <c r="Q346">
        <f t="shared" si="36"/>
        <v>0</v>
      </c>
      <c r="R346" t="str">
        <f t="shared" si="37"/>
        <v>Critical</v>
      </c>
      <c r="S346" t="str">
        <f t="shared" si="38"/>
        <v>Not Applicable</v>
      </c>
    </row>
    <row r="347" spans="1:19" x14ac:dyDescent="0.35">
      <c r="A347" s="12" t="str">
        <f>tblComponents[Component_ID]</f>
        <v>C346</v>
      </c>
      <c r="B347" s="12" t="str">
        <f>tblComponents[Component_Name]</f>
        <v>Component 346</v>
      </c>
      <c r="C347" t="str">
        <f>tblComponents[Sourcing_Type]</f>
        <v>Buy</v>
      </c>
      <c r="D347">
        <f>tblComponents[Forecast_Demand]</f>
        <v>1050</v>
      </c>
      <c r="E347">
        <f>tblComponents[Selling_Price_Per_Unit]</f>
        <v>2026.77</v>
      </c>
      <c r="F347">
        <f>tblComponents[Variable_Cost_Per_Unit]</f>
        <v>1559.08</v>
      </c>
      <c r="G347">
        <f>tblComponents[Direct_Labor_Cost_Per_Unit]</f>
        <v>0</v>
      </c>
      <c r="H347">
        <f>tblComponents[Contribution_Per_Unit]</f>
        <v>467.69</v>
      </c>
      <c r="I347">
        <f>tblComponents[Contribution_Margin]</f>
        <v>0.23080000000000001</v>
      </c>
      <c r="J347">
        <f>tblComponents[Actual_Cycle_Time_Min]/60</f>
        <v>0</v>
      </c>
      <c r="K347">
        <f t="shared" si="33"/>
        <v>0</v>
      </c>
      <c r="L347">
        <f>H347*tblComponents[Planned_Production_or_Procurement]</f>
        <v>20072787.109999999</v>
      </c>
      <c r="M347" t="str">
        <f t="shared" si="34"/>
        <v/>
      </c>
      <c r="N347" t="str">
        <f t="shared" si="35"/>
        <v>Not Applicable</v>
      </c>
      <c r="O347" t="str">
        <f>tblComponents[Criticality]</f>
        <v>High</v>
      </c>
      <c r="P347">
        <f>tblComponents[Planned_Production_or_Procurement]</f>
        <v>42919</v>
      </c>
      <c r="Q347">
        <f t="shared" si="36"/>
        <v>0</v>
      </c>
      <c r="R347" t="str">
        <f t="shared" si="37"/>
        <v>High</v>
      </c>
      <c r="S347" t="str">
        <f t="shared" si="38"/>
        <v>Not Applicable</v>
      </c>
    </row>
    <row r="348" spans="1:19" x14ac:dyDescent="0.35">
      <c r="A348" s="12" t="str">
        <f>tblComponents[Component_ID]</f>
        <v>C347</v>
      </c>
      <c r="B348" s="12" t="str">
        <f>tblComponents[Component_Name]</f>
        <v>Component 347</v>
      </c>
      <c r="C348" t="str">
        <f>tblComponents[Sourcing_Type]</f>
        <v>Buy</v>
      </c>
      <c r="D348">
        <f>tblComponents[Forecast_Demand]</f>
        <v>546</v>
      </c>
      <c r="E348">
        <f>tblComponents[Selling_Price_Per_Unit]</f>
        <v>993.49</v>
      </c>
      <c r="F348">
        <f>tblComponents[Variable_Cost_Per_Unit]</f>
        <v>621.45000000000005</v>
      </c>
      <c r="G348">
        <f>tblComponents[Direct_Labor_Cost_Per_Unit]</f>
        <v>0</v>
      </c>
      <c r="H348">
        <f>tblComponents[Contribution_Per_Unit]</f>
        <v>372.04</v>
      </c>
      <c r="I348">
        <f>tblComponents[Contribution_Margin]</f>
        <v>0.3745</v>
      </c>
      <c r="J348">
        <f>tblComponents[Actual_Cycle_Time_Min]/60</f>
        <v>0</v>
      </c>
      <c r="K348">
        <f t="shared" si="33"/>
        <v>0</v>
      </c>
      <c r="L348">
        <f>H348*tblComponents[Planned_Production_or_Procurement]</f>
        <v>5955988.3600000003</v>
      </c>
      <c r="M348" t="str">
        <f t="shared" si="34"/>
        <v/>
      </c>
      <c r="N348" t="str">
        <f t="shared" si="35"/>
        <v>Not Applicable</v>
      </c>
      <c r="O348" t="str">
        <f>tblComponents[Criticality]</f>
        <v>Medium</v>
      </c>
      <c r="P348">
        <f>tblComponents[Planned_Production_or_Procurement]</f>
        <v>16009</v>
      </c>
      <c r="Q348">
        <f t="shared" si="36"/>
        <v>0</v>
      </c>
      <c r="R348" t="str">
        <f t="shared" si="37"/>
        <v>Medium</v>
      </c>
      <c r="S348" t="str">
        <f t="shared" si="38"/>
        <v>Not Applicable</v>
      </c>
    </row>
    <row r="349" spans="1:19" x14ac:dyDescent="0.35">
      <c r="A349" s="12" t="str">
        <f>tblComponents[Component_ID]</f>
        <v>C348</v>
      </c>
      <c r="B349" s="12" t="str">
        <f>tblComponents[Component_Name]</f>
        <v>Component 348</v>
      </c>
      <c r="C349" t="str">
        <f>tblComponents[Sourcing_Type]</f>
        <v>Buy</v>
      </c>
      <c r="D349">
        <f>tblComponents[Forecast_Demand]</f>
        <v>1906</v>
      </c>
      <c r="E349">
        <f>tblComponents[Selling_Price_Per_Unit]</f>
        <v>656.77</v>
      </c>
      <c r="F349">
        <f>tblComponents[Variable_Cost_Per_Unit]</f>
        <v>412.43</v>
      </c>
      <c r="G349">
        <f>tblComponents[Direct_Labor_Cost_Per_Unit]</f>
        <v>0</v>
      </c>
      <c r="H349">
        <f>tblComponents[Contribution_Per_Unit]</f>
        <v>244.34</v>
      </c>
      <c r="I349">
        <f>tblComponents[Contribution_Margin]</f>
        <v>0.372</v>
      </c>
      <c r="J349">
        <f>tblComponents[Actual_Cycle_Time_Min]/60</f>
        <v>0</v>
      </c>
      <c r="K349">
        <f t="shared" si="33"/>
        <v>0</v>
      </c>
      <c r="L349">
        <f>H349*tblComponents[Planned_Production_or_Procurement]</f>
        <v>8499855.5800000001</v>
      </c>
      <c r="M349" t="str">
        <f t="shared" si="34"/>
        <v/>
      </c>
      <c r="N349" t="str">
        <f t="shared" si="35"/>
        <v>Not Applicable</v>
      </c>
      <c r="O349" t="str">
        <f>tblComponents[Criticality]</f>
        <v>Medium</v>
      </c>
      <c r="P349">
        <f>tblComponents[Planned_Production_or_Procurement]</f>
        <v>34787</v>
      </c>
      <c r="Q349">
        <f t="shared" si="36"/>
        <v>0</v>
      </c>
      <c r="R349" t="str">
        <f t="shared" si="37"/>
        <v>Medium</v>
      </c>
      <c r="S349" t="str">
        <f t="shared" si="38"/>
        <v>Not Applicable</v>
      </c>
    </row>
    <row r="350" spans="1:19" x14ac:dyDescent="0.35">
      <c r="A350" s="12" t="str">
        <f>tblComponents[Component_ID]</f>
        <v>C349</v>
      </c>
      <c r="B350" s="12" t="str">
        <f>tblComponents[Component_Name]</f>
        <v>Component 349</v>
      </c>
      <c r="C350" t="str">
        <f>tblComponents[Sourcing_Type]</f>
        <v>Buy</v>
      </c>
      <c r="D350">
        <f>tblComponents[Forecast_Demand]</f>
        <v>1292</v>
      </c>
      <c r="E350">
        <f>tblComponents[Selling_Price_Per_Unit]</f>
        <v>1094.0899999999999</v>
      </c>
      <c r="F350">
        <f>tblComponents[Variable_Cost_Per_Unit]</f>
        <v>841</v>
      </c>
      <c r="G350">
        <f>tblComponents[Direct_Labor_Cost_Per_Unit]</f>
        <v>0</v>
      </c>
      <c r="H350">
        <f>tblComponents[Contribution_Per_Unit]</f>
        <v>253.09</v>
      </c>
      <c r="I350">
        <f>tblComponents[Contribution_Margin]</f>
        <v>0.23130000000000001</v>
      </c>
      <c r="J350">
        <f>tblComponents[Actual_Cycle_Time_Min]/60</f>
        <v>0</v>
      </c>
      <c r="K350">
        <f t="shared" si="33"/>
        <v>0</v>
      </c>
      <c r="L350">
        <f>H350*tblComponents[Planned_Production_or_Procurement]</f>
        <v>7135872.5499999998</v>
      </c>
      <c r="M350" t="str">
        <f t="shared" si="34"/>
        <v/>
      </c>
      <c r="N350" t="str">
        <f t="shared" si="35"/>
        <v>Not Applicable</v>
      </c>
      <c r="O350" t="str">
        <f>tblComponents[Criticality]</f>
        <v>Low</v>
      </c>
      <c r="P350">
        <f>tblComponents[Planned_Production_or_Procurement]</f>
        <v>28195</v>
      </c>
      <c r="Q350">
        <f t="shared" si="36"/>
        <v>0</v>
      </c>
      <c r="R350" t="str">
        <f t="shared" si="37"/>
        <v>Low</v>
      </c>
      <c r="S350" t="str">
        <f t="shared" si="38"/>
        <v>Not Applicable</v>
      </c>
    </row>
    <row r="351" spans="1:19" x14ac:dyDescent="0.35">
      <c r="A351" s="12" t="str">
        <f>tblComponents[Component_ID]</f>
        <v>C350</v>
      </c>
      <c r="B351" s="12" t="str">
        <f>tblComponents[Component_Name]</f>
        <v>Component 350</v>
      </c>
      <c r="C351" t="str">
        <f>tblComponents[Sourcing_Type]</f>
        <v>Buy</v>
      </c>
      <c r="D351">
        <f>tblComponents[Forecast_Demand]</f>
        <v>202</v>
      </c>
      <c r="E351">
        <f>tblComponents[Selling_Price_Per_Unit]</f>
        <v>914.67</v>
      </c>
      <c r="F351">
        <f>tblComponents[Variable_Cost_Per_Unit]</f>
        <v>571.45000000000005</v>
      </c>
      <c r="G351">
        <f>tblComponents[Direct_Labor_Cost_Per_Unit]</f>
        <v>0</v>
      </c>
      <c r="H351">
        <f>tblComponents[Contribution_Per_Unit]</f>
        <v>343.22</v>
      </c>
      <c r="I351">
        <f>tblComponents[Contribution_Margin]</f>
        <v>0.37519999999999998</v>
      </c>
      <c r="J351">
        <f>tblComponents[Actual_Cycle_Time_Min]/60</f>
        <v>0</v>
      </c>
      <c r="K351">
        <f t="shared" si="33"/>
        <v>0</v>
      </c>
      <c r="L351">
        <f>H351*tblComponents[Planned_Production_or_Procurement]</f>
        <v>8942253.8800000008</v>
      </c>
      <c r="M351" t="str">
        <f t="shared" si="34"/>
        <v/>
      </c>
      <c r="N351" t="str">
        <f t="shared" si="35"/>
        <v>Not Applicable</v>
      </c>
      <c r="O351" t="str">
        <f>tblComponents[Criticality]</f>
        <v>Low</v>
      </c>
      <c r="P351">
        <f>tblComponents[Planned_Production_or_Procurement]</f>
        <v>26054</v>
      </c>
      <c r="Q351">
        <f t="shared" si="36"/>
        <v>0</v>
      </c>
      <c r="R351" t="str">
        <f t="shared" si="37"/>
        <v>Low</v>
      </c>
      <c r="S351" t="str">
        <f t="shared" si="38"/>
        <v>Not Applicable</v>
      </c>
    </row>
    <row r="352" spans="1:19" x14ac:dyDescent="0.35">
      <c r="A352" s="12" t="str">
        <f>tblComponents[Component_ID]</f>
        <v>C351</v>
      </c>
      <c r="B352" s="12" t="str">
        <f>tblComponents[Component_Name]</f>
        <v>Component 351</v>
      </c>
      <c r="C352" t="str">
        <f>tblComponents[Sourcing_Type]</f>
        <v>Buy</v>
      </c>
      <c r="D352">
        <f>tblComponents[Forecast_Demand]</f>
        <v>1056</v>
      </c>
      <c r="E352">
        <f>tblComponents[Selling_Price_Per_Unit]</f>
        <v>1601.94</v>
      </c>
      <c r="F352">
        <f>tblComponents[Variable_Cost_Per_Unit]</f>
        <v>962.7</v>
      </c>
      <c r="G352">
        <f>tblComponents[Direct_Labor_Cost_Per_Unit]</f>
        <v>0</v>
      </c>
      <c r="H352">
        <f>tblComponents[Contribution_Per_Unit]</f>
        <v>639.24</v>
      </c>
      <c r="I352">
        <f>tblComponents[Contribution_Margin]</f>
        <v>0.39900000000000002</v>
      </c>
      <c r="J352">
        <f>tblComponents[Actual_Cycle_Time_Min]/60</f>
        <v>0</v>
      </c>
      <c r="K352">
        <f t="shared" si="33"/>
        <v>0</v>
      </c>
      <c r="L352">
        <f>H352*tblComponents[Planned_Production_or_Procurement]</f>
        <v>24915018.240000002</v>
      </c>
      <c r="M352" t="str">
        <f t="shared" si="34"/>
        <v/>
      </c>
      <c r="N352" t="str">
        <f t="shared" si="35"/>
        <v>Not Applicable</v>
      </c>
      <c r="O352" t="str">
        <f>tblComponents[Criticality]</f>
        <v>Low</v>
      </c>
      <c r="P352">
        <f>tblComponents[Planned_Production_or_Procurement]</f>
        <v>38976</v>
      </c>
      <c r="Q352">
        <f t="shared" si="36"/>
        <v>0</v>
      </c>
      <c r="R352" t="str">
        <f t="shared" si="37"/>
        <v>Low</v>
      </c>
      <c r="S352" t="str">
        <f t="shared" si="38"/>
        <v>Not Applicable</v>
      </c>
    </row>
    <row r="353" spans="1:19" x14ac:dyDescent="0.35">
      <c r="A353" s="12" t="str">
        <f>tblComponents[Component_ID]</f>
        <v>C352</v>
      </c>
      <c r="B353" s="12" t="str">
        <f>tblComponents[Component_Name]</f>
        <v>Component 352</v>
      </c>
      <c r="C353" t="str">
        <f>tblComponents[Sourcing_Type]</f>
        <v>Buy</v>
      </c>
      <c r="D353">
        <f>tblComponents[Forecast_Demand]</f>
        <v>196</v>
      </c>
      <c r="E353">
        <f>tblComponents[Selling_Price_Per_Unit]</f>
        <v>2286.83</v>
      </c>
      <c r="F353">
        <f>tblComponents[Variable_Cost_Per_Unit]</f>
        <v>1471.91</v>
      </c>
      <c r="G353">
        <f>tblComponents[Direct_Labor_Cost_Per_Unit]</f>
        <v>0</v>
      </c>
      <c r="H353">
        <f>tblComponents[Contribution_Per_Unit]</f>
        <v>814.92</v>
      </c>
      <c r="I353">
        <f>tblComponents[Contribution_Margin]</f>
        <v>0.35639999999999999</v>
      </c>
      <c r="J353">
        <f>tblComponents[Actual_Cycle_Time_Min]/60</f>
        <v>0</v>
      </c>
      <c r="K353">
        <f t="shared" si="33"/>
        <v>0</v>
      </c>
      <c r="L353">
        <f>H353*tblComponents[Planned_Production_or_Procurement]</f>
        <v>14298586.319999998</v>
      </c>
      <c r="M353" t="str">
        <f t="shared" si="34"/>
        <v/>
      </c>
      <c r="N353" t="str">
        <f t="shared" si="35"/>
        <v>Not Applicable</v>
      </c>
      <c r="O353" t="str">
        <f>tblComponents[Criticality]</f>
        <v>Low</v>
      </c>
      <c r="P353">
        <f>tblComponents[Planned_Production_or_Procurement]</f>
        <v>17546</v>
      </c>
      <c r="Q353">
        <f t="shared" si="36"/>
        <v>0</v>
      </c>
      <c r="R353" t="str">
        <f t="shared" si="37"/>
        <v>Low</v>
      </c>
      <c r="S353" t="str">
        <f t="shared" si="38"/>
        <v>Not Applicable</v>
      </c>
    </row>
    <row r="354" spans="1:19" x14ac:dyDescent="0.35">
      <c r="A354" s="12" t="str">
        <f>tblComponents[Component_ID]</f>
        <v>C353</v>
      </c>
      <c r="B354" s="12" t="str">
        <f>tblComponents[Component_Name]</f>
        <v>Component 353</v>
      </c>
      <c r="C354" t="str">
        <f>tblComponents[Sourcing_Type]</f>
        <v>Buy</v>
      </c>
      <c r="D354">
        <f>tblComponents[Forecast_Demand]</f>
        <v>995</v>
      </c>
      <c r="E354">
        <f>tblComponents[Selling_Price_Per_Unit]</f>
        <v>792.6</v>
      </c>
      <c r="F354">
        <f>tblComponents[Variable_Cost_Per_Unit]</f>
        <v>506.3</v>
      </c>
      <c r="G354">
        <f>tblComponents[Direct_Labor_Cost_Per_Unit]</f>
        <v>0</v>
      </c>
      <c r="H354">
        <f>tblComponents[Contribution_Per_Unit]</f>
        <v>286.3</v>
      </c>
      <c r="I354">
        <f>tblComponents[Contribution_Margin]</f>
        <v>0.36120000000000002</v>
      </c>
      <c r="J354">
        <f>tblComponents[Actual_Cycle_Time_Min]/60</f>
        <v>0</v>
      </c>
      <c r="K354">
        <f t="shared" si="33"/>
        <v>0</v>
      </c>
      <c r="L354">
        <f>H354*tblComponents[Planned_Production_or_Procurement]</f>
        <v>11926399.1</v>
      </c>
      <c r="M354" t="str">
        <f t="shared" si="34"/>
        <v/>
      </c>
      <c r="N354" t="str">
        <f t="shared" si="35"/>
        <v>Not Applicable</v>
      </c>
      <c r="O354" t="str">
        <f>tblComponents[Criticality]</f>
        <v>Medium</v>
      </c>
      <c r="P354">
        <f>tblComponents[Planned_Production_or_Procurement]</f>
        <v>41657</v>
      </c>
      <c r="Q354">
        <f t="shared" si="36"/>
        <v>0</v>
      </c>
      <c r="R354" t="str">
        <f t="shared" si="37"/>
        <v>Medium</v>
      </c>
      <c r="S354" t="str">
        <f t="shared" si="38"/>
        <v>Not Applicable</v>
      </c>
    </row>
    <row r="355" spans="1:19" x14ac:dyDescent="0.35">
      <c r="A355" s="12" t="str">
        <f>tblComponents[Component_ID]</f>
        <v>C354</v>
      </c>
      <c r="B355" s="12" t="str">
        <f>tblComponents[Component_Name]</f>
        <v>Component 354</v>
      </c>
      <c r="C355" t="str">
        <f>tblComponents[Sourcing_Type]</f>
        <v>Buy</v>
      </c>
      <c r="D355">
        <f>tblComponents[Forecast_Demand]</f>
        <v>1525</v>
      </c>
      <c r="E355">
        <f>tblComponents[Selling_Price_Per_Unit]</f>
        <v>1246.5</v>
      </c>
      <c r="F355">
        <f>tblComponents[Variable_Cost_Per_Unit]</f>
        <v>981.93</v>
      </c>
      <c r="G355">
        <f>tblComponents[Direct_Labor_Cost_Per_Unit]</f>
        <v>0</v>
      </c>
      <c r="H355">
        <f>tblComponents[Contribution_Per_Unit]</f>
        <v>264.57</v>
      </c>
      <c r="I355">
        <f>tblComponents[Contribution_Margin]</f>
        <v>0.21229999999999999</v>
      </c>
      <c r="J355">
        <f>tblComponents[Actual_Cycle_Time_Min]/60</f>
        <v>0</v>
      </c>
      <c r="K355">
        <f t="shared" si="33"/>
        <v>0</v>
      </c>
      <c r="L355">
        <f>H355*tblComponents[Planned_Production_or_Procurement]</f>
        <v>10829643.810000001</v>
      </c>
      <c r="M355" t="str">
        <f t="shared" si="34"/>
        <v/>
      </c>
      <c r="N355" t="str">
        <f t="shared" si="35"/>
        <v>Not Applicable</v>
      </c>
      <c r="O355" t="str">
        <f>tblComponents[Criticality]</f>
        <v>Low</v>
      </c>
      <c r="P355">
        <f>tblComponents[Planned_Production_or_Procurement]</f>
        <v>40933</v>
      </c>
      <c r="Q355">
        <f t="shared" si="36"/>
        <v>0</v>
      </c>
      <c r="R355" t="str">
        <f t="shared" si="37"/>
        <v>Low</v>
      </c>
      <c r="S355" t="str">
        <f t="shared" si="38"/>
        <v>Not Applicable</v>
      </c>
    </row>
    <row r="356" spans="1:19" x14ac:dyDescent="0.35">
      <c r="A356" s="12" t="str">
        <f>tblComponents[Component_ID]</f>
        <v>C355</v>
      </c>
      <c r="B356" s="12" t="str">
        <f>tblComponents[Component_Name]</f>
        <v>Component 355</v>
      </c>
      <c r="C356" t="str">
        <f>tblComponents[Sourcing_Type]</f>
        <v>Buy</v>
      </c>
      <c r="D356">
        <f>tblComponents[Forecast_Demand]</f>
        <v>973</v>
      </c>
      <c r="E356">
        <f>tblComponents[Selling_Price_Per_Unit]</f>
        <v>1140.6500000000001</v>
      </c>
      <c r="F356">
        <f>tblComponents[Variable_Cost_Per_Unit]</f>
        <v>805.1</v>
      </c>
      <c r="G356">
        <f>tblComponents[Direct_Labor_Cost_Per_Unit]</f>
        <v>0</v>
      </c>
      <c r="H356">
        <f>tblComponents[Contribution_Per_Unit]</f>
        <v>335.55</v>
      </c>
      <c r="I356">
        <f>tblComponents[Contribution_Margin]</f>
        <v>0.29420000000000002</v>
      </c>
      <c r="J356">
        <f>tblComponents[Actual_Cycle_Time_Min]/60</f>
        <v>0</v>
      </c>
      <c r="K356">
        <f t="shared" si="33"/>
        <v>0</v>
      </c>
      <c r="L356">
        <f>H356*tblComponents[Planned_Production_or_Procurement]</f>
        <v>8846104.6500000004</v>
      </c>
      <c r="M356" t="str">
        <f t="shared" si="34"/>
        <v/>
      </c>
      <c r="N356" t="str">
        <f t="shared" si="35"/>
        <v>Not Applicable</v>
      </c>
      <c r="O356" t="str">
        <f>tblComponents[Criticality]</f>
        <v>Medium</v>
      </c>
      <c r="P356">
        <f>tblComponents[Planned_Production_or_Procurement]</f>
        <v>26363</v>
      </c>
      <c r="Q356">
        <f t="shared" si="36"/>
        <v>0</v>
      </c>
      <c r="R356" t="str">
        <f t="shared" si="37"/>
        <v>Medium</v>
      </c>
      <c r="S356" t="str">
        <f t="shared" si="38"/>
        <v>Not Applicable</v>
      </c>
    </row>
    <row r="357" spans="1:19" x14ac:dyDescent="0.35">
      <c r="A357" s="12" t="str">
        <f>tblComponents[Component_ID]</f>
        <v>C356</v>
      </c>
      <c r="B357" s="12" t="str">
        <f>tblComponents[Component_Name]</f>
        <v>Component 356</v>
      </c>
      <c r="C357" t="str">
        <f>tblComponents[Sourcing_Type]</f>
        <v>Buy</v>
      </c>
      <c r="D357">
        <f>tblComponents[Forecast_Demand]</f>
        <v>276</v>
      </c>
      <c r="E357">
        <f>tblComponents[Selling_Price_Per_Unit]</f>
        <v>230.56</v>
      </c>
      <c r="F357">
        <f>tblComponents[Variable_Cost_Per_Unit]</f>
        <v>192.1</v>
      </c>
      <c r="G357">
        <f>tblComponents[Direct_Labor_Cost_Per_Unit]</f>
        <v>0</v>
      </c>
      <c r="H357">
        <f>tblComponents[Contribution_Per_Unit]</f>
        <v>38.46</v>
      </c>
      <c r="I357">
        <f>tblComponents[Contribution_Margin]</f>
        <v>0.1668</v>
      </c>
      <c r="J357">
        <f>tblComponents[Actual_Cycle_Time_Min]/60</f>
        <v>0</v>
      </c>
      <c r="K357">
        <f t="shared" si="33"/>
        <v>0</v>
      </c>
      <c r="L357">
        <f>H357*tblComponents[Planned_Production_or_Procurement]</f>
        <v>715702.14</v>
      </c>
      <c r="M357" t="str">
        <f t="shared" si="34"/>
        <v/>
      </c>
      <c r="N357" t="str">
        <f t="shared" si="35"/>
        <v>Not Applicable</v>
      </c>
      <c r="O357" t="str">
        <f>tblComponents[Criticality]</f>
        <v>High</v>
      </c>
      <c r="P357">
        <f>tblComponents[Planned_Production_or_Procurement]</f>
        <v>18609</v>
      </c>
      <c r="Q357">
        <f t="shared" si="36"/>
        <v>0</v>
      </c>
      <c r="R357" t="str">
        <f t="shared" si="37"/>
        <v>High</v>
      </c>
      <c r="S357" t="str">
        <f t="shared" si="38"/>
        <v>Not Applicable</v>
      </c>
    </row>
    <row r="358" spans="1:19" x14ac:dyDescent="0.35">
      <c r="A358" s="12" t="str">
        <f>tblComponents[Component_ID]</f>
        <v>C357</v>
      </c>
      <c r="B358" s="12" t="str">
        <f>tblComponents[Component_Name]</f>
        <v>Component 357</v>
      </c>
      <c r="C358" t="str">
        <f>tblComponents[Sourcing_Type]</f>
        <v>Buy</v>
      </c>
      <c r="D358">
        <f>tblComponents[Forecast_Demand]</f>
        <v>955</v>
      </c>
      <c r="E358">
        <f>tblComponents[Selling_Price_Per_Unit]</f>
        <v>2089.9299999999998</v>
      </c>
      <c r="F358">
        <f>tblComponents[Variable_Cost_Per_Unit]</f>
        <v>1726.85</v>
      </c>
      <c r="G358">
        <f>tblComponents[Direct_Labor_Cost_Per_Unit]</f>
        <v>0</v>
      </c>
      <c r="H358">
        <f>tblComponents[Contribution_Per_Unit]</f>
        <v>363.08</v>
      </c>
      <c r="I358">
        <f>tblComponents[Contribution_Margin]</f>
        <v>0.17369999999999999</v>
      </c>
      <c r="J358">
        <f>tblComponents[Actual_Cycle_Time_Min]/60</f>
        <v>0</v>
      </c>
      <c r="K358">
        <f t="shared" si="33"/>
        <v>0</v>
      </c>
      <c r="L358">
        <f>H358*tblComponents[Planned_Production_or_Procurement]</f>
        <v>18680829.079999998</v>
      </c>
      <c r="M358" t="str">
        <f t="shared" si="34"/>
        <v/>
      </c>
      <c r="N358" t="str">
        <f t="shared" si="35"/>
        <v>Not Applicable</v>
      </c>
      <c r="O358" t="str">
        <f>tblComponents[Criticality]</f>
        <v>Critical</v>
      </c>
      <c r="P358">
        <f>tblComponents[Planned_Production_or_Procurement]</f>
        <v>51451</v>
      </c>
      <c r="Q358">
        <f t="shared" si="36"/>
        <v>0</v>
      </c>
      <c r="R358" t="str">
        <f t="shared" si="37"/>
        <v>Critical</v>
      </c>
      <c r="S358" t="str">
        <f t="shared" si="38"/>
        <v>Not Applicable</v>
      </c>
    </row>
    <row r="359" spans="1:19" x14ac:dyDescent="0.35">
      <c r="A359" s="12" t="str">
        <f>tblComponents[Component_ID]</f>
        <v>C358</v>
      </c>
      <c r="B359" s="12" t="str">
        <f>tblComponents[Component_Name]</f>
        <v>Component 358</v>
      </c>
      <c r="C359" t="str">
        <f>tblComponents[Sourcing_Type]</f>
        <v>Buy</v>
      </c>
      <c r="D359">
        <f>tblComponents[Forecast_Demand]</f>
        <v>655</v>
      </c>
      <c r="E359">
        <f>tblComponents[Selling_Price_Per_Unit]</f>
        <v>1086.5999999999999</v>
      </c>
      <c r="F359">
        <f>tblComponents[Variable_Cost_Per_Unit]</f>
        <v>652.26</v>
      </c>
      <c r="G359">
        <f>tblComponents[Direct_Labor_Cost_Per_Unit]</f>
        <v>0</v>
      </c>
      <c r="H359">
        <f>tblComponents[Contribution_Per_Unit]</f>
        <v>434.34</v>
      </c>
      <c r="I359">
        <f>tblComponents[Contribution_Margin]</f>
        <v>0.3997</v>
      </c>
      <c r="J359">
        <f>tblComponents[Actual_Cycle_Time_Min]/60</f>
        <v>0</v>
      </c>
      <c r="K359">
        <f t="shared" si="33"/>
        <v>0</v>
      </c>
      <c r="L359">
        <f>H359*tblComponents[Planned_Production_or_Procurement]</f>
        <v>16960108.32</v>
      </c>
      <c r="M359" t="str">
        <f t="shared" si="34"/>
        <v/>
      </c>
      <c r="N359" t="str">
        <f t="shared" si="35"/>
        <v>Not Applicable</v>
      </c>
      <c r="O359" t="str">
        <f>tblComponents[Criticality]</f>
        <v>Critical</v>
      </c>
      <c r="P359">
        <f>tblComponents[Planned_Production_or_Procurement]</f>
        <v>39048</v>
      </c>
      <c r="Q359">
        <f t="shared" si="36"/>
        <v>0</v>
      </c>
      <c r="R359" t="str">
        <f t="shared" si="37"/>
        <v>Critical</v>
      </c>
      <c r="S359" t="str">
        <f t="shared" si="38"/>
        <v>Not Applicable</v>
      </c>
    </row>
    <row r="360" spans="1:19" x14ac:dyDescent="0.35">
      <c r="A360" s="12" t="str">
        <f>tblComponents[Component_ID]</f>
        <v>C359</v>
      </c>
      <c r="B360" s="12" t="str">
        <f>tblComponents[Component_Name]</f>
        <v>Component 359</v>
      </c>
      <c r="C360" t="str">
        <f>tblComponents[Sourcing_Type]</f>
        <v>Buy</v>
      </c>
      <c r="D360">
        <f>tblComponents[Forecast_Demand]</f>
        <v>1589</v>
      </c>
      <c r="E360">
        <f>tblComponents[Selling_Price_Per_Unit]</f>
        <v>2048.5500000000002</v>
      </c>
      <c r="F360">
        <f>tblComponents[Variable_Cost_Per_Unit]</f>
        <v>1573.98</v>
      </c>
      <c r="G360">
        <f>tblComponents[Direct_Labor_Cost_Per_Unit]</f>
        <v>0</v>
      </c>
      <c r="H360">
        <f>tblComponents[Contribution_Per_Unit]</f>
        <v>474.57</v>
      </c>
      <c r="I360">
        <f>tblComponents[Contribution_Margin]</f>
        <v>0.23169999999999999</v>
      </c>
      <c r="J360">
        <f>tblComponents[Actual_Cycle_Time_Min]/60</f>
        <v>0</v>
      </c>
      <c r="K360">
        <f t="shared" si="33"/>
        <v>0</v>
      </c>
      <c r="L360">
        <f>H360*tblComponents[Planned_Production_or_Procurement]</f>
        <v>12001875.300000001</v>
      </c>
      <c r="M360" t="str">
        <f t="shared" si="34"/>
        <v/>
      </c>
      <c r="N360" t="str">
        <f t="shared" si="35"/>
        <v>Not Applicable</v>
      </c>
      <c r="O360" t="str">
        <f>tblComponents[Criticality]</f>
        <v>Low</v>
      </c>
      <c r="P360">
        <f>tblComponents[Planned_Production_or_Procurement]</f>
        <v>25290</v>
      </c>
      <c r="Q360">
        <f t="shared" si="36"/>
        <v>0</v>
      </c>
      <c r="R360" t="str">
        <f t="shared" si="37"/>
        <v>Low</v>
      </c>
      <c r="S360" t="str">
        <f t="shared" si="38"/>
        <v>Not Applicable</v>
      </c>
    </row>
    <row r="361" spans="1:19" x14ac:dyDescent="0.35">
      <c r="A361" s="12" t="str">
        <f>tblComponents[Component_ID]</f>
        <v>C360</v>
      </c>
      <c r="B361" s="12" t="str">
        <f>tblComponents[Component_Name]</f>
        <v>Component 360</v>
      </c>
      <c r="C361" t="str">
        <f>tblComponents[Sourcing_Type]</f>
        <v>Buy</v>
      </c>
      <c r="D361">
        <f>tblComponents[Forecast_Demand]</f>
        <v>1137</v>
      </c>
      <c r="E361">
        <f>tblComponents[Selling_Price_Per_Unit]</f>
        <v>605.35</v>
      </c>
      <c r="F361">
        <f>tblComponents[Variable_Cost_Per_Unit]</f>
        <v>401.32</v>
      </c>
      <c r="G361">
        <f>tblComponents[Direct_Labor_Cost_Per_Unit]</f>
        <v>0</v>
      </c>
      <c r="H361">
        <f>tblComponents[Contribution_Per_Unit]</f>
        <v>204.03</v>
      </c>
      <c r="I361">
        <f>tblComponents[Contribution_Margin]</f>
        <v>0.33700000000000002</v>
      </c>
      <c r="J361">
        <f>tblComponents[Actual_Cycle_Time_Min]/60</f>
        <v>0</v>
      </c>
      <c r="K361">
        <f t="shared" si="33"/>
        <v>0</v>
      </c>
      <c r="L361">
        <f>H361*tblComponents[Planned_Production_or_Procurement]</f>
        <v>16540916.130000001</v>
      </c>
      <c r="M361" t="str">
        <f t="shared" si="34"/>
        <v/>
      </c>
      <c r="N361" t="str">
        <f t="shared" si="35"/>
        <v>Not Applicable</v>
      </c>
      <c r="O361" t="str">
        <f>tblComponents[Criticality]</f>
        <v>Critical</v>
      </c>
      <c r="P361">
        <f>tblComponents[Planned_Production_or_Procurement]</f>
        <v>81071</v>
      </c>
      <c r="Q361">
        <f t="shared" si="36"/>
        <v>0</v>
      </c>
      <c r="R361" t="str">
        <f t="shared" si="37"/>
        <v>Critical</v>
      </c>
      <c r="S361" t="str">
        <f t="shared" si="38"/>
        <v>Not Applicable</v>
      </c>
    </row>
    <row r="362" spans="1:19" x14ac:dyDescent="0.35">
      <c r="A362" s="12" t="str">
        <f>tblComponents[Component_ID]</f>
        <v>C361</v>
      </c>
      <c r="B362" s="12" t="str">
        <f>tblComponents[Component_Name]</f>
        <v>Component 361</v>
      </c>
      <c r="C362" t="str">
        <f>tblComponents[Sourcing_Type]</f>
        <v>Buy</v>
      </c>
      <c r="D362">
        <f>tblComponents[Forecast_Demand]</f>
        <v>921</v>
      </c>
      <c r="E362">
        <f>tblComponents[Selling_Price_Per_Unit]</f>
        <v>1485.61</v>
      </c>
      <c r="F362">
        <f>tblComponents[Variable_Cost_Per_Unit]</f>
        <v>963.17</v>
      </c>
      <c r="G362">
        <f>tblComponents[Direct_Labor_Cost_Per_Unit]</f>
        <v>0</v>
      </c>
      <c r="H362">
        <f>tblComponents[Contribution_Per_Unit]</f>
        <v>522.44000000000005</v>
      </c>
      <c r="I362">
        <f>tblComponents[Contribution_Margin]</f>
        <v>0.35170000000000001</v>
      </c>
      <c r="J362">
        <f>tblComponents[Actual_Cycle_Time_Min]/60</f>
        <v>0</v>
      </c>
      <c r="K362">
        <f t="shared" si="33"/>
        <v>0</v>
      </c>
      <c r="L362">
        <f>H362*tblComponents[Planned_Production_or_Procurement]</f>
        <v>23285673.240000002</v>
      </c>
      <c r="M362" t="str">
        <f t="shared" si="34"/>
        <v/>
      </c>
      <c r="N362" t="str">
        <f t="shared" si="35"/>
        <v>Not Applicable</v>
      </c>
      <c r="O362" t="str">
        <f>tblComponents[Criticality]</f>
        <v>Medium</v>
      </c>
      <c r="P362">
        <f>tblComponents[Planned_Production_or_Procurement]</f>
        <v>44571</v>
      </c>
      <c r="Q362">
        <f t="shared" si="36"/>
        <v>0</v>
      </c>
      <c r="R362" t="str">
        <f t="shared" si="37"/>
        <v>Medium</v>
      </c>
      <c r="S362" t="str">
        <f t="shared" si="38"/>
        <v>Not Applicable</v>
      </c>
    </row>
    <row r="363" spans="1:19" x14ac:dyDescent="0.35">
      <c r="A363" s="12" t="str">
        <f>tblComponents[Component_ID]</f>
        <v>C362</v>
      </c>
      <c r="B363" s="12" t="str">
        <f>tblComponents[Component_Name]</f>
        <v>Component 362</v>
      </c>
      <c r="C363" t="str">
        <f>tblComponents[Sourcing_Type]</f>
        <v>Buy</v>
      </c>
      <c r="D363">
        <f>tblComponents[Forecast_Demand]</f>
        <v>1649</v>
      </c>
      <c r="E363">
        <f>tblComponents[Selling_Price_Per_Unit]</f>
        <v>1103.44</v>
      </c>
      <c r="F363">
        <f>tblComponents[Variable_Cost_Per_Unit]</f>
        <v>701.23</v>
      </c>
      <c r="G363">
        <f>tblComponents[Direct_Labor_Cost_Per_Unit]</f>
        <v>0</v>
      </c>
      <c r="H363">
        <f>tblComponents[Contribution_Per_Unit]</f>
        <v>402.21</v>
      </c>
      <c r="I363">
        <f>tblComponents[Contribution_Margin]</f>
        <v>0.36449999999999999</v>
      </c>
      <c r="J363">
        <f>tblComponents[Actual_Cycle_Time_Min]/60</f>
        <v>0</v>
      </c>
      <c r="K363">
        <f t="shared" si="33"/>
        <v>0</v>
      </c>
      <c r="L363">
        <f>H363*tblComponents[Planned_Production_or_Procurement]</f>
        <v>26477484.299999997</v>
      </c>
      <c r="M363" t="str">
        <f t="shared" si="34"/>
        <v/>
      </c>
      <c r="N363" t="str">
        <f t="shared" si="35"/>
        <v>Not Applicable</v>
      </c>
      <c r="O363" t="str">
        <f>tblComponents[Criticality]</f>
        <v>Medium</v>
      </c>
      <c r="P363">
        <f>tblComponents[Planned_Production_or_Procurement]</f>
        <v>65830</v>
      </c>
      <c r="Q363">
        <f t="shared" si="36"/>
        <v>0</v>
      </c>
      <c r="R363" t="str">
        <f t="shared" si="37"/>
        <v>Medium</v>
      </c>
      <c r="S363" t="str">
        <f t="shared" si="38"/>
        <v>Not Applicable</v>
      </c>
    </row>
    <row r="364" spans="1:19" x14ac:dyDescent="0.35">
      <c r="A364" s="12" t="str">
        <f>tblComponents[Component_ID]</f>
        <v>C363</v>
      </c>
      <c r="B364" s="12" t="str">
        <f>tblComponents[Component_Name]</f>
        <v>Component 363</v>
      </c>
      <c r="C364" t="str">
        <f>tblComponents[Sourcing_Type]</f>
        <v>Buy</v>
      </c>
      <c r="D364">
        <f>tblComponents[Forecast_Demand]</f>
        <v>1099</v>
      </c>
      <c r="E364">
        <f>tblComponents[Selling_Price_Per_Unit]</f>
        <v>184.47</v>
      </c>
      <c r="F364">
        <f>tblComponents[Variable_Cost_Per_Unit]</f>
        <v>110.79</v>
      </c>
      <c r="G364">
        <f>tblComponents[Direct_Labor_Cost_Per_Unit]</f>
        <v>0</v>
      </c>
      <c r="H364">
        <f>tblComponents[Contribution_Per_Unit]</f>
        <v>73.680000000000007</v>
      </c>
      <c r="I364">
        <f>tblComponents[Contribution_Margin]</f>
        <v>0.39939999999999998</v>
      </c>
      <c r="J364">
        <f>tblComponents[Actual_Cycle_Time_Min]/60</f>
        <v>0</v>
      </c>
      <c r="K364">
        <f t="shared" si="33"/>
        <v>0</v>
      </c>
      <c r="L364">
        <f>H364*tblComponents[Planned_Production_or_Procurement]</f>
        <v>2963483.2800000003</v>
      </c>
      <c r="M364" t="str">
        <f t="shared" si="34"/>
        <v/>
      </c>
      <c r="N364" t="str">
        <f t="shared" si="35"/>
        <v>Not Applicable</v>
      </c>
      <c r="O364" t="str">
        <f>tblComponents[Criticality]</f>
        <v>High</v>
      </c>
      <c r="P364">
        <f>tblComponents[Planned_Production_or_Procurement]</f>
        <v>40221</v>
      </c>
      <c r="Q364">
        <f t="shared" si="36"/>
        <v>0</v>
      </c>
      <c r="R364" t="str">
        <f t="shared" si="37"/>
        <v>High</v>
      </c>
      <c r="S364" t="str">
        <f t="shared" si="38"/>
        <v>Not Applicable</v>
      </c>
    </row>
    <row r="365" spans="1:19" x14ac:dyDescent="0.35">
      <c r="A365" s="12" t="str">
        <f>tblComponents[Component_ID]</f>
        <v>C364</v>
      </c>
      <c r="B365" s="12" t="str">
        <f>tblComponents[Component_Name]</f>
        <v>Component 364</v>
      </c>
      <c r="C365" t="str">
        <f>tblComponents[Sourcing_Type]</f>
        <v>Buy</v>
      </c>
      <c r="D365">
        <f>tblComponents[Forecast_Demand]</f>
        <v>391</v>
      </c>
      <c r="E365">
        <f>tblComponents[Selling_Price_Per_Unit]</f>
        <v>996.21</v>
      </c>
      <c r="F365">
        <f>tblComponents[Variable_Cost_Per_Unit]</f>
        <v>786.63</v>
      </c>
      <c r="G365">
        <f>tblComponents[Direct_Labor_Cost_Per_Unit]</f>
        <v>0</v>
      </c>
      <c r="H365">
        <f>tblComponents[Contribution_Per_Unit]</f>
        <v>209.58</v>
      </c>
      <c r="I365">
        <f>tblComponents[Contribution_Margin]</f>
        <v>0.2104</v>
      </c>
      <c r="J365">
        <f>tblComponents[Actual_Cycle_Time_Min]/60</f>
        <v>0</v>
      </c>
      <c r="K365">
        <f t="shared" si="33"/>
        <v>0</v>
      </c>
      <c r="L365">
        <f>H365*tblComponents[Planned_Production_or_Procurement]</f>
        <v>12803242.200000001</v>
      </c>
      <c r="M365" t="str">
        <f t="shared" si="34"/>
        <v/>
      </c>
      <c r="N365" t="str">
        <f t="shared" si="35"/>
        <v>Not Applicable</v>
      </c>
      <c r="O365" t="str">
        <f>tblComponents[Criticality]</f>
        <v>Medium</v>
      </c>
      <c r="P365">
        <f>tblComponents[Planned_Production_or_Procurement]</f>
        <v>61090</v>
      </c>
      <c r="Q365">
        <f t="shared" si="36"/>
        <v>0</v>
      </c>
      <c r="R365" t="str">
        <f t="shared" si="37"/>
        <v>Medium</v>
      </c>
      <c r="S365" t="str">
        <f t="shared" si="38"/>
        <v>Not Applicable</v>
      </c>
    </row>
    <row r="366" spans="1:19" x14ac:dyDescent="0.35">
      <c r="A366" s="12" t="str">
        <f>tblComponents[Component_ID]</f>
        <v>C365</v>
      </c>
      <c r="B366" s="12" t="str">
        <f>tblComponents[Component_Name]</f>
        <v>Component 365</v>
      </c>
      <c r="C366" t="str">
        <f>tblComponents[Sourcing_Type]</f>
        <v>Buy</v>
      </c>
      <c r="D366">
        <f>tblComponents[Forecast_Demand]</f>
        <v>2905</v>
      </c>
      <c r="E366">
        <f>tblComponents[Selling_Price_Per_Unit]</f>
        <v>277.24</v>
      </c>
      <c r="F366">
        <f>tblComponents[Variable_Cost_Per_Unit]</f>
        <v>232.86</v>
      </c>
      <c r="G366">
        <f>tblComponents[Direct_Labor_Cost_Per_Unit]</f>
        <v>0</v>
      </c>
      <c r="H366">
        <f>tblComponents[Contribution_Per_Unit]</f>
        <v>44.38</v>
      </c>
      <c r="I366">
        <f>tblComponents[Contribution_Margin]</f>
        <v>0.16009999999999999</v>
      </c>
      <c r="J366">
        <f>tblComponents[Actual_Cycle_Time_Min]/60</f>
        <v>0</v>
      </c>
      <c r="K366">
        <f t="shared" si="33"/>
        <v>0</v>
      </c>
      <c r="L366">
        <f>H366*tblComponents[Planned_Production_or_Procurement]</f>
        <v>1233408.96</v>
      </c>
      <c r="M366" t="str">
        <f t="shared" si="34"/>
        <v/>
      </c>
      <c r="N366" t="str">
        <f t="shared" si="35"/>
        <v>Not Applicable</v>
      </c>
      <c r="O366" t="str">
        <f>tblComponents[Criticality]</f>
        <v>Medium</v>
      </c>
      <c r="P366">
        <f>tblComponents[Planned_Production_or_Procurement]</f>
        <v>27792</v>
      </c>
      <c r="Q366">
        <f t="shared" si="36"/>
        <v>0</v>
      </c>
      <c r="R366" t="str">
        <f t="shared" si="37"/>
        <v>Medium</v>
      </c>
      <c r="S366" t="str">
        <f t="shared" si="38"/>
        <v>Not Applicable</v>
      </c>
    </row>
    <row r="367" spans="1:19" x14ac:dyDescent="0.35">
      <c r="A367" s="12" t="str">
        <f>tblComponents[Component_ID]</f>
        <v>C366</v>
      </c>
      <c r="B367" s="12" t="str">
        <f>tblComponents[Component_Name]</f>
        <v>Component 366</v>
      </c>
      <c r="C367" t="str">
        <f>tblComponents[Sourcing_Type]</f>
        <v>Buy</v>
      </c>
      <c r="D367">
        <f>tblComponents[Forecast_Demand]</f>
        <v>1345</v>
      </c>
      <c r="E367">
        <f>tblComponents[Selling_Price_Per_Unit]</f>
        <v>724.58</v>
      </c>
      <c r="F367">
        <f>tblComponents[Variable_Cost_Per_Unit]</f>
        <v>541.41</v>
      </c>
      <c r="G367">
        <f>tblComponents[Direct_Labor_Cost_Per_Unit]</f>
        <v>0</v>
      </c>
      <c r="H367">
        <f>tblComponents[Contribution_Per_Unit]</f>
        <v>183.17</v>
      </c>
      <c r="I367">
        <f>tblComponents[Contribution_Margin]</f>
        <v>0.25280000000000002</v>
      </c>
      <c r="J367">
        <f>tblComponents[Actual_Cycle_Time_Min]/60</f>
        <v>0</v>
      </c>
      <c r="K367">
        <f t="shared" si="33"/>
        <v>0</v>
      </c>
      <c r="L367">
        <f>H367*tblComponents[Planned_Production_or_Procurement]</f>
        <v>7202244.3999999994</v>
      </c>
      <c r="M367" t="str">
        <f t="shared" si="34"/>
        <v/>
      </c>
      <c r="N367" t="str">
        <f t="shared" si="35"/>
        <v>Not Applicable</v>
      </c>
      <c r="O367" t="str">
        <f>tblComponents[Criticality]</f>
        <v>Medium</v>
      </c>
      <c r="P367">
        <f>tblComponents[Planned_Production_or_Procurement]</f>
        <v>39320</v>
      </c>
      <c r="Q367">
        <f t="shared" si="36"/>
        <v>0</v>
      </c>
      <c r="R367" t="str">
        <f t="shared" si="37"/>
        <v>Medium</v>
      </c>
      <c r="S367" t="str">
        <f t="shared" si="38"/>
        <v>Not Applicable</v>
      </c>
    </row>
    <row r="368" spans="1:19" x14ac:dyDescent="0.35">
      <c r="A368" s="12" t="str">
        <f>tblComponents[Component_ID]</f>
        <v>C367</v>
      </c>
      <c r="B368" s="12" t="str">
        <f>tblComponents[Component_Name]</f>
        <v>Component 367</v>
      </c>
      <c r="C368" t="str">
        <f>tblComponents[Sourcing_Type]</f>
        <v>Buy</v>
      </c>
      <c r="D368">
        <f>tblComponents[Forecast_Demand]</f>
        <v>923</v>
      </c>
      <c r="E368">
        <f>tblComponents[Selling_Price_Per_Unit]</f>
        <v>910.88</v>
      </c>
      <c r="F368">
        <f>tblComponents[Variable_Cost_Per_Unit]</f>
        <v>744.63</v>
      </c>
      <c r="G368">
        <f>tblComponents[Direct_Labor_Cost_Per_Unit]</f>
        <v>0</v>
      </c>
      <c r="H368">
        <f>tblComponents[Contribution_Per_Unit]</f>
        <v>166.25</v>
      </c>
      <c r="I368">
        <f>tblComponents[Contribution_Margin]</f>
        <v>0.1825</v>
      </c>
      <c r="J368">
        <f>tblComponents[Actual_Cycle_Time_Min]/60</f>
        <v>0</v>
      </c>
      <c r="K368">
        <f t="shared" si="33"/>
        <v>0</v>
      </c>
      <c r="L368">
        <f>H368*tblComponents[Planned_Production_or_Procurement]</f>
        <v>11853458.75</v>
      </c>
      <c r="M368" t="str">
        <f t="shared" si="34"/>
        <v/>
      </c>
      <c r="N368" t="str">
        <f t="shared" si="35"/>
        <v>Not Applicable</v>
      </c>
      <c r="O368" t="str">
        <f>tblComponents[Criticality]</f>
        <v>Medium</v>
      </c>
      <c r="P368">
        <f>tblComponents[Planned_Production_or_Procurement]</f>
        <v>71299</v>
      </c>
      <c r="Q368">
        <f t="shared" si="36"/>
        <v>0</v>
      </c>
      <c r="R368" t="str">
        <f t="shared" si="37"/>
        <v>Medium</v>
      </c>
      <c r="S368" t="str">
        <f t="shared" si="38"/>
        <v>Not Applicable</v>
      </c>
    </row>
    <row r="369" spans="1:19" x14ac:dyDescent="0.35">
      <c r="A369" s="12" t="str">
        <f>tblComponents[Component_ID]</f>
        <v>C368</v>
      </c>
      <c r="B369" s="12" t="str">
        <f>tblComponents[Component_Name]</f>
        <v>Component 368</v>
      </c>
      <c r="C369" t="str">
        <f>tblComponents[Sourcing_Type]</f>
        <v>Buy</v>
      </c>
      <c r="D369">
        <f>tblComponents[Forecast_Demand]</f>
        <v>1444</v>
      </c>
      <c r="E369">
        <f>tblComponents[Selling_Price_Per_Unit]</f>
        <v>1244.04</v>
      </c>
      <c r="F369">
        <f>tblComponents[Variable_Cost_Per_Unit]</f>
        <v>1050.46</v>
      </c>
      <c r="G369">
        <f>tblComponents[Direct_Labor_Cost_Per_Unit]</f>
        <v>0</v>
      </c>
      <c r="H369">
        <f>tblComponents[Contribution_Per_Unit]</f>
        <v>193.58</v>
      </c>
      <c r="I369">
        <f>tblComponents[Contribution_Margin]</f>
        <v>0.15559999999999999</v>
      </c>
      <c r="J369">
        <f>tblComponents[Actual_Cycle_Time_Min]/60</f>
        <v>0</v>
      </c>
      <c r="K369">
        <f t="shared" si="33"/>
        <v>0</v>
      </c>
      <c r="L369">
        <f>H369*tblComponents[Planned_Production_or_Procurement]</f>
        <v>2621653.94</v>
      </c>
      <c r="M369" t="str">
        <f t="shared" si="34"/>
        <v/>
      </c>
      <c r="N369" t="str">
        <f t="shared" si="35"/>
        <v>Not Applicable</v>
      </c>
      <c r="O369" t="str">
        <f>tblComponents[Criticality]</f>
        <v>Medium</v>
      </c>
      <c r="P369">
        <f>tblComponents[Planned_Production_or_Procurement]</f>
        <v>13543</v>
      </c>
      <c r="Q369">
        <f t="shared" si="36"/>
        <v>0</v>
      </c>
      <c r="R369" t="str">
        <f t="shared" si="37"/>
        <v>Medium</v>
      </c>
      <c r="S369" t="str">
        <f t="shared" si="38"/>
        <v>Not Applicable</v>
      </c>
    </row>
    <row r="370" spans="1:19" x14ac:dyDescent="0.35">
      <c r="A370" s="12" t="str">
        <f>tblComponents[Component_ID]</f>
        <v>C369</v>
      </c>
      <c r="B370" s="12" t="str">
        <f>tblComponents[Component_Name]</f>
        <v>Component 369</v>
      </c>
      <c r="C370" t="str">
        <f>tblComponents[Sourcing_Type]</f>
        <v>Buy</v>
      </c>
      <c r="D370">
        <f>tblComponents[Forecast_Demand]</f>
        <v>1596</v>
      </c>
      <c r="E370">
        <f>tblComponents[Selling_Price_Per_Unit]</f>
        <v>1289.08</v>
      </c>
      <c r="F370">
        <f>tblComponents[Variable_Cost_Per_Unit]</f>
        <v>979.56</v>
      </c>
      <c r="G370">
        <f>tblComponents[Direct_Labor_Cost_Per_Unit]</f>
        <v>0</v>
      </c>
      <c r="H370">
        <f>tblComponents[Contribution_Per_Unit]</f>
        <v>309.52</v>
      </c>
      <c r="I370">
        <f>tblComponents[Contribution_Margin]</f>
        <v>0.24010000000000001</v>
      </c>
      <c r="J370">
        <f>tblComponents[Actual_Cycle_Time_Min]/60</f>
        <v>0</v>
      </c>
      <c r="K370">
        <f t="shared" si="33"/>
        <v>0</v>
      </c>
      <c r="L370">
        <f>H370*tblComponents[Planned_Production_or_Procurement]</f>
        <v>17687210.879999999</v>
      </c>
      <c r="M370" t="str">
        <f t="shared" si="34"/>
        <v/>
      </c>
      <c r="N370" t="str">
        <f t="shared" si="35"/>
        <v>Not Applicable</v>
      </c>
      <c r="O370" t="str">
        <f>tblComponents[Criticality]</f>
        <v>Medium</v>
      </c>
      <c r="P370">
        <f>tblComponents[Planned_Production_or_Procurement]</f>
        <v>57144</v>
      </c>
      <c r="Q370">
        <f t="shared" si="36"/>
        <v>0</v>
      </c>
      <c r="R370" t="str">
        <f t="shared" si="37"/>
        <v>Medium</v>
      </c>
      <c r="S370" t="str">
        <f t="shared" si="38"/>
        <v>Not Applicable</v>
      </c>
    </row>
    <row r="371" spans="1:19" x14ac:dyDescent="0.35">
      <c r="A371" s="12" t="str">
        <f>tblComponents[Component_ID]</f>
        <v>C370</v>
      </c>
      <c r="B371" s="12" t="str">
        <f>tblComponents[Component_Name]</f>
        <v>Component 370</v>
      </c>
      <c r="C371" t="str">
        <f>tblComponents[Sourcing_Type]</f>
        <v>Buy</v>
      </c>
      <c r="D371">
        <f>tblComponents[Forecast_Demand]</f>
        <v>260</v>
      </c>
      <c r="E371">
        <f>tblComponents[Selling_Price_Per_Unit]</f>
        <v>1209.42</v>
      </c>
      <c r="F371">
        <f>tblComponents[Variable_Cost_Per_Unit]</f>
        <v>791.04</v>
      </c>
      <c r="G371">
        <f>tblComponents[Direct_Labor_Cost_Per_Unit]</f>
        <v>0</v>
      </c>
      <c r="H371">
        <f>tblComponents[Contribution_Per_Unit]</f>
        <v>418.38</v>
      </c>
      <c r="I371">
        <f>tblComponents[Contribution_Margin]</f>
        <v>0.34589999999999999</v>
      </c>
      <c r="J371">
        <f>tblComponents[Actual_Cycle_Time_Min]/60</f>
        <v>0</v>
      </c>
      <c r="K371">
        <f t="shared" si="33"/>
        <v>0</v>
      </c>
      <c r="L371">
        <f>H371*tblComponents[Planned_Production_or_Procurement]</f>
        <v>9595126.9199999999</v>
      </c>
      <c r="M371" t="str">
        <f t="shared" si="34"/>
        <v/>
      </c>
      <c r="N371" t="str">
        <f t="shared" si="35"/>
        <v>Not Applicable</v>
      </c>
      <c r="O371" t="str">
        <f>tblComponents[Criticality]</f>
        <v>Critical</v>
      </c>
      <c r="P371">
        <f>tblComponents[Planned_Production_or_Procurement]</f>
        <v>22934</v>
      </c>
      <c r="Q371">
        <f t="shared" si="36"/>
        <v>0</v>
      </c>
      <c r="R371" t="str">
        <f t="shared" si="37"/>
        <v>Critical</v>
      </c>
      <c r="S371" t="str">
        <f t="shared" si="38"/>
        <v>Not Applicable</v>
      </c>
    </row>
    <row r="372" spans="1:19" x14ac:dyDescent="0.35">
      <c r="A372" s="12" t="str">
        <f>tblComponents[Component_ID]</f>
        <v>C371</v>
      </c>
      <c r="B372" s="12" t="str">
        <f>tblComponents[Component_Name]</f>
        <v>Component 371</v>
      </c>
      <c r="C372" t="str">
        <f>tblComponents[Sourcing_Type]</f>
        <v>Buy</v>
      </c>
      <c r="D372">
        <f>tblComponents[Forecast_Demand]</f>
        <v>601</v>
      </c>
      <c r="E372">
        <f>tblComponents[Selling_Price_Per_Unit]</f>
        <v>1023.11</v>
      </c>
      <c r="F372">
        <f>tblComponents[Variable_Cost_Per_Unit]</f>
        <v>724.83</v>
      </c>
      <c r="G372">
        <f>tblComponents[Direct_Labor_Cost_Per_Unit]</f>
        <v>0</v>
      </c>
      <c r="H372">
        <f>tblComponents[Contribution_Per_Unit]</f>
        <v>298.27999999999997</v>
      </c>
      <c r="I372">
        <f>tblComponents[Contribution_Margin]</f>
        <v>0.29149999999999998</v>
      </c>
      <c r="J372">
        <f>tblComponents[Actual_Cycle_Time_Min]/60</f>
        <v>0</v>
      </c>
      <c r="K372">
        <f t="shared" si="33"/>
        <v>0</v>
      </c>
      <c r="L372">
        <f>H372*tblComponents[Planned_Production_or_Procurement]</f>
        <v>8110829.7599999988</v>
      </c>
      <c r="M372" t="str">
        <f t="shared" si="34"/>
        <v/>
      </c>
      <c r="N372" t="str">
        <f t="shared" si="35"/>
        <v>Not Applicable</v>
      </c>
      <c r="O372" t="str">
        <f>tblComponents[Criticality]</f>
        <v>Low</v>
      </c>
      <c r="P372">
        <f>tblComponents[Planned_Production_or_Procurement]</f>
        <v>27192</v>
      </c>
      <c r="Q372">
        <f t="shared" si="36"/>
        <v>0</v>
      </c>
      <c r="R372" t="str">
        <f t="shared" si="37"/>
        <v>Low</v>
      </c>
      <c r="S372" t="str">
        <f t="shared" si="38"/>
        <v>Not Applicable</v>
      </c>
    </row>
    <row r="373" spans="1:19" x14ac:dyDescent="0.35">
      <c r="A373" s="12" t="str">
        <f>tblComponents[Component_ID]</f>
        <v>C372</v>
      </c>
      <c r="B373" s="12" t="str">
        <f>tblComponents[Component_Name]</f>
        <v>Component 372</v>
      </c>
      <c r="C373" t="str">
        <f>tblComponents[Sourcing_Type]</f>
        <v>Buy</v>
      </c>
      <c r="D373">
        <f>tblComponents[Forecast_Demand]</f>
        <v>140</v>
      </c>
      <c r="E373">
        <f>tblComponents[Selling_Price_Per_Unit]</f>
        <v>399.73</v>
      </c>
      <c r="F373">
        <f>tblComponents[Variable_Cost_Per_Unit]</f>
        <v>308.51</v>
      </c>
      <c r="G373">
        <f>tblComponents[Direct_Labor_Cost_Per_Unit]</f>
        <v>0</v>
      </c>
      <c r="H373">
        <f>tblComponents[Contribution_Per_Unit]</f>
        <v>91.22</v>
      </c>
      <c r="I373">
        <f>tblComponents[Contribution_Margin]</f>
        <v>0.22819999999999999</v>
      </c>
      <c r="J373">
        <f>tblComponents[Actual_Cycle_Time_Min]/60</f>
        <v>0</v>
      </c>
      <c r="K373">
        <f t="shared" si="33"/>
        <v>0</v>
      </c>
      <c r="L373">
        <f>H373*tblComponents[Planned_Production_or_Procurement]</f>
        <v>3773680.18</v>
      </c>
      <c r="M373" t="str">
        <f t="shared" si="34"/>
        <v/>
      </c>
      <c r="N373" t="str">
        <f t="shared" si="35"/>
        <v>Not Applicable</v>
      </c>
      <c r="O373" t="str">
        <f>tblComponents[Criticality]</f>
        <v>Low</v>
      </c>
      <c r="P373">
        <f>tblComponents[Planned_Production_or_Procurement]</f>
        <v>41369</v>
      </c>
      <c r="Q373">
        <f t="shared" si="36"/>
        <v>0</v>
      </c>
      <c r="R373" t="str">
        <f t="shared" si="37"/>
        <v>Low</v>
      </c>
      <c r="S373" t="str">
        <f t="shared" si="38"/>
        <v>Not Applicable</v>
      </c>
    </row>
    <row r="374" spans="1:19" x14ac:dyDescent="0.35">
      <c r="A374" s="12" t="str">
        <f>tblComponents[Component_ID]</f>
        <v>C373</v>
      </c>
      <c r="B374" s="12" t="str">
        <f>tblComponents[Component_Name]</f>
        <v>Component 373</v>
      </c>
      <c r="C374" t="str">
        <f>tblComponents[Sourcing_Type]</f>
        <v>Buy</v>
      </c>
      <c r="D374">
        <f>tblComponents[Forecast_Demand]</f>
        <v>1464</v>
      </c>
      <c r="E374">
        <f>tblComponents[Selling_Price_Per_Unit]</f>
        <v>770.42</v>
      </c>
      <c r="F374">
        <f>tblComponents[Variable_Cost_Per_Unit]</f>
        <v>528.83000000000004</v>
      </c>
      <c r="G374">
        <f>tblComponents[Direct_Labor_Cost_Per_Unit]</f>
        <v>0</v>
      </c>
      <c r="H374">
        <f>tblComponents[Contribution_Per_Unit]</f>
        <v>241.59</v>
      </c>
      <c r="I374">
        <f>tblComponents[Contribution_Margin]</f>
        <v>0.31359999999999999</v>
      </c>
      <c r="J374">
        <f>tblComponents[Actual_Cycle_Time_Min]/60</f>
        <v>0</v>
      </c>
      <c r="K374">
        <f t="shared" si="33"/>
        <v>0</v>
      </c>
      <c r="L374">
        <f>H374*tblComponents[Planned_Production_or_Procurement]</f>
        <v>4725258.8100000005</v>
      </c>
      <c r="M374" t="str">
        <f t="shared" si="34"/>
        <v/>
      </c>
      <c r="N374" t="str">
        <f t="shared" si="35"/>
        <v>Not Applicable</v>
      </c>
      <c r="O374" t="str">
        <f>tblComponents[Criticality]</f>
        <v>Medium</v>
      </c>
      <c r="P374">
        <f>tblComponents[Planned_Production_or_Procurement]</f>
        <v>19559</v>
      </c>
      <c r="Q374">
        <f t="shared" si="36"/>
        <v>0</v>
      </c>
      <c r="R374" t="str">
        <f t="shared" si="37"/>
        <v>Medium</v>
      </c>
      <c r="S374" t="str">
        <f t="shared" si="38"/>
        <v>Not Applicable</v>
      </c>
    </row>
    <row r="375" spans="1:19" x14ac:dyDescent="0.35">
      <c r="A375" s="12" t="str">
        <f>tblComponents[Component_ID]</f>
        <v>C374</v>
      </c>
      <c r="B375" s="12" t="str">
        <f>tblComponents[Component_Name]</f>
        <v>Component 374</v>
      </c>
      <c r="C375" t="str">
        <f>tblComponents[Sourcing_Type]</f>
        <v>Buy</v>
      </c>
      <c r="D375">
        <f>tblComponents[Forecast_Demand]</f>
        <v>454</v>
      </c>
      <c r="E375">
        <f>tblComponents[Selling_Price_Per_Unit]</f>
        <v>2002.94</v>
      </c>
      <c r="F375">
        <f>tblComponents[Variable_Cost_Per_Unit]</f>
        <v>1586.32</v>
      </c>
      <c r="G375">
        <f>tblComponents[Direct_Labor_Cost_Per_Unit]</f>
        <v>0</v>
      </c>
      <c r="H375">
        <f>tblComponents[Contribution_Per_Unit]</f>
        <v>416.62</v>
      </c>
      <c r="I375">
        <f>tblComponents[Contribution_Margin]</f>
        <v>0.20799999999999999</v>
      </c>
      <c r="J375">
        <f>tblComponents[Actual_Cycle_Time_Min]/60</f>
        <v>0</v>
      </c>
      <c r="K375">
        <f t="shared" si="33"/>
        <v>0</v>
      </c>
      <c r="L375">
        <f>H375*tblComponents[Planned_Production_or_Procurement]</f>
        <v>7989105.1200000001</v>
      </c>
      <c r="M375" t="str">
        <f t="shared" si="34"/>
        <v/>
      </c>
      <c r="N375" t="str">
        <f t="shared" si="35"/>
        <v>Not Applicable</v>
      </c>
      <c r="O375" t="str">
        <f>tblComponents[Criticality]</f>
        <v>Low</v>
      </c>
      <c r="P375">
        <f>tblComponents[Planned_Production_or_Procurement]</f>
        <v>19176</v>
      </c>
      <c r="Q375">
        <f t="shared" si="36"/>
        <v>0</v>
      </c>
      <c r="R375" t="str">
        <f t="shared" si="37"/>
        <v>Low</v>
      </c>
      <c r="S375" t="str">
        <f t="shared" si="38"/>
        <v>Not Applicable</v>
      </c>
    </row>
    <row r="376" spans="1:19" x14ac:dyDescent="0.35">
      <c r="A376" s="12" t="str">
        <f>tblComponents[Component_ID]</f>
        <v>C375</v>
      </c>
      <c r="B376" s="12" t="str">
        <f>tblComponents[Component_Name]</f>
        <v>Component 375</v>
      </c>
      <c r="C376" t="str">
        <f>tblComponents[Sourcing_Type]</f>
        <v>Buy</v>
      </c>
      <c r="D376">
        <f>tblComponents[Forecast_Demand]</f>
        <v>1574</v>
      </c>
      <c r="E376">
        <f>tblComponents[Selling_Price_Per_Unit]</f>
        <v>1464.19</v>
      </c>
      <c r="F376">
        <f>tblComponents[Variable_Cost_Per_Unit]</f>
        <v>1239.3</v>
      </c>
      <c r="G376">
        <f>tblComponents[Direct_Labor_Cost_Per_Unit]</f>
        <v>0</v>
      </c>
      <c r="H376">
        <f>tblComponents[Contribution_Per_Unit]</f>
        <v>224.89</v>
      </c>
      <c r="I376">
        <f>tblComponents[Contribution_Margin]</f>
        <v>0.15359999999999999</v>
      </c>
      <c r="J376">
        <f>tblComponents[Actual_Cycle_Time_Min]/60</f>
        <v>0</v>
      </c>
      <c r="K376">
        <f t="shared" si="33"/>
        <v>0</v>
      </c>
      <c r="L376">
        <f>H376*tblComponents[Planned_Production_or_Procurement]</f>
        <v>6501345.0099999998</v>
      </c>
      <c r="M376" t="str">
        <f t="shared" si="34"/>
        <v/>
      </c>
      <c r="N376" t="str">
        <f t="shared" si="35"/>
        <v>Not Applicable</v>
      </c>
      <c r="O376" t="str">
        <f>tblComponents[Criticality]</f>
        <v>Medium</v>
      </c>
      <c r="P376">
        <f>tblComponents[Planned_Production_or_Procurement]</f>
        <v>28909</v>
      </c>
      <c r="Q376">
        <f t="shared" si="36"/>
        <v>0</v>
      </c>
      <c r="R376" t="str">
        <f t="shared" si="37"/>
        <v>Medium</v>
      </c>
      <c r="S376" t="str">
        <f t="shared" si="38"/>
        <v>Not Applicable</v>
      </c>
    </row>
    <row r="377" spans="1:19" x14ac:dyDescent="0.35">
      <c r="A377" s="12" t="str">
        <f>tblComponents[Component_ID]</f>
        <v>C376</v>
      </c>
      <c r="B377" s="12" t="str">
        <f>tblComponents[Component_Name]</f>
        <v>Component 376</v>
      </c>
      <c r="C377" t="str">
        <f>tblComponents[Sourcing_Type]</f>
        <v>Buy</v>
      </c>
      <c r="D377">
        <f>tblComponents[Forecast_Demand]</f>
        <v>501</v>
      </c>
      <c r="E377">
        <f>tblComponents[Selling_Price_Per_Unit]</f>
        <v>2073.62</v>
      </c>
      <c r="F377">
        <f>tblComponents[Variable_Cost_Per_Unit]</f>
        <v>1366.33</v>
      </c>
      <c r="G377">
        <f>tblComponents[Direct_Labor_Cost_Per_Unit]</f>
        <v>0</v>
      </c>
      <c r="H377">
        <f>tblComponents[Contribution_Per_Unit]</f>
        <v>707.29</v>
      </c>
      <c r="I377">
        <f>tblComponents[Contribution_Margin]</f>
        <v>0.34110000000000001</v>
      </c>
      <c r="J377">
        <f>tblComponents[Actual_Cycle_Time_Min]/60</f>
        <v>0</v>
      </c>
      <c r="K377">
        <f t="shared" si="33"/>
        <v>0</v>
      </c>
      <c r="L377">
        <f>H377*tblComponents[Planned_Production_or_Procurement]</f>
        <v>17443185.98</v>
      </c>
      <c r="M377" t="str">
        <f t="shared" si="34"/>
        <v/>
      </c>
      <c r="N377" t="str">
        <f t="shared" si="35"/>
        <v>Not Applicable</v>
      </c>
      <c r="O377" t="str">
        <f>tblComponents[Criticality]</f>
        <v>Low</v>
      </c>
      <c r="P377">
        <f>tblComponents[Planned_Production_or_Procurement]</f>
        <v>24662</v>
      </c>
      <c r="Q377">
        <f t="shared" si="36"/>
        <v>0</v>
      </c>
      <c r="R377" t="str">
        <f t="shared" si="37"/>
        <v>Low</v>
      </c>
      <c r="S377" t="str">
        <f t="shared" si="38"/>
        <v>Not Applicable</v>
      </c>
    </row>
    <row r="378" spans="1:19" x14ac:dyDescent="0.35">
      <c r="A378" s="12" t="str">
        <f>tblComponents[Component_ID]</f>
        <v>C377</v>
      </c>
      <c r="B378" s="12" t="str">
        <f>tblComponents[Component_Name]</f>
        <v>Component 377</v>
      </c>
      <c r="C378" t="str">
        <f>tblComponents[Sourcing_Type]</f>
        <v>Buy</v>
      </c>
      <c r="D378">
        <f>tblComponents[Forecast_Demand]</f>
        <v>741</v>
      </c>
      <c r="E378">
        <f>tblComponents[Selling_Price_Per_Unit]</f>
        <v>1232.28</v>
      </c>
      <c r="F378">
        <f>tblComponents[Variable_Cost_Per_Unit]</f>
        <v>855.28</v>
      </c>
      <c r="G378">
        <f>tblComponents[Direct_Labor_Cost_Per_Unit]</f>
        <v>0</v>
      </c>
      <c r="H378">
        <f>tblComponents[Contribution_Per_Unit]</f>
        <v>377</v>
      </c>
      <c r="I378">
        <f>tblComponents[Contribution_Margin]</f>
        <v>0.30590000000000001</v>
      </c>
      <c r="J378">
        <f>tblComponents[Actual_Cycle_Time_Min]/60</f>
        <v>0</v>
      </c>
      <c r="K378">
        <f t="shared" si="33"/>
        <v>0</v>
      </c>
      <c r="L378">
        <f>H378*tblComponents[Planned_Production_or_Procurement]</f>
        <v>7802015</v>
      </c>
      <c r="M378" t="str">
        <f t="shared" si="34"/>
        <v/>
      </c>
      <c r="N378" t="str">
        <f t="shared" si="35"/>
        <v>Not Applicable</v>
      </c>
      <c r="O378" t="str">
        <f>tblComponents[Criticality]</f>
        <v>Medium</v>
      </c>
      <c r="P378">
        <f>tblComponents[Planned_Production_or_Procurement]</f>
        <v>20695</v>
      </c>
      <c r="Q378">
        <f t="shared" si="36"/>
        <v>0</v>
      </c>
      <c r="R378" t="str">
        <f t="shared" si="37"/>
        <v>Medium</v>
      </c>
      <c r="S378" t="str">
        <f t="shared" si="38"/>
        <v>Not Applicable</v>
      </c>
    </row>
    <row r="379" spans="1:19" x14ac:dyDescent="0.35">
      <c r="A379" s="12" t="str">
        <f>tblComponents[Component_ID]</f>
        <v>C378</v>
      </c>
      <c r="B379" s="12" t="str">
        <f>tblComponents[Component_Name]</f>
        <v>Component 378</v>
      </c>
      <c r="C379" t="str">
        <f>tblComponents[Sourcing_Type]</f>
        <v>Buy</v>
      </c>
      <c r="D379">
        <f>tblComponents[Forecast_Demand]</f>
        <v>767</v>
      </c>
      <c r="E379">
        <f>tblComponents[Selling_Price_Per_Unit]</f>
        <v>298.2</v>
      </c>
      <c r="F379">
        <f>tblComponents[Variable_Cost_Per_Unit]</f>
        <v>196.64</v>
      </c>
      <c r="G379">
        <f>tblComponents[Direct_Labor_Cost_Per_Unit]</f>
        <v>0</v>
      </c>
      <c r="H379">
        <f>tblComponents[Contribution_Per_Unit]</f>
        <v>101.56</v>
      </c>
      <c r="I379">
        <f>tblComponents[Contribution_Margin]</f>
        <v>0.34060000000000001</v>
      </c>
      <c r="J379">
        <f>tblComponents[Actual_Cycle_Time_Min]/60</f>
        <v>0</v>
      </c>
      <c r="K379">
        <f t="shared" si="33"/>
        <v>0</v>
      </c>
      <c r="L379">
        <f>H379*tblComponents[Planned_Production_or_Procurement]</f>
        <v>1671372.92</v>
      </c>
      <c r="M379" t="str">
        <f t="shared" si="34"/>
        <v/>
      </c>
      <c r="N379" t="str">
        <f t="shared" si="35"/>
        <v>Not Applicable</v>
      </c>
      <c r="O379" t="str">
        <f>tblComponents[Criticality]</f>
        <v>Medium</v>
      </c>
      <c r="P379">
        <f>tblComponents[Planned_Production_or_Procurement]</f>
        <v>16457</v>
      </c>
      <c r="Q379">
        <f t="shared" si="36"/>
        <v>0</v>
      </c>
      <c r="R379" t="str">
        <f t="shared" si="37"/>
        <v>Medium</v>
      </c>
      <c r="S379" t="str">
        <f t="shared" si="38"/>
        <v>Not Applicable</v>
      </c>
    </row>
    <row r="380" spans="1:19" x14ac:dyDescent="0.35">
      <c r="A380" s="12" t="str">
        <f>tblComponents[Component_ID]</f>
        <v>C379</v>
      </c>
      <c r="B380" s="12" t="str">
        <f>tblComponents[Component_Name]</f>
        <v>Component 379</v>
      </c>
      <c r="C380" t="str">
        <f>tblComponents[Sourcing_Type]</f>
        <v>Buy</v>
      </c>
      <c r="D380">
        <f>tblComponents[Forecast_Demand]</f>
        <v>1318</v>
      </c>
      <c r="E380">
        <f>tblComponents[Selling_Price_Per_Unit]</f>
        <v>745.76</v>
      </c>
      <c r="F380">
        <f>tblComponents[Variable_Cost_Per_Unit]</f>
        <v>626.64</v>
      </c>
      <c r="G380">
        <f>tblComponents[Direct_Labor_Cost_Per_Unit]</f>
        <v>0</v>
      </c>
      <c r="H380">
        <f>tblComponents[Contribution_Per_Unit]</f>
        <v>119.12</v>
      </c>
      <c r="I380">
        <f>tblComponents[Contribution_Margin]</f>
        <v>0.15970000000000001</v>
      </c>
      <c r="J380">
        <f>tblComponents[Actual_Cycle_Time_Min]/60</f>
        <v>0</v>
      </c>
      <c r="K380">
        <f t="shared" si="33"/>
        <v>0</v>
      </c>
      <c r="L380">
        <f>H380*tblComponents[Planned_Production_or_Procurement]</f>
        <v>9276231.7599999998</v>
      </c>
      <c r="M380" t="str">
        <f t="shared" si="34"/>
        <v/>
      </c>
      <c r="N380" t="str">
        <f t="shared" si="35"/>
        <v>Not Applicable</v>
      </c>
      <c r="O380" t="str">
        <f>tblComponents[Criticality]</f>
        <v>Medium</v>
      </c>
      <c r="P380">
        <f>tblComponents[Planned_Production_or_Procurement]</f>
        <v>77873</v>
      </c>
      <c r="Q380">
        <f t="shared" si="36"/>
        <v>0</v>
      </c>
      <c r="R380" t="str">
        <f t="shared" si="37"/>
        <v>Medium</v>
      </c>
      <c r="S380" t="str">
        <f t="shared" si="38"/>
        <v>Not Applicable</v>
      </c>
    </row>
    <row r="381" spans="1:19" x14ac:dyDescent="0.35">
      <c r="A381" s="12" t="str">
        <f>tblComponents[Component_ID]</f>
        <v>C380</v>
      </c>
      <c r="B381" s="12" t="str">
        <f>tblComponents[Component_Name]</f>
        <v>Component 380</v>
      </c>
      <c r="C381" t="str">
        <f>tblComponents[Sourcing_Type]</f>
        <v>Buy</v>
      </c>
      <c r="D381">
        <f>tblComponents[Forecast_Demand]</f>
        <v>241</v>
      </c>
      <c r="E381">
        <f>tblComponents[Selling_Price_Per_Unit]</f>
        <v>300.47000000000003</v>
      </c>
      <c r="F381">
        <f>tblComponents[Variable_Cost_Per_Unit]</f>
        <v>192.52</v>
      </c>
      <c r="G381">
        <f>tblComponents[Direct_Labor_Cost_Per_Unit]</f>
        <v>0</v>
      </c>
      <c r="H381">
        <f>tblComponents[Contribution_Per_Unit]</f>
        <v>107.95</v>
      </c>
      <c r="I381">
        <f>tblComponents[Contribution_Margin]</f>
        <v>0.35930000000000001</v>
      </c>
      <c r="J381">
        <f>tblComponents[Actual_Cycle_Time_Min]/60</f>
        <v>0</v>
      </c>
      <c r="K381">
        <f t="shared" si="33"/>
        <v>0</v>
      </c>
      <c r="L381">
        <f>H381*tblComponents[Planned_Production_or_Procurement]</f>
        <v>3055524.75</v>
      </c>
      <c r="M381" t="str">
        <f t="shared" si="34"/>
        <v/>
      </c>
      <c r="N381" t="str">
        <f t="shared" si="35"/>
        <v>Not Applicable</v>
      </c>
      <c r="O381" t="str">
        <f>tblComponents[Criticality]</f>
        <v>Low</v>
      </c>
      <c r="P381">
        <f>tblComponents[Planned_Production_or_Procurement]</f>
        <v>28305</v>
      </c>
      <c r="Q381">
        <f t="shared" si="36"/>
        <v>0</v>
      </c>
      <c r="R381" t="str">
        <f t="shared" si="37"/>
        <v>Low</v>
      </c>
      <c r="S381" t="str">
        <f t="shared" si="38"/>
        <v>Not Applicable</v>
      </c>
    </row>
    <row r="382" spans="1:19" x14ac:dyDescent="0.35">
      <c r="A382" s="12" t="str">
        <f>tblComponents[Component_ID]</f>
        <v>C381</v>
      </c>
      <c r="B382" s="12" t="str">
        <f>tblComponents[Component_Name]</f>
        <v>Component 381</v>
      </c>
      <c r="C382" t="str">
        <f>tblComponents[Sourcing_Type]</f>
        <v>Buy</v>
      </c>
      <c r="D382">
        <f>tblComponents[Forecast_Demand]</f>
        <v>1210</v>
      </c>
      <c r="E382">
        <f>tblComponents[Selling_Price_Per_Unit]</f>
        <v>1255.73</v>
      </c>
      <c r="F382">
        <f>tblComponents[Variable_Cost_Per_Unit]</f>
        <v>872.88</v>
      </c>
      <c r="G382">
        <f>tblComponents[Direct_Labor_Cost_Per_Unit]</f>
        <v>0</v>
      </c>
      <c r="H382">
        <f>tblComponents[Contribution_Per_Unit]</f>
        <v>382.85</v>
      </c>
      <c r="I382">
        <f>tblComponents[Contribution_Margin]</f>
        <v>0.3049</v>
      </c>
      <c r="J382">
        <f>tblComponents[Actual_Cycle_Time_Min]/60</f>
        <v>0</v>
      </c>
      <c r="K382">
        <f t="shared" si="33"/>
        <v>0</v>
      </c>
      <c r="L382">
        <f>H382*tblComponents[Planned_Production_or_Procurement]</f>
        <v>4905839.9000000004</v>
      </c>
      <c r="M382" t="str">
        <f t="shared" si="34"/>
        <v/>
      </c>
      <c r="N382" t="str">
        <f t="shared" si="35"/>
        <v>Not Applicable</v>
      </c>
      <c r="O382" t="str">
        <f>tblComponents[Criticality]</f>
        <v>Medium</v>
      </c>
      <c r="P382">
        <f>tblComponents[Planned_Production_or_Procurement]</f>
        <v>12814</v>
      </c>
      <c r="Q382">
        <f t="shared" si="36"/>
        <v>0</v>
      </c>
      <c r="R382" t="str">
        <f t="shared" si="37"/>
        <v>Medium</v>
      </c>
      <c r="S382" t="str">
        <f t="shared" si="38"/>
        <v>Not Applicable</v>
      </c>
    </row>
    <row r="383" spans="1:19" x14ac:dyDescent="0.35">
      <c r="A383" s="12" t="str">
        <f>tblComponents[Component_ID]</f>
        <v>C382</v>
      </c>
      <c r="B383" s="12" t="str">
        <f>tblComponents[Component_Name]</f>
        <v>Component 382</v>
      </c>
      <c r="C383" t="str">
        <f>tblComponents[Sourcing_Type]</f>
        <v>Buy</v>
      </c>
      <c r="D383">
        <f>tblComponents[Forecast_Demand]</f>
        <v>150</v>
      </c>
      <c r="E383">
        <f>tblComponents[Selling_Price_Per_Unit]</f>
        <v>803.12</v>
      </c>
      <c r="F383">
        <f>tblComponents[Variable_Cost_Per_Unit]</f>
        <v>569.53</v>
      </c>
      <c r="G383">
        <f>tblComponents[Direct_Labor_Cost_Per_Unit]</f>
        <v>0</v>
      </c>
      <c r="H383">
        <f>tblComponents[Contribution_Per_Unit]</f>
        <v>233.59</v>
      </c>
      <c r="I383">
        <f>tblComponents[Contribution_Margin]</f>
        <v>0.29089999999999999</v>
      </c>
      <c r="J383">
        <f>tblComponents[Actual_Cycle_Time_Min]/60</f>
        <v>0</v>
      </c>
      <c r="K383">
        <f t="shared" si="33"/>
        <v>0</v>
      </c>
      <c r="L383">
        <f>H383*tblComponents[Planned_Production_or_Procurement]</f>
        <v>15867067.93</v>
      </c>
      <c r="M383" t="str">
        <f t="shared" si="34"/>
        <v/>
      </c>
      <c r="N383" t="str">
        <f t="shared" si="35"/>
        <v>Not Applicable</v>
      </c>
      <c r="O383" t="str">
        <f>tblComponents[Criticality]</f>
        <v>Low</v>
      </c>
      <c r="P383">
        <f>tblComponents[Planned_Production_or_Procurement]</f>
        <v>67927</v>
      </c>
      <c r="Q383">
        <f t="shared" si="36"/>
        <v>0</v>
      </c>
      <c r="R383" t="str">
        <f t="shared" si="37"/>
        <v>Low</v>
      </c>
      <c r="S383" t="str">
        <f t="shared" si="38"/>
        <v>Not Applicable</v>
      </c>
    </row>
    <row r="384" spans="1:19" x14ac:dyDescent="0.35">
      <c r="A384" s="12" t="str">
        <f>tblComponents[Component_ID]</f>
        <v>C383</v>
      </c>
      <c r="B384" s="12" t="str">
        <f>tblComponents[Component_Name]</f>
        <v>Component 383</v>
      </c>
      <c r="C384" t="str">
        <f>tblComponents[Sourcing_Type]</f>
        <v>Buy</v>
      </c>
      <c r="D384">
        <f>tblComponents[Forecast_Demand]</f>
        <v>1192</v>
      </c>
      <c r="E384">
        <f>tblComponents[Selling_Price_Per_Unit]</f>
        <v>1427.48</v>
      </c>
      <c r="F384">
        <f>tblComponents[Variable_Cost_Per_Unit]</f>
        <v>990.45</v>
      </c>
      <c r="G384">
        <f>tblComponents[Direct_Labor_Cost_Per_Unit]</f>
        <v>0</v>
      </c>
      <c r="H384">
        <f>tblComponents[Contribution_Per_Unit]</f>
        <v>437.03</v>
      </c>
      <c r="I384">
        <f>tblComponents[Contribution_Margin]</f>
        <v>0.30620000000000003</v>
      </c>
      <c r="J384">
        <f>tblComponents[Actual_Cycle_Time_Min]/60</f>
        <v>0</v>
      </c>
      <c r="K384">
        <f t="shared" si="33"/>
        <v>0</v>
      </c>
      <c r="L384">
        <f>H384*tblComponents[Planned_Production_or_Procurement]</f>
        <v>12380622.869999999</v>
      </c>
      <c r="M384" t="str">
        <f t="shared" si="34"/>
        <v/>
      </c>
      <c r="N384" t="str">
        <f t="shared" si="35"/>
        <v>Not Applicable</v>
      </c>
      <c r="O384" t="str">
        <f>tblComponents[Criticality]</f>
        <v>Low</v>
      </c>
      <c r="P384">
        <f>tblComponents[Planned_Production_or_Procurement]</f>
        <v>28329</v>
      </c>
      <c r="Q384">
        <f t="shared" si="36"/>
        <v>0</v>
      </c>
      <c r="R384" t="str">
        <f t="shared" si="37"/>
        <v>Low</v>
      </c>
      <c r="S384" t="str">
        <f t="shared" si="38"/>
        <v>Not Applicable</v>
      </c>
    </row>
    <row r="385" spans="1:19" x14ac:dyDescent="0.35">
      <c r="A385" s="12" t="str">
        <f>tblComponents[Component_ID]</f>
        <v>C384</v>
      </c>
      <c r="B385" s="12" t="str">
        <f>tblComponents[Component_Name]</f>
        <v>Component 384</v>
      </c>
      <c r="C385" t="str">
        <f>tblComponents[Sourcing_Type]</f>
        <v>Buy</v>
      </c>
      <c r="D385">
        <f>tblComponents[Forecast_Demand]</f>
        <v>393</v>
      </c>
      <c r="E385">
        <f>tblComponents[Selling_Price_Per_Unit]</f>
        <v>1366.2</v>
      </c>
      <c r="F385">
        <f>tblComponents[Variable_Cost_Per_Unit]</f>
        <v>866.02</v>
      </c>
      <c r="G385">
        <f>tblComponents[Direct_Labor_Cost_Per_Unit]</f>
        <v>0</v>
      </c>
      <c r="H385">
        <f>tblComponents[Contribution_Per_Unit]</f>
        <v>500.18</v>
      </c>
      <c r="I385">
        <f>tblComponents[Contribution_Margin]</f>
        <v>0.36609999999999998</v>
      </c>
      <c r="J385">
        <f>tblComponents[Actual_Cycle_Time_Min]/60</f>
        <v>0</v>
      </c>
      <c r="K385">
        <f t="shared" si="33"/>
        <v>0</v>
      </c>
      <c r="L385">
        <f>H385*tblComponents[Planned_Production_or_Procurement]</f>
        <v>3212656.14</v>
      </c>
      <c r="M385" t="str">
        <f t="shared" si="34"/>
        <v/>
      </c>
      <c r="N385" t="str">
        <f t="shared" si="35"/>
        <v>Not Applicable</v>
      </c>
      <c r="O385" t="str">
        <f>tblComponents[Criticality]</f>
        <v>Low</v>
      </c>
      <c r="P385">
        <f>tblComponents[Planned_Production_or_Procurement]</f>
        <v>6423</v>
      </c>
      <c r="Q385">
        <f t="shared" si="36"/>
        <v>0</v>
      </c>
      <c r="R385" t="str">
        <f t="shared" si="37"/>
        <v>Low</v>
      </c>
      <c r="S385" t="str">
        <f t="shared" si="38"/>
        <v>Not Applicable</v>
      </c>
    </row>
    <row r="386" spans="1:19" x14ac:dyDescent="0.35">
      <c r="A386" s="12" t="str">
        <f>tblComponents[Component_ID]</f>
        <v>C385</v>
      </c>
      <c r="B386" s="12" t="str">
        <f>tblComponents[Component_Name]</f>
        <v>Component 385</v>
      </c>
      <c r="C386" t="str">
        <f>tblComponents[Sourcing_Type]</f>
        <v>Buy</v>
      </c>
      <c r="D386">
        <f>tblComponents[Forecast_Demand]</f>
        <v>539</v>
      </c>
      <c r="E386">
        <f>tblComponents[Selling_Price_Per_Unit]</f>
        <v>292.05</v>
      </c>
      <c r="F386">
        <f>tblComponents[Variable_Cost_Per_Unit]</f>
        <v>205.39</v>
      </c>
      <c r="G386">
        <f>tblComponents[Direct_Labor_Cost_Per_Unit]</f>
        <v>0</v>
      </c>
      <c r="H386">
        <f>tblComponents[Contribution_Per_Unit]</f>
        <v>86.66</v>
      </c>
      <c r="I386">
        <f>tblComponents[Contribution_Margin]</f>
        <v>0.29670000000000002</v>
      </c>
      <c r="J386">
        <f>tblComponents[Actual_Cycle_Time_Min]/60</f>
        <v>0</v>
      </c>
      <c r="K386">
        <f t="shared" si="33"/>
        <v>0</v>
      </c>
      <c r="L386">
        <f>H386*tblComponents[Planned_Production_or_Procurement]</f>
        <v>1421397.3199999998</v>
      </c>
      <c r="M386" t="str">
        <f t="shared" si="34"/>
        <v/>
      </c>
      <c r="N386" t="str">
        <f t="shared" si="35"/>
        <v>Not Applicable</v>
      </c>
      <c r="O386" t="str">
        <f>tblComponents[Criticality]</f>
        <v>Medium</v>
      </c>
      <c r="P386">
        <f>tblComponents[Planned_Production_or_Procurement]</f>
        <v>16402</v>
      </c>
      <c r="Q386">
        <f t="shared" si="36"/>
        <v>0</v>
      </c>
      <c r="R386" t="str">
        <f t="shared" si="37"/>
        <v>Medium</v>
      </c>
      <c r="S386" t="str">
        <f t="shared" si="38"/>
        <v>Not Applicable</v>
      </c>
    </row>
    <row r="387" spans="1:19" x14ac:dyDescent="0.35">
      <c r="A387" s="12" t="str">
        <f>tblComponents[Component_ID]</f>
        <v>C386</v>
      </c>
      <c r="B387" s="12" t="str">
        <f>tblComponents[Component_Name]</f>
        <v>Component 386</v>
      </c>
      <c r="C387" t="str">
        <f>tblComponents[Sourcing_Type]</f>
        <v>Buy</v>
      </c>
      <c r="D387">
        <f>tblComponents[Forecast_Demand]</f>
        <v>1812</v>
      </c>
      <c r="E387">
        <f>tblComponents[Selling_Price_Per_Unit]</f>
        <v>452.61</v>
      </c>
      <c r="F387">
        <f>tblComponents[Variable_Cost_Per_Unit]</f>
        <v>318.98</v>
      </c>
      <c r="G387">
        <f>tblComponents[Direct_Labor_Cost_Per_Unit]</f>
        <v>0</v>
      </c>
      <c r="H387">
        <f>tblComponents[Contribution_Per_Unit]</f>
        <v>133.63</v>
      </c>
      <c r="I387">
        <f>tblComponents[Contribution_Margin]</f>
        <v>0.29520000000000002</v>
      </c>
      <c r="J387">
        <f>tblComponents[Actual_Cycle_Time_Min]/60</f>
        <v>0</v>
      </c>
      <c r="K387">
        <f t="shared" ref="K387:K450" si="39">IFERROR(H387/J387,0)</f>
        <v>0</v>
      </c>
      <c r="L387">
        <f>H387*tblComponents[Planned_Production_or_Procurement]</f>
        <v>5483106.1600000001</v>
      </c>
      <c r="M387" t="str">
        <f t="shared" ref="M387:M450" si="40">IF(C387="Make",1+COUNTIFS($C$2:$C$501,"Make",$K$2:$K$501,"&gt;"&amp;K387),"")</f>
        <v/>
      </c>
      <c r="N387" t="str">
        <f t="shared" ref="N387:N450" si="41">IF(C387="Buy","Not Applicable",IF(M387&lt;=75,"High Economic Priority",IF(M387&lt;=150,"Medium Economic Priority","Low Economic Priority")))</f>
        <v>Not Applicable</v>
      </c>
      <c r="O387" t="str">
        <f>tblComponents[Criticality]</f>
        <v>High</v>
      </c>
      <c r="P387">
        <f>tblComponents[Planned_Production_or_Procurement]</f>
        <v>41032</v>
      </c>
      <c r="Q387">
        <f t="shared" ref="Q387:Q450" si="42">J387*P387</f>
        <v>0</v>
      </c>
      <c r="R387" t="str">
        <f t="shared" ref="R387:R450" si="43">IF(O387="Critical","Critical",IF(O387="High","High",IF(O387="Medium","Medium","Low")))</f>
        <v>High</v>
      </c>
      <c r="S387" t="str">
        <f t="shared" ref="S387:S450" si="44">IF(C387="Buy","Not Applicable",
IF(O387="Critical","Critical Priority",
IF(AND(N387="High Economic Priority",O387="High"),"High Priority",
IF(AND(N387="High Economic Priority",O387="Medium"),"High Priority",
IF(AND(N387="High Economic Priority",O387="Low"),"High Priority",
IF(AND(N387="Medium Economic Priority",O387="High"),"High Priority",
IF(AND(N387="Medium Economic Priority",O387="Medium"),"Medium Priority",
IF(AND(N387="Medium Economic Priority",O387="Low"),"Medium Priority",
IF(AND(N387="Low Economic Priority",O387="High"),"High Priority",
IF(AND(N387="Low Economic Priority",O387="Medium"),"Medium Priority","Low Priority"))))))))))</f>
        <v>Not Applicable</v>
      </c>
    </row>
    <row r="388" spans="1:19" x14ac:dyDescent="0.35">
      <c r="A388" s="12" t="str">
        <f>tblComponents[Component_ID]</f>
        <v>C387</v>
      </c>
      <c r="B388" s="12" t="str">
        <f>tblComponents[Component_Name]</f>
        <v>Component 387</v>
      </c>
      <c r="C388" t="str">
        <f>tblComponents[Sourcing_Type]</f>
        <v>Buy</v>
      </c>
      <c r="D388">
        <f>tblComponents[Forecast_Demand]</f>
        <v>2487</v>
      </c>
      <c r="E388">
        <f>tblComponents[Selling_Price_Per_Unit]</f>
        <v>1378.66</v>
      </c>
      <c r="F388">
        <f>tblComponents[Variable_Cost_Per_Unit]</f>
        <v>830.41</v>
      </c>
      <c r="G388">
        <f>tblComponents[Direct_Labor_Cost_Per_Unit]</f>
        <v>0</v>
      </c>
      <c r="H388">
        <f>tblComponents[Contribution_Per_Unit]</f>
        <v>548.25</v>
      </c>
      <c r="I388">
        <f>tblComponents[Contribution_Margin]</f>
        <v>0.3977</v>
      </c>
      <c r="J388">
        <f>tblComponents[Actual_Cycle_Time_Min]/60</f>
        <v>0</v>
      </c>
      <c r="K388">
        <f t="shared" si="39"/>
        <v>0</v>
      </c>
      <c r="L388">
        <f>H388*tblComponents[Planned_Production_or_Procurement]</f>
        <v>21290740.5</v>
      </c>
      <c r="M388" t="str">
        <f t="shared" si="40"/>
        <v/>
      </c>
      <c r="N388" t="str">
        <f t="shared" si="41"/>
        <v>Not Applicable</v>
      </c>
      <c r="O388" t="str">
        <f>tblComponents[Criticality]</f>
        <v>Medium</v>
      </c>
      <c r="P388">
        <f>tblComponents[Planned_Production_or_Procurement]</f>
        <v>38834</v>
      </c>
      <c r="Q388">
        <f t="shared" si="42"/>
        <v>0</v>
      </c>
      <c r="R388" t="str">
        <f t="shared" si="43"/>
        <v>Medium</v>
      </c>
      <c r="S388" t="str">
        <f t="shared" si="44"/>
        <v>Not Applicable</v>
      </c>
    </row>
    <row r="389" spans="1:19" x14ac:dyDescent="0.35">
      <c r="A389" s="12" t="str">
        <f>tblComponents[Component_ID]</f>
        <v>C388</v>
      </c>
      <c r="B389" s="12" t="str">
        <f>tblComponents[Component_Name]</f>
        <v>Component 388</v>
      </c>
      <c r="C389" t="str">
        <f>tblComponents[Sourcing_Type]</f>
        <v>Buy</v>
      </c>
      <c r="D389">
        <f>tblComponents[Forecast_Demand]</f>
        <v>205</v>
      </c>
      <c r="E389">
        <f>tblComponents[Selling_Price_Per_Unit]</f>
        <v>806.09</v>
      </c>
      <c r="F389">
        <f>tblComponents[Variable_Cost_Per_Unit]</f>
        <v>532.67999999999995</v>
      </c>
      <c r="G389">
        <f>tblComponents[Direct_Labor_Cost_Per_Unit]</f>
        <v>0</v>
      </c>
      <c r="H389">
        <f>tblComponents[Contribution_Per_Unit]</f>
        <v>273.41000000000003</v>
      </c>
      <c r="I389">
        <f>tblComponents[Contribution_Margin]</f>
        <v>0.3392</v>
      </c>
      <c r="J389">
        <f>tblComponents[Actual_Cycle_Time_Min]/60</f>
        <v>0</v>
      </c>
      <c r="K389">
        <f t="shared" si="39"/>
        <v>0</v>
      </c>
      <c r="L389">
        <f>H389*tblComponents[Planned_Production_or_Procurement]</f>
        <v>10335718.23</v>
      </c>
      <c r="M389" t="str">
        <f t="shared" si="40"/>
        <v/>
      </c>
      <c r="N389" t="str">
        <f t="shared" si="41"/>
        <v>Not Applicable</v>
      </c>
      <c r="O389" t="str">
        <f>tblComponents[Criticality]</f>
        <v>High</v>
      </c>
      <c r="P389">
        <f>tblComponents[Planned_Production_or_Procurement]</f>
        <v>37803</v>
      </c>
      <c r="Q389">
        <f t="shared" si="42"/>
        <v>0</v>
      </c>
      <c r="R389" t="str">
        <f t="shared" si="43"/>
        <v>High</v>
      </c>
      <c r="S389" t="str">
        <f t="shared" si="44"/>
        <v>Not Applicable</v>
      </c>
    </row>
    <row r="390" spans="1:19" x14ac:dyDescent="0.35">
      <c r="A390" s="12" t="str">
        <f>tblComponents[Component_ID]</f>
        <v>C389</v>
      </c>
      <c r="B390" s="12" t="str">
        <f>tblComponents[Component_Name]</f>
        <v>Component 389</v>
      </c>
      <c r="C390" t="str">
        <f>tblComponents[Sourcing_Type]</f>
        <v>Buy</v>
      </c>
      <c r="D390">
        <f>tblComponents[Forecast_Demand]</f>
        <v>477</v>
      </c>
      <c r="E390">
        <f>tblComponents[Selling_Price_Per_Unit]</f>
        <v>357.47</v>
      </c>
      <c r="F390">
        <f>tblComponents[Variable_Cost_Per_Unit]</f>
        <v>264.32</v>
      </c>
      <c r="G390">
        <f>tblComponents[Direct_Labor_Cost_Per_Unit]</f>
        <v>0</v>
      </c>
      <c r="H390">
        <f>tblComponents[Contribution_Per_Unit]</f>
        <v>93.15</v>
      </c>
      <c r="I390">
        <f>tblComponents[Contribution_Margin]</f>
        <v>0.2606</v>
      </c>
      <c r="J390">
        <f>tblComponents[Actual_Cycle_Time_Min]/60</f>
        <v>0</v>
      </c>
      <c r="K390">
        <f t="shared" si="39"/>
        <v>0</v>
      </c>
      <c r="L390">
        <f>H390*tblComponents[Planned_Production_or_Procurement]</f>
        <v>2243610.9</v>
      </c>
      <c r="M390" t="str">
        <f t="shared" si="40"/>
        <v/>
      </c>
      <c r="N390" t="str">
        <f t="shared" si="41"/>
        <v>Not Applicable</v>
      </c>
      <c r="O390" t="str">
        <f>tblComponents[Criticality]</f>
        <v>Medium</v>
      </c>
      <c r="P390">
        <f>tblComponents[Planned_Production_or_Procurement]</f>
        <v>24086</v>
      </c>
      <c r="Q390">
        <f t="shared" si="42"/>
        <v>0</v>
      </c>
      <c r="R390" t="str">
        <f t="shared" si="43"/>
        <v>Medium</v>
      </c>
      <c r="S390" t="str">
        <f t="shared" si="44"/>
        <v>Not Applicable</v>
      </c>
    </row>
    <row r="391" spans="1:19" x14ac:dyDescent="0.35">
      <c r="A391" s="12" t="str">
        <f>tblComponents[Component_ID]</f>
        <v>C390</v>
      </c>
      <c r="B391" s="12" t="str">
        <f>tblComponents[Component_Name]</f>
        <v>Component 390</v>
      </c>
      <c r="C391" t="str">
        <f>tblComponents[Sourcing_Type]</f>
        <v>Buy</v>
      </c>
      <c r="D391">
        <f>tblComponents[Forecast_Demand]</f>
        <v>2039</v>
      </c>
      <c r="E391">
        <f>tblComponents[Selling_Price_Per_Unit]</f>
        <v>251.67</v>
      </c>
      <c r="F391">
        <f>tblComponents[Variable_Cost_Per_Unit]</f>
        <v>169.41</v>
      </c>
      <c r="G391">
        <f>tblComponents[Direct_Labor_Cost_Per_Unit]</f>
        <v>0</v>
      </c>
      <c r="H391">
        <f>tblComponents[Contribution_Per_Unit]</f>
        <v>82.26</v>
      </c>
      <c r="I391">
        <f>tblComponents[Contribution_Margin]</f>
        <v>0.32690000000000002</v>
      </c>
      <c r="J391">
        <f>tblComponents[Actual_Cycle_Time_Min]/60</f>
        <v>0</v>
      </c>
      <c r="K391">
        <f t="shared" si="39"/>
        <v>0</v>
      </c>
      <c r="L391">
        <f>H391*tblComponents[Planned_Production_or_Procurement]</f>
        <v>6852587.04</v>
      </c>
      <c r="M391" t="str">
        <f t="shared" si="40"/>
        <v/>
      </c>
      <c r="N391" t="str">
        <f t="shared" si="41"/>
        <v>Not Applicable</v>
      </c>
      <c r="O391" t="str">
        <f>tblComponents[Criticality]</f>
        <v>Medium</v>
      </c>
      <c r="P391">
        <f>tblComponents[Planned_Production_or_Procurement]</f>
        <v>83304</v>
      </c>
      <c r="Q391">
        <f t="shared" si="42"/>
        <v>0</v>
      </c>
      <c r="R391" t="str">
        <f t="shared" si="43"/>
        <v>Medium</v>
      </c>
      <c r="S391" t="str">
        <f t="shared" si="44"/>
        <v>Not Applicable</v>
      </c>
    </row>
    <row r="392" spans="1:19" x14ac:dyDescent="0.35">
      <c r="A392" s="12" t="str">
        <f>tblComponents[Component_ID]</f>
        <v>C391</v>
      </c>
      <c r="B392" s="12" t="str">
        <f>tblComponents[Component_Name]</f>
        <v>Component 391</v>
      </c>
      <c r="C392" t="str">
        <f>tblComponents[Sourcing_Type]</f>
        <v>Buy</v>
      </c>
      <c r="D392">
        <f>tblComponents[Forecast_Demand]</f>
        <v>213</v>
      </c>
      <c r="E392">
        <f>tblComponents[Selling_Price_Per_Unit]</f>
        <v>1394.21</v>
      </c>
      <c r="F392">
        <f>tblComponents[Variable_Cost_Per_Unit]</f>
        <v>1049.4100000000001</v>
      </c>
      <c r="G392">
        <f>tblComponents[Direct_Labor_Cost_Per_Unit]</f>
        <v>0</v>
      </c>
      <c r="H392">
        <f>tblComponents[Contribution_Per_Unit]</f>
        <v>344.8</v>
      </c>
      <c r="I392">
        <f>tblComponents[Contribution_Margin]</f>
        <v>0.24729999999999999</v>
      </c>
      <c r="J392">
        <f>tblComponents[Actual_Cycle_Time_Min]/60</f>
        <v>0</v>
      </c>
      <c r="K392">
        <f t="shared" si="39"/>
        <v>0</v>
      </c>
      <c r="L392">
        <f>H392*tblComponents[Planned_Production_or_Procurement]</f>
        <v>6243293.6000000006</v>
      </c>
      <c r="M392" t="str">
        <f t="shared" si="40"/>
        <v/>
      </c>
      <c r="N392" t="str">
        <f t="shared" si="41"/>
        <v>Not Applicable</v>
      </c>
      <c r="O392" t="str">
        <f>tblComponents[Criticality]</f>
        <v>Medium</v>
      </c>
      <c r="P392">
        <f>tblComponents[Planned_Production_or_Procurement]</f>
        <v>18107</v>
      </c>
      <c r="Q392">
        <f t="shared" si="42"/>
        <v>0</v>
      </c>
      <c r="R392" t="str">
        <f t="shared" si="43"/>
        <v>Medium</v>
      </c>
      <c r="S392" t="str">
        <f t="shared" si="44"/>
        <v>Not Applicable</v>
      </c>
    </row>
    <row r="393" spans="1:19" x14ac:dyDescent="0.35">
      <c r="A393" s="12" t="str">
        <f>tblComponents[Component_ID]</f>
        <v>C392</v>
      </c>
      <c r="B393" s="12" t="str">
        <f>tblComponents[Component_Name]</f>
        <v>Component 392</v>
      </c>
      <c r="C393" t="str">
        <f>tblComponents[Sourcing_Type]</f>
        <v>Buy</v>
      </c>
      <c r="D393">
        <f>tblComponents[Forecast_Demand]</f>
        <v>1033</v>
      </c>
      <c r="E393">
        <f>tblComponents[Selling_Price_Per_Unit]</f>
        <v>248.58</v>
      </c>
      <c r="F393">
        <f>tblComponents[Variable_Cost_Per_Unit]</f>
        <v>197.07</v>
      </c>
      <c r="G393">
        <f>tblComponents[Direct_Labor_Cost_Per_Unit]</f>
        <v>0</v>
      </c>
      <c r="H393">
        <f>tblComponents[Contribution_Per_Unit]</f>
        <v>51.51</v>
      </c>
      <c r="I393">
        <f>tblComponents[Contribution_Margin]</f>
        <v>0.2072</v>
      </c>
      <c r="J393">
        <f>tblComponents[Actual_Cycle_Time_Min]/60</f>
        <v>0</v>
      </c>
      <c r="K393">
        <f t="shared" si="39"/>
        <v>0</v>
      </c>
      <c r="L393">
        <f>H393*tblComponents[Planned_Production_or_Procurement]</f>
        <v>2536043.34</v>
      </c>
      <c r="M393" t="str">
        <f t="shared" si="40"/>
        <v/>
      </c>
      <c r="N393" t="str">
        <f t="shared" si="41"/>
        <v>Not Applicable</v>
      </c>
      <c r="O393" t="str">
        <f>tblComponents[Criticality]</f>
        <v>Medium</v>
      </c>
      <c r="P393">
        <f>tblComponents[Planned_Production_or_Procurement]</f>
        <v>49234</v>
      </c>
      <c r="Q393">
        <f t="shared" si="42"/>
        <v>0</v>
      </c>
      <c r="R393" t="str">
        <f t="shared" si="43"/>
        <v>Medium</v>
      </c>
      <c r="S393" t="str">
        <f t="shared" si="44"/>
        <v>Not Applicable</v>
      </c>
    </row>
    <row r="394" spans="1:19" x14ac:dyDescent="0.35">
      <c r="A394" s="12" t="str">
        <f>tblComponents[Component_ID]</f>
        <v>C393</v>
      </c>
      <c r="B394" s="12" t="str">
        <f>tblComponents[Component_Name]</f>
        <v>Component 393</v>
      </c>
      <c r="C394" t="str">
        <f>tblComponents[Sourcing_Type]</f>
        <v>Buy</v>
      </c>
      <c r="D394">
        <f>tblComponents[Forecast_Demand]</f>
        <v>478</v>
      </c>
      <c r="E394">
        <f>tblComponents[Selling_Price_Per_Unit]</f>
        <v>2234.5300000000002</v>
      </c>
      <c r="F394">
        <f>tblComponents[Variable_Cost_Per_Unit]</f>
        <v>1565.93</v>
      </c>
      <c r="G394">
        <f>tblComponents[Direct_Labor_Cost_Per_Unit]</f>
        <v>0</v>
      </c>
      <c r="H394">
        <f>tblComponents[Contribution_Per_Unit]</f>
        <v>668.6</v>
      </c>
      <c r="I394">
        <f>tblComponents[Contribution_Margin]</f>
        <v>0.29920000000000002</v>
      </c>
      <c r="J394">
        <f>tblComponents[Actual_Cycle_Time_Min]/60</f>
        <v>0</v>
      </c>
      <c r="K394">
        <f t="shared" si="39"/>
        <v>0</v>
      </c>
      <c r="L394">
        <f>H394*tblComponents[Planned_Production_or_Procurement]</f>
        <v>10024319.800000001</v>
      </c>
      <c r="M394" t="str">
        <f t="shared" si="40"/>
        <v/>
      </c>
      <c r="N394" t="str">
        <f t="shared" si="41"/>
        <v>Not Applicable</v>
      </c>
      <c r="O394" t="str">
        <f>tblComponents[Criticality]</f>
        <v>Medium</v>
      </c>
      <c r="P394">
        <f>tblComponents[Planned_Production_or_Procurement]</f>
        <v>14993</v>
      </c>
      <c r="Q394">
        <f t="shared" si="42"/>
        <v>0</v>
      </c>
      <c r="R394" t="str">
        <f t="shared" si="43"/>
        <v>Medium</v>
      </c>
      <c r="S394" t="str">
        <f t="shared" si="44"/>
        <v>Not Applicable</v>
      </c>
    </row>
    <row r="395" spans="1:19" x14ac:dyDescent="0.35">
      <c r="A395" s="12" t="str">
        <f>tblComponents[Component_ID]</f>
        <v>C394</v>
      </c>
      <c r="B395" s="12" t="str">
        <f>tblComponents[Component_Name]</f>
        <v>Component 394</v>
      </c>
      <c r="C395" t="str">
        <f>tblComponents[Sourcing_Type]</f>
        <v>Buy</v>
      </c>
      <c r="D395">
        <f>tblComponents[Forecast_Demand]</f>
        <v>1255</v>
      </c>
      <c r="E395">
        <f>tblComponents[Selling_Price_Per_Unit]</f>
        <v>1718.62</v>
      </c>
      <c r="F395">
        <f>tblComponents[Variable_Cost_Per_Unit]</f>
        <v>1062.03</v>
      </c>
      <c r="G395">
        <f>tblComponents[Direct_Labor_Cost_Per_Unit]</f>
        <v>0</v>
      </c>
      <c r="H395">
        <f>tblComponents[Contribution_Per_Unit]</f>
        <v>656.59</v>
      </c>
      <c r="I395">
        <f>tblComponents[Contribution_Margin]</f>
        <v>0.38200000000000001</v>
      </c>
      <c r="J395">
        <f>tblComponents[Actual_Cycle_Time_Min]/60</f>
        <v>0</v>
      </c>
      <c r="K395">
        <f t="shared" si="39"/>
        <v>0</v>
      </c>
      <c r="L395">
        <f>H395*tblComponents[Planned_Production_or_Procurement]</f>
        <v>6898134.54</v>
      </c>
      <c r="M395" t="str">
        <f t="shared" si="40"/>
        <v/>
      </c>
      <c r="N395" t="str">
        <f t="shared" si="41"/>
        <v>Not Applicable</v>
      </c>
      <c r="O395" t="str">
        <f>tblComponents[Criticality]</f>
        <v>Low</v>
      </c>
      <c r="P395">
        <f>tblComponents[Planned_Production_or_Procurement]</f>
        <v>10506</v>
      </c>
      <c r="Q395">
        <f t="shared" si="42"/>
        <v>0</v>
      </c>
      <c r="R395" t="str">
        <f t="shared" si="43"/>
        <v>Low</v>
      </c>
      <c r="S395" t="str">
        <f t="shared" si="44"/>
        <v>Not Applicable</v>
      </c>
    </row>
    <row r="396" spans="1:19" x14ac:dyDescent="0.35">
      <c r="A396" s="12" t="str">
        <f>tblComponents[Component_ID]</f>
        <v>C395</v>
      </c>
      <c r="B396" s="12" t="str">
        <f>tblComponents[Component_Name]</f>
        <v>Component 395</v>
      </c>
      <c r="C396" t="str">
        <f>tblComponents[Sourcing_Type]</f>
        <v>Buy</v>
      </c>
      <c r="D396">
        <f>tblComponents[Forecast_Demand]</f>
        <v>1357</v>
      </c>
      <c r="E396">
        <f>tblComponents[Selling_Price_Per_Unit]</f>
        <v>285.64999999999998</v>
      </c>
      <c r="F396">
        <f>tblComponents[Variable_Cost_Per_Unit]</f>
        <v>176.45</v>
      </c>
      <c r="G396">
        <f>tblComponents[Direct_Labor_Cost_Per_Unit]</f>
        <v>0</v>
      </c>
      <c r="H396">
        <f>tblComponents[Contribution_Per_Unit]</f>
        <v>109.2</v>
      </c>
      <c r="I396">
        <f>tblComponents[Contribution_Margin]</f>
        <v>0.38229999999999997</v>
      </c>
      <c r="J396">
        <f>tblComponents[Actual_Cycle_Time_Min]/60</f>
        <v>0</v>
      </c>
      <c r="K396">
        <f t="shared" si="39"/>
        <v>0</v>
      </c>
      <c r="L396">
        <f>H396*tblComponents[Planned_Production_or_Procurement]</f>
        <v>7122460.7999999998</v>
      </c>
      <c r="M396" t="str">
        <f t="shared" si="40"/>
        <v/>
      </c>
      <c r="N396" t="str">
        <f t="shared" si="41"/>
        <v>Not Applicable</v>
      </c>
      <c r="O396" t="str">
        <f>tblComponents[Criticality]</f>
        <v>Critical</v>
      </c>
      <c r="P396">
        <f>tblComponents[Planned_Production_or_Procurement]</f>
        <v>65224</v>
      </c>
      <c r="Q396">
        <f t="shared" si="42"/>
        <v>0</v>
      </c>
      <c r="R396" t="str">
        <f t="shared" si="43"/>
        <v>Critical</v>
      </c>
      <c r="S396" t="str">
        <f t="shared" si="44"/>
        <v>Not Applicable</v>
      </c>
    </row>
    <row r="397" spans="1:19" x14ac:dyDescent="0.35">
      <c r="A397" s="12" t="str">
        <f>tblComponents[Component_ID]</f>
        <v>C396</v>
      </c>
      <c r="B397" s="12" t="str">
        <f>tblComponents[Component_Name]</f>
        <v>Component 396</v>
      </c>
      <c r="C397" t="str">
        <f>tblComponents[Sourcing_Type]</f>
        <v>Buy</v>
      </c>
      <c r="D397">
        <f>tblComponents[Forecast_Demand]</f>
        <v>437</v>
      </c>
      <c r="E397">
        <f>tblComponents[Selling_Price_Per_Unit]</f>
        <v>315.77999999999997</v>
      </c>
      <c r="F397">
        <f>tblComponents[Variable_Cost_Per_Unit]</f>
        <v>241.42</v>
      </c>
      <c r="G397">
        <f>tblComponents[Direct_Labor_Cost_Per_Unit]</f>
        <v>0</v>
      </c>
      <c r="H397">
        <f>tblComponents[Contribution_Per_Unit]</f>
        <v>74.36</v>
      </c>
      <c r="I397">
        <f>tblComponents[Contribution_Margin]</f>
        <v>0.23549999999999999</v>
      </c>
      <c r="J397">
        <f>tblComponents[Actual_Cycle_Time_Min]/60</f>
        <v>0</v>
      </c>
      <c r="K397">
        <f t="shared" si="39"/>
        <v>0</v>
      </c>
      <c r="L397">
        <f>H397*tblComponents[Planned_Production_or_Procurement]</f>
        <v>4203719.5199999996</v>
      </c>
      <c r="M397" t="str">
        <f t="shared" si="40"/>
        <v/>
      </c>
      <c r="N397" t="str">
        <f t="shared" si="41"/>
        <v>Not Applicable</v>
      </c>
      <c r="O397" t="str">
        <f>tblComponents[Criticality]</f>
        <v>Medium</v>
      </c>
      <c r="P397">
        <f>tblComponents[Planned_Production_or_Procurement]</f>
        <v>56532</v>
      </c>
      <c r="Q397">
        <f t="shared" si="42"/>
        <v>0</v>
      </c>
      <c r="R397" t="str">
        <f t="shared" si="43"/>
        <v>Medium</v>
      </c>
      <c r="S397" t="str">
        <f t="shared" si="44"/>
        <v>Not Applicable</v>
      </c>
    </row>
    <row r="398" spans="1:19" x14ac:dyDescent="0.35">
      <c r="A398" s="12" t="str">
        <f>tblComponents[Component_ID]</f>
        <v>C397</v>
      </c>
      <c r="B398" s="12" t="str">
        <f>tblComponents[Component_Name]</f>
        <v>Component 397</v>
      </c>
      <c r="C398" t="str">
        <f>tblComponents[Sourcing_Type]</f>
        <v>Buy</v>
      </c>
      <c r="D398">
        <f>tblComponents[Forecast_Demand]</f>
        <v>1511</v>
      </c>
      <c r="E398">
        <f>tblComponents[Selling_Price_Per_Unit]</f>
        <v>1124.25</v>
      </c>
      <c r="F398">
        <f>tblComponents[Variable_Cost_Per_Unit]</f>
        <v>807.3</v>
      </c>
      <c r="G398">
        <f>tblComponents[Direct_Labor_Cost_Per_Unit]</f>
        <v>0</v>
      </c>
      <c r="H398">
        <f>tblComponents[Contribution_Per_Unit]</f>
        <v>316.95</v>
      </c>
      <c r="I398">
        <f>tblComponents[Contribution_Margin]</f>
        <v>0.28189999999999998</v>
      </c>
      <c r="J398">
        <f>tblComponents[Actual_Cycle_Time_Min]/60</f>
        <v>0</v>
      </c>
      <c r="K398">
        <f t="shared" si="39"/>
        <v>0</v>
      </c>
      <c r="L398">
        <f>H398*tblComponents[Planned_Production_or_Procurement]</f>
        <v>20653729.800000001</v>
      </c>
      <c r="M398" t="str">
        <f t="shared" si="40"/>
        <v/>
      </c>
      <c r="N398" t="str">
        <f t="shared" si="41"/>
        <v>Not Applicable</v>
      </c>
      <c r="O398" t="str">
        <f>tblComponents[Criticality]</f>
        <v>Medium</v>
      </c>
      <c r="P398">
        <f>tblComponents[Planned_Production_or_Procurement]</f>
        <v>65164</v>
      </c>
      <c r="Q398">
        <f t="shared" si="42"/>
        <v>0</v>
      </c>
      <c r="R398" t="str">
        <f t="shared" si="43"/>
        <v>Medium</v>
      </c>
      <c r="S398" t="str">
        <f t="shared" si="44"/>
        <v>Not Applicable</v>
      </c>
    </row>
    <row r="399" spans="1:19" x14ac:dyDescent="0.35">
      <c r="A399" s="12" t="str">
        <f>tblComponents[Component_ID]</f>
        <v>C398</v>
      </c>
      <c r="B399" s="12" t="str">
        <f>tblComponents[Component_Name]</f>
        <v>Component 398</v>
      </c>
      <c r="C399" t="str">
        <f>tblComponents[Sourcing_Type]</f>
        <v>Buy</v>
      </c>
      <c r="D399">
        <f>tblComponents[Forecast_Demand]</f>
        <v>651</v>
      </c>
      <c r="E399">
        <f>tblComponents[Selling_Price_Per_Unit]</f>
        <v>1058.1400000000001</v>
      </c>
      <c r="F399">
        <f>tblComponents[Variable_Cost_Per_Unit]</f>
        <v>843.43</v>
      </c>
      <c r="G399">
        <f>tblComponents[Direct_Labor_Cost_Per_Unit]</f>
        <v>0</v>
      </c>
      <c r="H399">
        <f>tblComponents[Contribution_Per_Unit]</f>
        <v>214.71</v>
      </c>
      <c r="I399">
        <f>tblComponents[Contribution_Margin]</f>
        <v>0.2029</v>
      </c>
      <c r="J399">
        <f>tblComponents[Actual_Cycle_Time_Min]/60</f>
        <v>0</v>
      </c>
      <c r="K399">
        <f t="shared" si="39"/>
        <v>0</v>
      </c>
      <c r="L399">
        <f>H399*tblComponents[Planned_Production_or_Procurement]</f>
        <v>6442158.8399999999</v>
      </c>
      <c r="M399" t="str">
        <f t="shared" si="40"/>
        <v/>
      </c>
      <c r="N399" t="str">
        <f t="shared" si="41"/>
        <v>Not Applicable</v>
      </c>
      <c r="O399" t="str">
        <f>tblComponents[Criticality]</f>
        <v>Critical</v>
      </c>
      <c r="P399">
        <f>tblComponents[Planned_Production_or_Procurement]</f>
        <v>30004</v>
      </c>
      <c r="Q399">
        <f t="shared" si="42"/>
        <v>0</v>
      </c>
      <c r="R399" t="str">
        <f t="shared" si="43"/>
        <v>Critical</v>
      </c>
      <c r="S399" t="str">
        <f t="shared" si="44"/>
        <v>Not Applicable</v>
      </c>
    </row>
    <row r="400" spans="1:19" x14ac:dyDescent="0.35">
      <c r="A400" s="12" t="str">
        <f>tblComponents[Component_ID]</f>
        <v>C399</v>
      </c>
      <c r="B400" s="12" t="str">
        <f>tblComponents[Component_Name]</f>
        <v>Component 399</v>
      </c>
      <c r="C400" t="str">
        <f>tblComponents[Sourcing_Type]</f>
        <v>Buy</v>
      </c>
      <c r="D400">
        <f>tblComponents[Forecast_Demand]</f>
        <v>767</v>
      </c>
      <c r="E400">
        <f>tblComponents[Selling_Price_Per_Unit]</f>
        <v>600.26</v>
      </c>
      <c r="F400">
        <f>tblComponents[Variable_Cost_Per_Unit]</f>
        <v>360.81</v>
      </c>
      <c r="G400">
        <f>tblComponents[Direct_Labor_Cost_Per_Unit]</f>
        <v>0</v>
      </c>
      <c r="H400">
        <f>tblComponents[Contribution_Per_Unit]</f>
        <v>239.45</v>
      </c>
      <c r="I400">
        <f>tblComponents[Contribution_Margin]</f>
        <v>0.39889999999999998</v>
      </c>
      <c r="J400">
        <f>tblComponents[Actual_Cycle_Time_Min]/60</f>
        <v>0</v>
      </c>
      <c r="K400">
        <f t="shared" si="39"/>
        <v>0</v>
      </c>
      <c r="L400">
        <f>H400*tblComponents[Planned_Production_or_Procurement]</f>
        <v>20281654.449999999</v>
      </c>
      <c r="M400" t="str">
        <f t="shared" si="40"/>
        <v/>
      </c>
      <c r="N400" t="str">
        <f t="shared" si="41"/>
        <v>Not Applicable</v>
      </c>
      <c r="O400" t="str">
        <f>tblComponents[Criticality]</f>
        <v>Critical</v>
      </c>
      <c r="P400">
        <f>tblComponents[Planned_Production_or_Procurement]</f>
        <v>84701</v>
      </c>
      <c r="Q400">
        <f t="shared" si="42"/>
        <v>0</v>
      </c>
      <c r="R400" t="str">
        <f t="shared" si="43"/>
        <v>Critical</v>
      </c>
      <c r="S400" t="str">
        <f t="shared" si="44"/>
        <v>Not Applicable</v>
      </c>
    </row>
    <row r="401" spans="1:19" x14ac:dyDescent="0.35">
      <c r="A401" s="12" t="str">
        <f>tblComponents[Component_ID]</f>
        <v>C400</v>
      </c>
      <c r="B401" s="12" t="str">
        <f>tblComponents[Component_Name]</f>
        <v>Component 400</v>
      </c>
      <c r="C401" t="str">
        <f>tblComponents[Sourcing_Type]</f>
        <v>Buy</v>
      </c>
      <c r="D401">
        <f>tblComponents[Forecast_Demand]</f>
        <v>1357</v>
      </c>
      <c r="E401">
        <f>tblComponents[Selling_Price_Per_Unit]</f>
        <v>2012.93</v>
      </c>
      <c r="F401">
        <f>tblComponents[Variable_Cost_Per_Unit]</f>
        <v>1217.26</v>
      </c>
      <c r="G401">
        <f>tblComponents[Direct_Labor_Cost_Per_Unit]</f>
        <v>0</v>
      </c>
      <c r="H401">
        <f>tblComponents[Contribution_Per_Unit]</f>
        <v>795.67</v>
      </c>
      <c r="I401">
        <f>tblComponents[Contribution_Margin]</f>
        <v>0.39529999999999998</v>
      </c>
      <c r="J401">
        <f>tblComponents[Actual_Cycle_Time_Min]/60</f>
        <v>0</v>
      </c>
      <c r="K401">
        <f t="shared" si="39"/>
        <v>0</v>
      </c>
      <c r="L401">
        <f>H401*tblComponents[Planned_Production_or_Procurement]</f>
        <v>42322482.969999999</v>
      </c>
      <c r="M401" t="str">
        <f t="shared" si="40"/>
        <v/>
      </c>
      <c r="N401" t="str">
        <f t="shared" si="41"/>
        <v>Not Applicable</v>
      </c>
      <c r="O401" t="str">
        <f>tblComponents[Criticality]</f>
        <v>High</v>
      </c>
      <c r="P401">
        <f>tblComponents[Planned_Production_or_Procurement]</f>
        <v>53191</v>
      </c>
      <c r="Q401">
        <f t="shared" si="42"/>
        <v>0</v>
      </c>
      <c r="R401" t="str">
        <f t="shared" si="43"/>
        <v>High</v>
      </c>
      <c r="S401" t="str">
        <f t="shared" si="44"/>
        <v>Not Applicable</v>
      </c>
    </row>
    <row r="402" spans="1:19" x14ac:dyDescent="0.35">
      <c r="A402" s="12" t="str">
        <f>tblComponents[Component_ID]</f>
        <v>C401</v>
      </c>
      <c r="B402" s="12" t="str">
        <f>tblComponents[Component_Name]</f>
        <v>Component 401</v>
      </c>
      <c r="C402" t="str">
        <f>tblComponents[Sourcing_Type]</f>
        <v>Buy</v>
      </c>
      <c r="D402">
        <f>tblComponents[Forecast_Demand]</f>
        <v>1638</v>
      </c>
      <c r="E402">
        <f>tblComponents[Selling_Price_Per_Unit]</f>
        <v>1692.45</v>
      </c>
      <c r="F402">
        <f>tblComponents[Variable_Cost_Per_Unit]</f>
        <v>1163.77</v>
      </c>
      <c r="G402">
        <f>tblComponents[Direct_Labor_Cost_Per_Unit]</f>
        <v>0</v>
      </c>
      <c r="H402">
        <f>tblComponents[Contribution_Per_Unit]</f>
        <v>528.67999999999995</v>
      </c>
      <c r="I402">
        <f>tblComponents[Contribution_Margin]</f>
        <v>0.31240000000000001</v>
      </c>
      <c r="J402">
        <f>tblComponents[Actual_Cycle_Time_Min]/60</f>
        <v>0</v>
      </c>
      <c r="K402">
        <f t="shared" si="39"/>
        <v>0</v>
      </c>
      <c r="L402">
        <f>H402*tblComponents[Planned_Production_or_Procurement]</f>
        <v>21031947.759999998</v>
      </c>
      <c r="M402" t="str">
        <f t="shared" si="40"/>
        <v/>
      </c>
      <c r="N402" t="str">
        <f t="shared" si="41"/>
        <v>Not Applicable</v>
      </c>
      <c r="O402" t="str">
        <f>tblComponents[Criticality]</f>
        <v>High</v>
      </c>
      <c r="P402">
        <f>tblComponents[Planned_Production_or_Procurement]</f>
        <v>39782</v>
      </c>
      <c r="Q402">
        <f t="shared" si="42"/>
        <v>0</v>
      </c>
      <c r="R402" t="str">
        <f t="shared" si="43"/>
        <v>High</v>
      </c>
      <c r="S402" t="str">
        <f t="shared" si="44"/>
        <v>Not Applicable</v>
      </c>
    </row>
    <row r="403" spans="1:19" x14ac:dyDescent="0.35">
      <c r="A403" s="12" t="str">
        <f>tblComponents[Component_ID]</f>
        <v>C402</v>
      </c>
      <c r="B403" s="12" t="str">
        <f>tblComponents[Component_Name]</f>
        <v>Component 402</v>
      </c>
      <c r="C403" t="str">
        <f>tblComponents[Sourcing_Type]</f>
        <v>Buy</v>
      </c>
      <c r="D403">
        <f>tblComponents[Forecast_Demand]</f>
        <v>866</v>
      </c>
      <c r="E403">
        <f>tblComponents[Selling_Price_Per_Unit]</f>
        <v>2228.4899999999998</v>
      </c>
      <c r="F403">
        <f>tblComponents[Variable_Cost_Per_Unit]</f>
        <v>1446.06</v>
      </c>
      <c r="G403">
        <f>tblComponents[Direct_Labor_Cost_Per_Unit]</f>
        <v>0</v>
      </c>
      <c r="H403">
        <f>tblComponents[Contribution_Per_Unit]</f>
        <v>782.43</v>
      </c>
      <c r="I403">
        <f>tblComponents[Contribution_Margin]</f>
        <v>0.35110000000000002</v>
      </c>
      <c r="J403">
        <f>tblComponents[Actual_Cycle_Time_Min]/60</f>
        <v>0</v>
      </c>
      <c r="K403">
        <f t="shared" si="39"/>
        <v>0</v>
      </c>
      <c r="L403">
        <f>H403*tblComponents[Planned_Production_or_Procurement]</f>
        <v>24871884.84</v>
      </c>
      <c r="M403" t="str">
        <f t="shared" si="40"/>
        <v/>
      </c>
      <c r="N403" t="str">
        <f t="shared" si="41"/>
        <v>Not Applicable</v>
      </c>
      <c r="O403" t="str">
        <f>tblComponents[Criticality]</f>
        <v>High</v>
      </c>
      <c r="P403">
        <f>tblComponents[Planned_Production_or_Procurement]</f>
        <v>31788</v>
      </c>
      <c r="Q403">
        <f t="shared" si="42"/>
        <v>0</v>
      </c>
      <c r="R403" t="str">
        <f t="shared" si="43"/>
        <v>High</v>
      </c>
      <c r="S403" t="str">
        <f t="shared" si="44"/>
        <v>Not Applicable</v>
      </c>
    </row>
    <row r="404" spans="1:19" x14ac:dyDescent="0.35">
      <c r="A404" s="12" t="str">
        <f>tblComponents[Component_ID]</f>
        <v>C403</v>
      </c>
      <c r="B404" s="12" t="str">
        <f>tblComponents[Component_Name]</f>
        <v>Component 403</v>
      </c>
      <c r="C404" t="str">
        <f>tblComponents[Sourcing_Type]</f>
        <v>Buy</v>
      </c>
      <c r="D404">
        <f>tblComponents[Forecast_Demand]</f>
        <v>255</v>
      </c>
      <c r="E404">
        <f>tblComponents[Selling_Price_Per_Unit]</f>
        <v>1249.01</v>
      </c>
      <c r="F404">
        <f>tblComponents[Variable_Cost_Per_Unit]</f>
        <v>838.37</v>
      </c>
      <c r="G404">
        <f>tblComponents[Direct_Labor_Cost_Per_Unit]</f>
        <v>0</v>
      </c>
      <c r="H404">
        <f>tblComponents[Contribution_Per_Unit]</f>
        <v>410.64</v>
      </c>
      <c r="I404">
        <f>tblComponents[Contribution_Margin]</f>
        <v>0.32879999999999998</v>
      </c>
      <c r="J404">
        <f>tblComponents[Actual_Cycle_Time_Min]/60</f>
        <v>0</v>
      </c>
      <c r="K404">
        <f t="shared" si="39"/>
        <v>0</v>
      </c>
      <c r="L404">
        <f>H404*tblComponents[Planned_Production_or_Procurement]</f>
        <v>10975996.560000001</v>
      </c>
      <c r="M404" t="str">
        <f t="shared" si="40"/>
        <v/>
      </c>
      <c r="N404" t="str">
        <f t="shared" si="41"/>
        <v>Not Applicable</v>
      </c>
      <c r="O404" t="str">
        <f>tblComponents[Criticality]</f>
        <v>Low</v>
      </c>
      <c r="P404">
        <f>tblComponents[Planned_Production_or_Procurement]</f>
        <v>26729</v>
      </c>
      <c r="Q404">
        <f t="shared" si="42"/>
        <v>0</v>
      </c>
      <c r="R404" t="str">
        <f t="shared" si="43"/>
        <v>Low</v>
      </c>
      <c r="S404" t="str">
        <f t="shared" si="44"/>
        <v>Not Applicable</v>
      </c>
    </row>
    <row r="405" spans="1:19" x14ac:dyDescent="0.35">
      <c r="A405" s="12" t="str">
        <f>tblComponents[Component_ID]</f>
        <v>C404</v>
      </c>
      <c r="B405" s="12" t="str">
        <f>tblComponents[Component_Name]</f>
        <v>Component 404</v>
      </c>
      <c r="C405" t="str">
        <f>tblComponents[Sourcing_Type]</f>
        <v>Buy</v>
      </c>
      <c r="D405">
        <f>tblComponents[Forecast_Demand]</f>
        <v>1306</v>
      </c>
      <c r="E405">
        <f>tblComponents[Selling_Price_Per_Unit]</f>
        <v>920.18</v>
      </c>
      <c r="F405">
        <f>tblComponents[Variable_Cost_Per_Unit]</f>
        <v>645.70000000000005</v>
      </c>
      <c r="G405">
        <f>tblComponents[Direct_Labor_Cost_Per_Unit]</f>
        <v>0</v>
      </c>
      <c r="H405">
        <f>tblComponents[Contribution_Per_Unit]</f>
        <v>274.48</v>
      </c>
      <c r="I405">
        <f>tblComponents[Contribution_Margin]</f>
        <v>0.29830000000000001</v>
      </c>
      <c r="J405">
        <f>tblComponents[Actual_Cycle_Time_Min]/60</f>
        <v>0</v>
      </c>
      <c r="K405">
        <f t="shared" si="39"/>
        <v>0</v>
      </c>
      <c r="L405">
        <f>H405*tblComponents[Planned_Production_or_Procurement]</f>
        <v>13119595.040000001</v>
      </c>
      <c r="M405" t="str">
        <f t="shared" si="40"/>
        <v/>
      </c>
      <c r="N405" t="str">
        <f t="shared" si="41"/>
        <v>Not Applicable</v>
      </c>
      <c r="O405" t="str">
        <f>tblComponents[Criticality]</f>
        <v>Low</v>
      </c>
      <c r="P405">
        <f>tblComponents[Planned_Production_or_Procurement]</f>
        <v>47798</v>
      </c>
      <c r="Q405">
        <f t="shared" si="42"/>
        <v>0</v>
      </c>
      <c r="R405" t="str">
        <f t="shared" si="43"/>
        <v>Low</v>
      </c>
      <c r="S405" t="str">
        <f t="shared" si="44"/>
        <v>Not Applicable</v>
      </c>
    </row>
    <row r="406" spans="1:19" x14ac:dyDescent="0.35">
      <c r="A406" s="12" t="str">
        <f>tblComponents[Component_ID]</f>
        <v>C405</v>
      </c>
      <c r="B406" s="12" t="str">
        <f>tblComponents[Component_Name]</f>
        <v>Component 405</v>
      </c>
      <c r="C406" t="str">
        <f>tblComponents[Sourcing_Type]</f>
        <v>Buy</v>
      </c>
      <c r="D406">
        <f>tblComponents[Forecast_Demand]</f>
        <v>1488</v>
      </c>
      <c r="E406">
        <f>tblComponents[Selling_Price_Per_Unit]</f>
        <v>281.58</v>
      </c>
      <c r="F406">
        <f>tblComponents[Variable_Cost_Per_Unit]</f>
        <v>235.59</v>
      </c>
      <c r="G406">
        <f>tblComponents[Direct_Labor_Cost_Per_Unit]</f>
        <v>0</v>
      </c>
      <c r="H406">
        <f>tblComponents[Contribution_Per_Unit]</f>
        <v>45.99</v>
      </c>
      <c r="I406">
        <f>tblComponents[Contribution_Margin]</f>
        <v>0.1633</v>
      </c>
      <c r="J406">
        <f>tblComponents[Actual_Cycle_Time_Min]/60</f>
        <v>0</v>
      </c>
      <c r="K406">
        <f t="shared" si="39"/>
        <v>0</v>
      </c>
      <c r="L406">
        <f>H406*tblComponents[Planned_Production_or_Procurement]</f>
        <v>902093.85000000009</v>
      </c>
      <c r="M406" t="str">
        <f t="shared" si="40"/>
        <v/>
      </c>
      <c r="N406" t="str">
        <f t="shared" si="41"/>
        <v>Not Applicable</v>
      </c>
      <c r="O406" t="str">
        <f>tblComponents[Criticality]</f>
        <v>High</v>
      </c>
      <c r="P406">
        <f>tblComponents[Planned_Production_or_Procurement]</f>
        <v>19615</v>
      </c>
      <c r="Q406">
        <f t="shared" si="42"/>
        <v>0</v>
      </c>
      <c r="R406" t="str">
        <f t="shared" si="43"/>
        <v>High</v>
      </c>
      <c r="S406" t="str">
        <f t="shared" si="44"/>
        <v>Not Applicable</v>
      </c>
    </row>
    <row r="407" spans="1:19" x14ac:dyDescent="0.35">
      <c r="A407" s="12" t="str">
        <f>tblComponents[Component_ID]</f>
        <v>C406</v>
      </c>
      <c r="B407" s="12" t="str">
        <f>tblComponents[Component_Name]</f>
        <v>Component 406</v>
      </c>
      <c r="C407" t="str">
        <f>tblComponents[Sourcing_Type]</f>
        <v>Buy</v>
      </c>
      <c r="D407">
        <f>tblComponents[Forecast_Demand]</f>
        <v>519</v>
      </c>
      <c r="E407">
        <f>tblComponents[Selling_Price_Per_Unit]</f>
        <v>888.85</v>
      </c>
      <c r="F407">
        <f>tblComponents[Variable_Cost_Per_Unit]</f>
        <v>654.47</v>
      </c>
      <c r="G407">
        <f>tblComponents[Direct_Labor_Cost_Per_Unit]</f>
        <v>0</v>
      </c>
      <c r="H407">
        <f>tblComponents[Contribution_Per_Unit]</f>
        <v>234.38</v>
      </c>
      <c r="I407">
        <f>tblComponents[Contribution_Margin]</f>
        <v>0.26369999999999999</v>
      </c>
      <c r="J407">
        <f>tblComponents[Actual_Cycle_Time_Min]/60</f>
        <v>0</v>
      </c>
      <c r="K407">
        <f t="shared" si="39"/>
        <v>0</v>
      </c>
      <c r="L407">
        <f>H407*tblComponents[Planned_Production_or_Procurement]</f>
        <v>12285730.84</v>
      </c>
      <c r="M407" t="str">
        <f t="shared" si="40"/>
        <v/>
      </c>
      <c r="N407" t="str">
        <f t="shared" si="41"/>
        <v>Not Applicable</v>
      </c>
      <c r="O407" t="str">
        <f>tblComponents[Criticality]</f>
        <v>Medium</v>
      </c>
      <c r="P407">
        <f>tblComponents[Planned_Production_or_Procurement]</f>
        <v>52418</v>
      </c>
      <c r="Q407">
        <f t="shared" si="42"/>
        <v>0</v>
      </c>
      <c r="R407" t="str">
        <f t="shared" si="43"/>
        <v>Medium</v>
      </c>
      <c r="S407" t="str">
        <f t="shared" si="44"/>
        <v>Not Applicable</v>
      </c>
    </row>
    <row r="408" spans="1:19" x14ac:dyDescent="0.35">
      <c r="A408" s="12" t="str">
        <f>tblComponents[Component_ID]</f>
        <v>C407</v>
      </c>
      <c r="B408" s="12" t="str">
        <f>tblComponents[Component_Name]</f>
        <v>Component 407</v>
      </c>
      <c r="C408" t="str">
        <f>tblComponents[Sourcing_Type]</f>
        <v>Buy</v>
      </c>
      <c r="D408">
        <f>tblComponents[Forecast_Demand]</f>
        <v>1194</v>
      </c>
      <c r="E408">
        <f>tblComponents[Selling_Price_Per_Unit]</f>
        <v>1385.61</v>
      </c>
      <c r="F408">
        <f>tblComponents[Variable_Cost_Per_Unit]</f>
        <v>944.02</v>
      </c>
      <c r="G408">
        <f>tblComponents[Direct_Labor_Cost_Per_Unit]</f>
        <v>0</v>
      </c>
      <c r="H408">
        <f>tblComponents[Contribution_Per_Unit]</f>
        <v>441.59</v>
      </c>
      <c r="I408">
        <f>tblComponents[Contribution_Margin]</f>
        <v>0.31869999999999998</v>
      </c>
      <c r="J408">
        <f>tblComponents[Actual_Cycle_Time_Min]/60</f>
        <v>0</v>
      </c>
      <c r="K408">
        <f t="shared" si="39"/>
        <v>0</v>
      </c>
      <c r="L408">
        <f>H408*tblComponents[Planned_Production_or_Procurement]</f>
        <v>16179416.01</v>
      </c>
      <c r="M408" t="str">
        <f t="shared" si="40"/>
        <v/>
      </c>
      <c r="N408" t="str">
        <f t="shared" si="41"/>
        <v>Not Applicable</v>
      </c>
      <c r="O408" t="str">
        <f>tblComponents[Criticality]</f>
        <v>High</v>
      </c>
      <c r="P408">
        <f>tblComponents[Planned_Production_or_Procurement]</f>
        <v>36639</v>
      </c>
      <c r="Q408">
        <f t="shared" si="42"/>
        <v>0</v>
      </c>
      <c r="R408" t="str">
        <f t="shared" si="43"/>
        <v>High</v>
      </c>
      <c r="S408" t="str">
        <f t="shared" si="44"/>
        <v>Not Applicable</v>
      </c>
    </row>
    <row r="409" spans="1:19" x14ac:dyDescent="0.35">
      <c r="A409" s="12" t="str">
        <f>tblComponents[Component_ID]</f>
        <v>C408</v>
      </c>
      <c r="B409" s="12" t="str">
        <f>tblComponents[Component_Name]</f>
        <v>Component 408</v>
      </c>
      <c r="C409" t="str">
        <f>tblComponents[Sourcing_Type]</f>
        <v>Buy</v>
      </c>
      <c r="D409">
        <f>tblComponents[Forecast_Demand]</f>
        <v>1481</v>
      </c>
      <c r="E409">
        <f>tblComponents[Selling_Price_Per_Unit]</f>
        <v>856.62</v>
      </c>
      <c r="F409">
        <f>tblComponents[Variable_Cost_Per_Unit]</f>
        <v>583.03</v>
      </c>
      <c r="G409">
        <f>tblComponents[Direct_Labor_Cost_Per_Unit]</f>
        <v>0</v>
      </c>
      <c r="H409">
        <f>tblComponents[Contribution_Per_Unit]</f>
        <v>273.58999999999997</v>
      </c>
      <c r="I409">
        <f>tblComponents[Contribution_Margin]</f>
        <v>0.31940000000000002</v>
      </c>
      <c r="J409">
        <f>tblComponents[Actual_Cycle_Time_Min]/60</f>
        <v>0</v>
      </c>
      <c r="K409">
        <f t="shared" si="39"/>
        <v>0</v>
      </c>
      <c r="L409">
        <f>H409*tblComponents[Planned_Production_or_Procurement]</f>
        <v>7643010.2399999993</v>
      </c>
      <c r="M409" t="str">
        <f t="shared" si="40"/>
        <v/>
      </c>
      <c r="N409" t="str">
        <f t="shared" si="41"/>
        <v>Not Applicable</v>
      </c>
      <c r="O409" t="str">
        <f>tblComponents[Criticality]</f>
        <v>Critical</v>
      </c>
      <c r="P409">
        <f>tblComponents[Planned_Production_or_Procurement]</f>
        <v>27936</v>
      </c>
      <c r="Q409">
        <f t="shared" si="42"/>
        <v>0</v>
      </c>
      <c r="R409" t="str">
        <f t="shared" si="43"/>
        <v>Critical</v>
      </c>
      <c r="S409" t="str">
        <f t="shared" si="44"/>
        <v>Not Applicable</v>
      </c>
    </row>
    <row r="410" spans="1:19" x14ac:dyDescent="0.35">
      <c r="A410" s="12" t="str">
        <f>tblComponents[Component_ID]</f>
        <v>C409</v>
      </c>
      <c r="B410" s="12" t="str">
        <f>tblComponents[Component_Name]</f>
        <v>Component 409</v>
      </c>
      <c r="C410" t="str">
        <f>tblComponents[Sourcing_Type]</f>
        <v>Buy</v>
      </c>
      <c r="D410">
        <f>tblComponents[Forecast_Demand]</f>
        <v>2315</v>
      </c>
      <c r="E410">
        <f>tblComponents[Selling_Price_Per_Unit]</f>
        <v>1995.17</v>
      </c>
      <c r="F410">
        <f>tblComponents[Variable_Cost_Per_Unit]</f>
        <v>1509.78</v>
      </c>
      <c r="G410">
        <f>tblComponents[Direct_Labor_Cost_Per_Unit]</f>
        <v>0</v>
      </c>
      <c r="H410">
        <f>tblComponents[Contribution_Per_Unit]</f>
        <v>485.39</v>
      </c>
      <c r="I410">
        <f>tblComponents[Contribution_Margin]</f>
        <v>0.24329999999999999</v>
      </c>
      <c r="J410">
        <f>tblComponents[Actual_Cycle_Time_Min]/60</f>
        <v>0</v>
      </c>
      <c r="K410">
        <f t="shared" si="39"/>
        <v>0</v>
      </c>
      <c r="L410">
        <f>H410*tblComponents[Planned_Production_or_Procurement]</f>
        <v>23361820.699999999</v>
      </c>
      <c r="M410" t="str">
        <f t="shared" si="40"/>
        <v/>
      </c>
      <c r="N410" t="str">
        <f t="shared" si="41"/>
        <v>Not Applicable</v>
      </c>
      <c r="O410" t="str">
        <f>tblComponents[Criticality]</f>
        <v>Medium</v>
      </c>
      <c r="P410">
        <f>tblComponents[Planned_Production_or_Procurement]</f>
        <v>48130</v>
      </c>
      <c r="Q410">
        <f t="shared" si="42"/>
        <v>0</v>
      </c>
      <c r="R410" t="str">
        <f t="shared" si="43"/>
        <v>Medium</v>
      </c>
      <c r="S410" t="str">
        <f t="shared" si="44"/>
        <v>Not Applicable</v>
      </c>
    </row>
    <row r="411" spans="1:19" x14ac:dyDescent="0.35">
      <c r="A411" s="12" t="str">
        <f>tblComponents[Component_ID]</f>
        <v>C410</v>
      </c>
      <c r="B411" s="12" t="str">
        <f>tblComponents[Component_Name]</f>
        <v>Component 410</v>
      </c>
      <c r="C411" t="str">
        <f>tblComponents[Sourcing_Type]</f>
        <v>Buy</v>
      </c>
      <c r="D411">
        <f>tblComponents[Forecast_Demand]</f>
        <v>186</v>
      </c>
      <c r="E411">
        <f>tblComponents[Selling_Price_Per_Unit]</f>
        <v>433.53</v>
      </c>
      <c r="F411">
        <f>tblComponents[Variable_Cost_Per_Unit]</f>
        <v>266.44</v>
      </c>
      <c r="G411">
        <f>tblComponents[Direct_Labor_Cost_Per_Unit]</f>
        <v>0</v>
      </c>
      <c r="H411">
        <f>tblComponents[Contribution_Per_Unit]</f>
        <v>167.09</v>
      </c>
      <c r="I411">
        <f>tblComponents[Contribution_Margin]</f>
        <v>0.38540000000000002</v>
      </c>
      <c r="J411">
        <f>tblComponents[Actual_Cycle_Time_Min]/60</f>
        <v>0</v>
      </c>
      <c r="K411">
        <f t="shared" si="39"/>
        <v>0</v>
      </c>
      <c r="L411">
        <f>H411*tblComponents[Planned_Production_or_Procurement]</f>
        <v>4184434.87</v>
      </c>
      <c r="M411" t="str">
        <f t="shared" si="40"/>
        <v/>
      </c>
      <c r="N411" t="str">
        <f t="shared" si="41"/>
        <v>Not Applicable</v>
      </c>
      <c r="O411" t="str">
        <f>tblComponents[Criticality]</f>
        <v>High</v>
      </c>
      <c r="P411">
        <f>tblComponents[Planned_Production_or_Procurement]</f>
        <v>25043</v>
      </c>
      <c r="Q411">
        <f t="shared" si="42"/>
        <v>0</v>
      </c>
      <c r="R411" t="str">
        <f t="shared" si="43"/>
        <v>High</v>
      </c>
      <c r="S411" t="str">
        <f t="shared" si="44"/>
        <v>Not Applicable</v>
      </c>
    </row>
    <row r="412" spans="1:19" x14ac:dyDescent="0.35">
      <c r="A412" s="12" t="str">
        <f>tblComponents[Component_ID]</f>
        <v>C411</v>
      </c>
      <c r="B412" s="12" t="str">
        <f>tblComponents[Component_Name]</f>
        <v>Component 411</v>
      </c>
      <c r="C412" t="str">
        <f>tblComponents[Sourcing_Type]</f>
        <v>Buy</v>
      </c>
      <c r="D412">
        <f>tblComponents[Forecast_Demand]</f>
        <v>3164</v>
      </c>
      <c r="E412">
        <f>tblComponents[Selling_Price_Per_Unit]</f>
        <v>956.77</v>
      </c>
      <c r="F412">
        <f>tblComponents[Variable_Cost_Per_Unit]</f>
        <v>773.22</v>
      </c>
      <c r="G412">
        <f>tblComponents[Direct_Labor_Cost_Per_Unit]</f>
        <v>0</v>
      </c>
      <c r="H412">
        <f>tblComponents[Contribution_Per_Unit]</f>
        <v>183.55</v>
      </c>
      <c r="I412">
        <f>tblComponents[Contribution_Margin]</f>
        <v>0.1918</v>
      </c>
      <c r="J412">
        <f>tblComponents[Actual_Cycle_Time_Min]/60</f>
        <v>0</v>
      </c>
      <c r="K412">
        <f t="shared" si="39"/>
        <v>0</v>
      </c>
      <c r="L412">
        <f>H412*tblComponents[Planned_Production_or_Procurement]</f>
        <v>8046648.4500000002</v>
      </c>
      <c r="M412" t="str">
        <f t="shared" si="40"/>
        <v/>
      </c>
      <c r="N412" t="str">
        <f t="shared" si="41"/>
        <v>Not Applicable</v>
      </c>
      <c r="O412" t="str">
        <f>tblComponents[Criticality]</f>
        <v>High</v>
      </c>
      <c r="P412">
        <f>tblComponents[Planned_Production_or_Procurement]</f>
        <v>43839</v>
      </c>
      <c r="Q412">
        <f t="shared" si="42"/>
        <v>0</v>
      </c>
      <c r="R412" t="str">
        <f t="shared" si="43"/>
        <v>High</v>
      </c>
      <c r="S412" t="str">
        <f t="shared" si="44"/>
        <v>Not Applicable</v>
      </c>
    </row>
    <row r="413" spans="1:19" x14ac:dyDescent="0.35">
      <c r="A413" s="12" t="str">
        <f>tblComponents[Component_ID]</f>
        <v>C412</v>
      </c>
      <c r="B413" s="12" t="str">
        <f>tblComponents[Component_Name]</f>
        <v>Component 412</v>
      </c>
      <c r="C413" t="str">
        <f>tblComponents[Sourcing_Type]</f>
        <v>Buy</v>
      </c>
      <c r="D413">
        <f>tblComponents[Forecast_Demand]</f>
        <v>2122</v>
      </c>
      <c r="E413">
        <f>tblComponents[Selling_Price_Per_Unit]</f>
        <v>142.4</v>
      </c>
      <c r="F413">
        <f>tblComponents[Variable_Cost_Per_Unit]</f>
        <v>103.23</v>
      </c>
      <c r="G413">
        <f>tblComponents[Direct_Labor_Cost_Per_Unit]</f>
        <v>0</v>
      </c>
      <c r="H413">
        <f>tblComponents[Contribution_Per_Unit]</f>
        <v>39.17</v>
      </c>
      <c r="I413">
        <f>tblComponents[Contribution_Margin]</f>
        <v>0.27510000000000001</v>
      </c>
      <c r="J413">
        <f>tblComponents[Actual_Cycle_Time_Min]/60</f>
        <v>0</v>
      </c>
      <c r="K413">
        <f t="shared" si="39"/>
        <v>0</v>
      </c>
      <c r="L413">
        <f>H413*tblComponents[Planned_Production_or_Procurement]</f>
        <v>1917880.7100000002</v>
      </c>
      <c r="M413" t="str">
        <f t="shared" si="40"/>
        <v/>
      </c>
      <c r="N413" t="str">
        <f t="shared" si="41"/>
        <v>Not Applicable</v>
      </c>
      <c r="O413" t="str">
        <f>tblComponents[Criticality]</f>
        <v>Critical</v>
      </c>
      <c r="P413">
        <f>tblComponents[Planned_Production_or_Procurement]</f>
        <v>48963</v>
      </c>
      <c r="Q413">
        <f t="shared" si="42"/>
        <v>0</v>
      </c>
      <c r="R413" t="str">
        <f t="shared" si="43"/>
        <v>Critical</v>
      </c>
      <c r="S413" t="str">
        <f t="shared" si="44"/>
        <v>Not Applicable</v>
      </c>
    </row>
    <row r="414" spans="1:19" x14ac:dyDescent="0.35">
      <c r="A414" s="12" t="str">
        <f>tblComponents[Component_ID]</f>
        <v>C413</v>
      </c>
      <c r="B414" s="12" t="str">
        <f>tblComponents[Component_Name]</f>
        <v>Component 413</v>
      </c>
      <c r="C414" t="str">
        <f>tblComponents[Sourcing_Type]</f>
        <v>Buy</v>
      </c>
      <c r="D414">
        <f>tblComponents[Forecast_Demand]</f>
        <v>1420</v>
      </c>
      <c r="E414">
        <f>tblComponents[Selling_Price_Per_Unit]</f>
        <v>1211.3499999999999</v>
      </c>
      <c r="F414">
        <f>tblComponents[Variable_Cost_Per_Unit]</f>
        <v>820.42</v>
      </c>
      <c r="G414">
        <f>tblComponents[Direct_Labor_Cost_Per_Unit]</f>
        <v>0</v>
      </c>
      <c r="H414">
        <f>tblComponents[Contribution_Per_Unit]</f>
        <v>390.93</v>
      </c>
      <c r="I414">
        <f>tblComponents[Contribution_Margin]</f>
        <v>0.32269999999999999</v>
      </c>
      <c r="J414">
        <f>tblComponents[Actual_Cycle_Time_Min]/60</f>
        <v>0</v>
      </c>
      <c r="K414">
        <f t="shared" si="39"/>
        <v>0</v>
      </c>
      <c r="L414">
        <f>H414*tblComponents[Planned_Production_or_Procurement]</f>
        <v>8067231.4800000004</v>
      </c>
      <c r="M414" t="str">
        <f t="shared" si="40"/>
        <v/>
      </c>
      <c r="N414" t="str">
        <f t="shared" si="41"/>
        <v>Not Applicable</v>
      </c>
      <c r="O414" t="str">
        <f>tblComponents[Criticality]</f>
        <v>Medium</v>
      </c>
      <c r="P414">
        <f>tblComponents[Planned_Production_or_Procurement]</f>
        <v>20636</v>
      </c>
      <c r="Q414">
        <f t="shared" si="42"/>
        <v>0</v>
      </c>
      <c r="R414" t="str">
        <f t="shared" si="43"/>
        <v>Medium</v>
      </c>
      <c r="S414" t="str">
        <f t="shared" si="44"/>
        <v>Not Applicable</v>
      </c>
    </row>
    <row r="415" spans="1:19" x14ac:dyDescent="0.35">
      <c r="A415" s="12" t="str">
        <f>tblComponents[Component_ID]</f>
        <v>C414</v>
      </c>
      <c r="B415" s="12" t="str">
        <f>tblComponents[Component_Name]</f>
        <v>Component 414</v>
      </c>
      <c r="C415" t="str">
        <f>tblComponents[Sourcing_Type]</f>
        <v>Buy</v>
      </c>
      <c r="D415">
        <f>tblComponents[Forecast_Demand]</f>
        <v>2707</v>
      </c>
      <c r="E415">
        <f>tblComponents[Selling_Price_Per_Unit]</f>
        <v>313.13</v>
      </c>
      <c r="F415">
        <f>tblComponents[Variable_Cost_Per_Unit]</f>
        <v>211.59</v>
      </c>
      <c r="G415">
        <f>tblComponents[Direct_Labor_Cost_Per_Unit]</f>
        <v>0</v>
      </c>
      <c r="H415">
        <f>tblComponents[Contribution_Per_Unit]</f>
        <v>101.54</v>
      </c>
      <c r="I415">
        <f>tblComponents[Contribution_Margin]</f>
        <v>0.32429999999999998</v>
      </c>
      <c r="J415">
        <f>tblComponents[Actual_Cycle_Time_Min]/60</f>
        <v>0</v>
      </c>
      <c r="K415">
        <f t="shared" si="39"/>
        <v>0</v>
      </c>
      <c r="L415">
        <f>H415*tblComponents[Planned_Production_or_Procurement]</f>
        <v>5148687.24</v>
      </c>
      <c r="M415" t="str">
        <f t="shared" si="40"/>
        <v/>
      </c>
      <c r="N415" t="str">
        <f t="shared" si="41"/>
        <v>Not Applicable</v>
      </c>
      <c r="O415" t="str">
        <f>tblComponents[Criticality]</f>
        <v>Medium</v>
      </c>
      <c r="P415">
        <f>tblComponents[Planned_Production_or_Procurement]</f>
        <v>50706</v>
      </c>
      <c r="Q415">
        <f t="shared" si="42"/>
        <v>0</v>
      </c>
      <c r="R415" t="str">
        <f t="shared" si="43"/>
        <v>Medium</v>
      </c>
      <c r="S415" t="str">
        <f t="shared" si="44"/>
        <v>Not Applicable</v>
      </c>
    </row>
    <row r="416" spans="1:19" x14ac:dyDescent="0.35">
      <c r="A416" s="12" t="str">
        <f>tblComponents[Component_ID]</f>
        <v>C415</v>
      </c>
      <c r="B416" s="12" t="str">
        <f>tblComponents[Component_Name]</f>
        <v>Component 415</v>
      </c>
      <c r="C416" t="str">
        <f>tblComponents[Sourcing_Type]</f>
        <v>Buy</v>
      </c>
      <c r="D416">
        <f>tblComponents[Forecast_Demand]</f>
        <v>1127</v>
      </c>
      <c r="E416">
        <f>tblComponents[Selling_Price_Per_Unit]</f>
        <v>337.64</v>
      </c>
      <c r="F416">
        <f>tblComponents[Variable_Cost_Per_Unit]</f>
        <v>232.24</v>
      </c>
      <c r="G416">
        <f>tblComponents[Direct_Labor_Cost_Per_Unit]</f>
        <v>0</v>
      </c>
      <c r="H416">
        <f>tblComponents[Contribution_Per_Unit]</f>
        <v>105.4</v>
      </c>
      <c r="I416">
        <f>tblComponents[Contribution_Margin]</f>
        <v>0.31219999999999998</v>
      </c>
      <c r="J416">
        <f>tblComponents[Actual_Cycle_Time_Min]/60</f>
        <v>0</v>
      </c>
      <c r="K416">
        <f t="shared" si="39"/>
        <v>0</v>
      </c>
      <c r="L416">
        <f>H416*tblComponents[Planned_Production_or_Procurement]</f>
        <v>4705372.2</v>
      </c>
      <c r="M416" t="str">
        <f t="shared" si="40"/>
        <v/>
      </c>
      <c r="N416" t="str">
        <f t="shared" si="41"/>
        <v>Not Applicable</v>
      </c>
      <c r="O416" t="str">
        <f>tblComponents[Criticality]</f>
        <v>Medium</v>
      </c>
      <c r="P416">
        <f>tblComponents[Planned_Production_or_Procurement]</f>
        <v>44643</v>
      </c>
      <c r="Q416">
        <f t="shared" si="42"/>
        <v>0</v>
      </c>
      <c r="R416" t="str">
        <f t="shared" si="43"/>
        <v>Medium</v>
      </c>
      <c r="S416" t="str">
        <f t="shared" si="44"/>
        <v>Not Applicable</v>
      </c>
    </row>
    <row r="417" spans="1:19" x14ac:dyDescent="0.35">
      <c r="A417" s="12" t="str">
        <f>tblComponents[Component_ID]</f>
        <v>C416</v>
      </c>
      <c r="B417" s="12" t="str">
        <f>tblComponents[Component_Name]</f>
        <v>Component 416</v>
      </c>
      <c r="C417" t="str">
        <f>tblComponents[Sourcing_Type]</f>
        <v>Buy</v>
      </c>
      <c r="D417">
        <f>tblComponents[Forecast_Demand]</f>
        <v>322</v>
      </c>
      <c r="E417">
        <f>tblComponents[Selling_Price_Per_Unit]</f>
        <v>383.97</v>
      </c>
      <c r="F417">
        <f>tblComponents[Variable_Cost_Per_Unit]</f>
        <v>299.95</v>
      </c>
      <c r="G417">
        <f>tblComponents[Direct_Labor_Cost_Per_Unit]</f>
        <v>0</v>
      </c>
      <c r="H417">
        <f>tblComponents[Contribution_Per_Unit]</f>
        <v>84.02</v>
      </c>
      <c r="I417">
        <f>tblComponents[Contribution_Margin]</f>
        <v>0.21879999999999999</v>
      </c>
      <c r="J417">
        <f>tblComponents[Actual_Cycle_Time_Min]/60</f>
        <v>0</v>
      </c>
      <c r="K417">
        <f t="shared" si="39"/>
        <v>0</v>
      </c>
      <c r="L417">
        <f>H417*tblComponents[Planned_Production_or_Procurement]</f>
        <v>940687.91999999993</v>
      </c>
      <c r="M417" t="str">
        <f t="shared" si="40"/>
        <v/>
      </c>
      <c r="N417" t="str">
        <f t="shared" si="41"/>
        <v>Not Applicable</v>
      </c>
      <c r="O417" t="str">
        <f>tblComponents[Criticality]</f>
        <v>Medium</v>
      </c>
      <c r="P417">
        <f>tblComponents[Planned_Production_or_Procurement]</f>
        <v>11196</v>
      </c>
      <c r="Q417">
        <f t="shared" si="42"/>
        <v>0</v>
      </c>
      <c r="R417" t="str">
        <f t="shared" si="43"/>
        <v>Medium</v>
      </c>
      <c r="S417" t="str">
        <f t="shared" si="44"/>
        <v>Not Applicable</v>
      </c>
    </row>
    <row r="418" spans="1:19" x14ac:dyDescent="0.35">
      <c r="A418" s="12" t="str">
        <f>tblComponents[Component_ID]</f>
        <v>C417</v>
      </c>
      <c r="B418" s="12" t="str">
        <f>tblComponents[Component_Name]</f>
        <v>Component 417</v>
      </c>
      <c r="C418" t="str">
        <f>tblComponents[Sourcing_Type]</f>
        <v>Buy</v>
      </c>
      <c r="D418">
        <f>tblComponents[Forecast_Demand]</f>
        <v>1205</v>
      </c>
      <c r="E418">
        <f>tblComponents[Selling_Price_Per_Unit]</f>
        <v>965.22</v>
      </c>
      <c r="F418">
        <f>tblComponents[Variable_Cost_Per_Unit]</f>
        <v>782.74</v>
      </c>
      <c r="G418">
        <f>tblComponents[Direct_Labor_Cost_Per_Unit]</f>
        <v>0</v>
      </c>
      <c r="H418">
        <f>tblComponents[Contribution_Per_Unit]</f>
        <v>182.48</v>
      </c>
      <c r="I418">
        <f>tblComponents[Contribution_Margin]</f>
        <v>0.18909999999999999</v>
      </c>
      <c r="J418">
        <f>tblComponents[Actual_Cycle_Time_Min]/60</f>
        <v>0</v>
      </c>
      <c r="K418">
        <f t="shared" si="39"/>
        <v>0</v>
      </c>
      <c r="L418">
        <f>H418*tblComponents[Planned_Production_or_Procurement]</f>
        <v>13454797.84</v>
      </c>
      <c r="M418" t="str">
        <f t="shared" si="40"/>
        <v/>
      </c>
      <c r="N418" t="str">
        <f t="shared" si="41"/>
        <v>Not Applicable</v>
      </c>
      <c r="O418" t="str">
        <f>tblComponents[Criticality]</f>
        <v>Medium</v>
      </c>
      <c r="P418">
        <f>tblComponents[Planned_Production_or_Procurement]</f>
        <v>73733</v>
      </c>
      <c r="Q418">
        <f t="shared" si="42"/>
        <v>0</v>
      </c>
      <c r="R418" t="str">
        <f t="shared" si="43"/>
        <v>Medium</v>
      </c>
      <c r="S418" t="str">
        <f t="shared" si="44"/>
        <v>Not Applicable</v>
      </c>
    </row>
    <row r="419" spans="1:19" x14ac:dyDescent="0.35">
      <c r="A419" s="12" t="str">
        <f>tblComponents[Component_ID]</f>
        <v>C418</v>
      </c>
      <c r="B419" s="12" t="str">
        <f>tblComponents[Component_Name]</f>
        <v>Component 418</v>
      </c>
      <c r="C419" t="str">
        <f>tblComponents[Sourcing_Type]</f>
        <v>Buy</v>
      </c>
      <c r="D419">
        <f>tblComponents[Forecast_Demand]</f>
        <v>963</v>
      </c>
      <c r="E419">
        <f>tblComponents[Selling_Price_Per_Unit]</f>
        <v>2524.61</v>
      </c>
      <c r="F419">
        <f>tblComponents[Variable_Cost_Per_Unit]</f>
        <v>1744.54</v>
      </c>
      <c r="G419">
        <f>tblComponents[Direct_Labor_Cost_Per_Unit]</f>
        <v>0</v>
      </c>
      <c r="H419">
        <f>tblComponents[Contribution_Per_Unit]</f>
        <v>780.07</v>
      </c>
      <c r="I419">
        <f>tblComponents[Contribution_Margin]</f>
        <v>0.309</v>
      </c>
      <c r="J419">
        <f>tblComponents[Actual_Cycle_Time_Min]/60</f>
        <v>0</v>
      </c>
      <c r="K419">
        <f t="shared" si="39"/>
        <v>0</v>
      </c>
      <c r="L419">
        <f>H419*tblComponents[Planned_Production_or_Procurement]</f>
        <v>13012347.67</v>
      </c>
      <c r="M419" t="str">
        <f t="shared" si="40"/>
        <v/>
      </c>
      <c r="N419" t="str">
        <f t="shared" si="41"/>
        <v>Not Applicable</v>
      </c>
      <c r="O419" t="str">
        <f>tblComponents[Criticality]</f>
        <v>Medium</v>
      </c>
      <c r="P419">
        <f>tblComponents[Planned_Production_or_Procurement]</f>
        <v>16681</v>
      </c>
      <c r="Q419">
        <f t="shared" si="42"/>
        <v>0</v>
      </c>
      <c r="R419" t="str">
        <f t="shared" si="43"/>
        <v>Medium</v>
      </c>
      <c r="S419" t="str">
        <f t="shared" si="44"/>
        <v>Not Applicable</v>
      </c>
    </row>
    <row r="420" spans="1:19" x14ac:dyDescent="0.35">
      <c r="A420" s="12" t="str">
        <f>tblComponents[Component_ID]</f>
        <v>C419</v>
      </c>
      <c r="B420" s="12" t="str">
        <f>tblComponents[Component_Name]</f>
        <v>Component 419</v>
      </c>
      <c r="C420" t="str">
        <f>tblComponents[Sourcing_Type]</f>
        <v>Buy</v>
      </c>
      <c r="D420">
        <f>tblComponents[Forecast_Demand]</f>
        <v>576</v>
      </c>
      <c r="E420">
        <f>tblComponents[Selling_Price_Per_Unit]</f>
        <v>881.38</v>
      </c>
      <c r="F420">
        <f>tblComponents[Variable_Cost_Per_Unit]</f>
        <v>617.12</v>
      </c>
      <c r="G420">
        <f>tblComponents[Direct_Labor_Cost_Per_Unit]</f>
        <v>0</v>
      </c>
      <c r="H420">
        <f>tblComponents[Contribution_Per_Unit]</f>
        <v>264.26</v>
      </c>
      <c r="I420">
        <f>tblComponents[Contribution_Margin]</f>
        <v>0.29980000000000001</v>
      </c>
      <c r="J420">
        <f>tblComponents[Actual_Cycle_Time_Min]/60</f>
        <v>0</v>
      </c>
      <c r="K420">
        <f t="shared" si="39"/>
        <v>0</v>
      </c>
      <c r="L420">
        <f>H420*tblComponents[Planned_Production_or_Procurement]</f>
        <v>21311511.960000001</v>
      </c>
      <c r="M420" t="str">
        <f t="shared" si="40"/>
        <v/>
      </c>
      <c r="N420" t="str">
        <f t="shared" si="41"/>
        <v>Not Applicable</v>
      </c>
      <c r="O420" t="str">
        <f>tblComponents[Criticality]</f>
        <v>Medium</v>
      </c>
      <c r="P420">
        <f>tblComponents[Planned_Production_or_Procurement]</f>
        <v>80646</v>
      </c>
      <c r="Q420">
        <f t="shared" si="42"/>
        <v>0</v>
      </c>
      <c r="R420" t="str">
        <f t="shared" si="43"/>
        <v>Medium</v>
      </c>
      <c r="S420" t="str">
        <f t="shared" si="44"/>
        <v>Not Applicable</v>
      </c>
    </row>
    <row r="421" spans="1:19" x14ac:dyDescent="0.35">
      <c r="A421" s="12" t="str">
        <f>tblComponents[Component_ID]</f>
        <v>C420</v>
      </c>
      <c r="B421" s="12" t="str">
        <f>tblComponents[Component_Name]</f>
        <v>Component 420</v>
      </c>
      <c r="C421" t="str">
        <f>tblComponents[Sourcing_Type]</f>
        <v>Buy</v>
      </c>
      <c r="D421">
        <f>tblComponents[Forecast_Demand]</f>
        <v>460</v>
      </c>
      <c r="E421">
        <f>tblComponents[Selling_Price_Per_Unit]</f>
        <v>2619.9699999999998</v>
      </c>
      <c r="F421">
        <f>tblComponents[Variable_Cost_Per_Unit]</f>
        <v>2109.5</v>
      </c>
      <c r="G421">
        <f>tblComponents[Direct_Labor_Cost_Per_Unit]</f>
        <v>0</v>
      </c>
      <c r="H421">
        <f>tblComponents[Contribution_Per_Unit]</f>
        <v>510.47</v>
      </c>
      <c r="I421">
        <f>tblComponents[Contribution_Margin]</f>
        <v>0.1948</v>
      </c>
      <c r="J421">
        <f>tblComponents[Actual_Cycle_Time_Min]/60</f>
        <v>0</v>
      </c>
      <c r="K421">
        <f t="shared" si="39"/>
        <v>0</v>
      </c>
      <c r="L421">
        <f>H421*tblComponents[Planned_Production_or_Procurement]</f>
        <v>23423936.890000001</v>
      </c>
      <c r="M421" t="str">
        <f t="shared" si="40"/>
        <v/>
      </c>
      <c r="N421" t="str">
        <f t="shared" si="41"/>
        <v>Not Applicable</v>
      </c>
      <c r="O421" t="str">
        <f>tblComponents[Criticality]</f>
        <v>Low</v>
      </c>
      <c r="P421">
        <f>tblComponents[Planned_Production_or_Procurement]</f>
        <v>45887</v>
      </c>
      <c r="Q421">
        <f t="shared" si="42"/>
        <v>0</v>
      </c>
      <c r="R421" t="str">
        <f t="shared" si="43"/>
        <v>Low</v>
      </c>
      <c r="S421" t="str">
        <f t="shared" si="44"/>
        <v>Not Applicable</v>
      </c>
    </row>
    <row r="422" spans="1:19" x14ac:dyDescent="0.35">
      <c r="A422" s="12" t="str">
        <f>tblComponents[Component_ID]</f>
        <v>C421</v>
      </c>
      <c r="B422" s="12" t="str">
        <f>tblComponents[Component_Name]</f>
        <v>Component 421</v>
      </c>
      <c r="C422" t="str">
        <f>tblComponents[Sourcing_Type]</f>
        <v>Buy</v>
      </c>
      <c r="D422">
        <f>tblComponents[Forecast_Demand]</f>
        <v>1963</v>
      </c>
      <c r="E422">
        <f>tblComponents[Selling_Price_Per_Unit]</f>
        <v>799.51</v>
      </c>
      <c r="F422">
        <f>tblComponents[Variable_Cost_Per_Unit]</f>
        <v>538.64</v>
      </c>
      <c r="G422">
        <f>tblComponents[Direct_Labor_Cost_Per_Unit]</f>
        <v>0</v>
      </c>
      <c r="H422">
        <f>tblComponents[Contribution_Per_Unit]</f>
        <v>260.87</v>
      </c>
      <c r="I422">
        <f>tblComponents[Contribution_Margin]</f>
        <v>0.32629999999999998</v>
      </c>
      <c r="J422">
        <f>tblComponents[Actual_Cycle_Time_Min]/60</f>
        <v>0</v>
      </c>
      <c r="K422">
        <f t="shared" si="39"/>
        <v>0</v>
      </c>
      <c r="L422">
        <f>H422*tblComponents[Planned_Production_or_Procurement]</f>
        <v>5539574.4500000002</v>
      </c>
      <c r="M422" t="str">
        <f t="shared" si="40"/>
        <v/>
      </c>
      <c r="N422" t="str">
        <f t="shared" si="41"/>
        <v>Not Applicable</v>
      </c>
      <c r="O422" t="str">
        <f>tblComponents[Criticality]</f>
        <v>Medium</v>
      </c>
      <c r="P422">
        <f>tblComponents[Planned_Production_or_Procurement]</f>
        <v>21235</v>
      </c>
      <c r="Q422">
        <f t="shared" si="42"/>
        <v>0</v>
      </c>
      <c r="R422" t="str">
        <f t="shared" si="43"/>
        <v>Medium</v>
      </c>
      <c r="S422" t="str">
        <f t="shared" si="44"/>
        <v>Not Applicable</v>
      </c>
    </row>
    <row r="423" spans="1:19" x14ac:dyDescent="0.35">
      <c r="A423" s="12" t="str">
        <f>tblComponents[Component_ID]</f>
        <v>C422</v>
      </c>
      <c r="B423" s="12" t="str">
        <f>tblComponents[Component_Name]</f>
        <v>Component 422</v>
      </c>
      <c r="C423" t="str">
        <f>tblComponents[Sourcing_Type]</f>
        <v>Buy</v>
      </c>
      <c r="D423">
        <f>tblComponents[Forecast_Demand]</f>
        <v>1719</v>
      </c>
      <c r="E423">
        <f>tblComponents[Selling_Price_Per_Unit]</f>
        <v>534.9</v>
      </c>
      <c r="F423">
        <f>tblComponents[Variable_Cost_Per_Unit]</f>
        <v>393.8</v>
      </c>
      <c r="G423">
        <f>tblComponents[Direct_Labor_Cost_Per_Unit]</f>
        <v>0</v>
      </c>
      <c r="H423">
        <f>tblComponents[Contribution_Per_Unit]</f>
        <v>141.1</v>
      </c>
      <c r="I423">
        <f>tblComponents[Contribution_Margin]</f>
        <v>0.26379999999999998</v>
      </c>
      <c r="J423">
        <f>tblComponents[Actual_Cycle_Time_Min]/60</f>
        <v>0</v>
      </c>
      <c r="K423">
        <f t="shared" si="39"/>
        <v>0</v>
      </c>
      <c r="L423">
        <f>H423*tblComponents[Planned_Production_or_Procurement]</f>
        <v>8188456.2999999998</v>
      </c>
      <c r="M423" t="str">
        <f t="shared" si="40"/>
        <v/>
      </c>
      <c r="N423" t="str">
        <f t="shared" si="41"/>
        <v>Not Applicable</v>
      </c>
      <c r="O423" t="str">
        <f>tblComponents[Criticality]</f>
        <v>Medium</v>
      </c>
      <c r="P423">
        <f>tblComponents[Planned_Production_or_Procurement]</f>
        <v>58033</v>
      </c>
      <c r="Q423">
        <f t="shared" si="42"/>
        <v>0</v>
      </c>
      <c r="R423" t="str">
        <f t="shared" si="43"/>
        <v>Medium</v>
      </c>
      <c r="S423" t="str">
        <f t="shared" si="44"/>
        <v>Not Applicable</v>
      </c>
    </row>
    <row r="424" spans="1:19" x14ac:dyDescent="0.35">
      <c r="A424" s="12" t="str">
        <f>tblComponents[Component_ID]</f>
        <v>C423</v>
      </c>
      <c r="B424" s="12" t="str">
        <f>tblComponents[Component_Name]</f>
        <v>Component 423</v>
      </c>
      <c r="C424" t="str">
        <f>tblComponents[Sourcing_Type]</f>
        <v>Buy</v>
      </c>
      <c r="D424">
        <f>tblComponents[Forecast_Demand]</f>
        <v>312</v>
      </c>
      <c r="E424">
        <f>tblComponents[Selling_Price_Per_Unit]</f>
        <v>1813.09</v>
      </c>
      <c r="F424">
        <f>tblComponents[Variable_Cost_Per_Unit]</f>
        <v>1238.45</v>
      </c>
      <c r="G424">
        <f>tblComponents[Direct_Labor_Cost_Per_Unit]</f>
        <v>0</v>
      </c>
      <c r="H424">
        <f>tblComponents[Contribution_Per_Unit]</f>
        <v>574.64</v>
      </c>
      <c r="I424">
        <f>tblComponents[Contribution_Margin]</f>
        <v>0.31690000000000002</v>
      </c>
      <c r="J424">
        <f>tblComponents[Actual_Cycle_Time_Min]/60</f>
        <v>0</v>
      </c>
      <c r="K424">
        <f t="shared" si="39"/>
        <v>0</v>
      </c>
      <c r="L424">
        <f>H424*tblComponents[Planned_Production_or_Procurement]</f>
        <v>17874751.84</v>
      </c>
      <c r="M424" t="str">
        <f t="shared" si="40"/>
        <v/>
      </c>
      <c r="N424" t="str">
        <f t="shared" si="41"/>
        <v>Not Applicable</v>
      </c>
      <c r="O424" t="str">
        <f>tblComponents[Criticality]</f>
        <v>Low</v>
      </c>
      <c r="P424">
        <f>tblComponents[Planned_Production_or_Procurement]</f>
        <v>31106</v>
      </c>
      <c r="Q424">
        <f t="shared" si="42"/>
        <v>0</v>
      </c>
      <c r="R424" t="str">
        <f t="shared" si="43"/>
        <v>Low</v>
      </c>
      <c r="S424" t="str">
        <f t="shared" si="44"/>
        <v>Not Applicable</v>
      </c>
    </row>
    <row r="425" spans="1:19" x14ac:dyDescent="0.35">
      <c r="A425" s="12" t="str">
        <f>tblComponents[Component_ID]</f>
        <v>C424</v>
      </c>
      <c r="B425" s="12" t="str">
        <f>tblComponents[Component_Name]</f>
        <v>Component 424</v>
      </c>
      <c r="C425" t="str">
        <f>tblComponents[Sourcing_Type]</f>
        <v>Buy</v>
      </c>
      <c r="D425">
        <f>tblComponents[Forecast_Demand]</f>
        <v>1333</v>
      </c>
      <c r="E425">
        <f>tblComponents[Selling_Price_Per_Unit]</f>
        <v>968.3</v>
      </c>
      <c r="F425">
        <f>tblComponents[Variable_Cost_Per_Unit]</f>
        <v>620.35</v>
      </c>
      <c r="G425">
        <f>tblComponents[Direct_Labor_Cost_Per_Unit]</f>
        <v>0</v>
      </c>
      <c r="H425">
        <f>tblComponents[Contribution_Per_Unit]</f>
        <v>347.95</v>
      </c>
      <c r="I425">
        <f>tblComponents[Contribution_Margin]</f>
        <v>0.35930000000000001</v>
      </c>
      <c r="J425">
        <f>tblComponents[Actual_Cycle_Time_Min]/60</f>
        <v>0</v>
      </c>
      <c r="K425">
        <f t="shared" si="39"/>
        <v>0</v>
      </c>
      <c r="L425">
        <f>H425*tblComponents[Planned_Production_or_Procurement]</f>
        <v>6342084.6499999994</v>
      </c>
      <c r="M425" t="str">
        <f t="shared" si="40"/>
        <v/>
      </c>
      <c r="N425" t="str">
        <f t="shared" si="41"/>
        <v>Not Applicable</v>
      </c>
      <c r="O425" t="str">
        <f>tblComponents[Criticality]</f>
        <v>Medium</v>
      </c>
      <c r="P425">
        <f>tblComponents[Planned_Production_or_Procurement]</f>
        <v>18227</v>
      </c>
      <c r="Q425">
        <f t="shared" si="42"/>
        <v>0</v>
      </c>
      <c r="R425" t="str">
        <f t="shared" si="43"/>
        <v>Medium</v>
      </c>
      <c r="S425" t="str">
        <f t="shared" si="44"/>
        <v>Not Applicable</v>
      </c>
    </row>
    <row r="426" spans="1:19" x14ac:dyDescent="0.35">
      <c r="A426" s="12" t="str">
        <f>tblComponents[Component_ID]</f>
        <v>C425</v>
      </c>
      <c r="B426" s="12" t="str">
        <f>tblComponents[Component_Name]</f>
        <v>Component 425</v>
      </c>
      <c r="C426" t="str">
        <f>tblComponents[Sourcing_Type]</f>
        <v>Buy</v>
      </c>
      <c r="D426">
        <f>tblComponents[Forecast_Demand]</f>
        <v>1523</v>
      </c>
      <c r="E426">
        <f>tblComponents[Selling_Price_Per_Unit]</f>
        <v>3066.38</v>
      </c>
      <c r="F426">
        <f>tblComponents[Variable_Cost_Per_Unit]</f>
        <v>2476.31</v>
      </c>
      <c r="G426">
        <f>tblComponents[Direct_Labor_Cost_Per_Unit]</f>
        <v>0</v>
      </c>
      <c r="H426">
        <f>tblComponents[Contribution_Per_Unit]</f>
        <v>590.07000000000005</v>
      </c>
      <c r="I426">
        <f>tblComponents[Contribution_Margin]</f>
        <v>0.19239999999999999</v>
      </c>
      <c r="J426">
        <f>tblComponents[Actual_Cycle_Time_Min]/60</f>
        <v>0</v>
      </c>
      <c r="K426">
        <f t="shared" si="39"/>
        <v>0</v>
      </c>
      <c r="L426">
        <f>H426*tblComponents[Planned_Production_or_Procurement]</f>
        <v>4699317.4800000004</v>
      </c>
      <c r="M426" t="str">
        <f t="shared" si="40"/>
        <v/>
      </c>
      <c r="N426" t="str">
        <f t="shared" si="41"/>
        <v>Not Applicable</v>
      </c>
      <c r="O426" t="str">
        <f>tblComponents[Criticality]</f>
        <v>Critical</v>
      </c>
      <c r="P426">
        <f>tblComponents[Planned_Production_or_Procurement]</f>
        <v>7964</v>
      </c>
      <c r="Q426">
        <f t="shared" si="42"/>
        <v>0</v>
      </c>
      <c r="R426" t="str">
        <f t="shared" si="43"/>
        <v>Critical</v>
      </c>
      <c r="S426" t="str">
        <f t="shared" si="44"/>
        <v>Not Applicable</v>
      </c>
    </row>
    <row r="427" spans="1:19" x14ac:dyDescent="0.35">
      <c r="A427" s="12" t="str">
        <f>tblComponents[Component_ID]</f>
        <v>C426</v>
      </c>
      <c r="B427" s="12" t="str">
        <f>tblComponents[Component_Name]</f>
        <v>Component 426</v>
      </c>
      <c r="C427" t="str">
        <f>tblComponents[Sourcing_Type]</f>
        <v>Buy</v>
      </c>
      <c r="D427">
        <f>tblComponents[Forecast_Demand]</f>
        <v>696</v>
      </c>
      <c r="E427">
        <f>tblComponents[Selling_Price_Per_Unit]</f>
        <v>142.93</v>
      </c>
      <c r="F427">
        <f>tblComponents[Variable_Cost_Per_Unit]</f>
        <v>120.81</v>
      </c>
      <c r="G427">
        <f>tblComponents[Direct_Labor_Cost_Per_Unit]</f>
        <v>0</v>
      </c>
      <c r="H427">
        <f>tblComponents[Contribution_Per_Unit]</f>
        <v>22.12</v>
      </c>
      <c r="I427">
        <f>tblComponents[Contribution_Margin]</f>
        <v>0.15479999999999999</v>
      </c>
      <c r="J427">
        <f>tblComponents[Actual_Cycle_Time_Min]/60</f>
        <v>0</v>
      </c>
      <c r="K427">
        <f t="shared" si="39"/>
        <v>0</v>
      </c>
      <c r="L427">
        <f>H427*tblComponents[Planned_Production_or_Procurement]</f>
        <v>161829.92000000001</v>
      </c>
      <c r="M427" t="str">
        <f t="shared" si="40"/>
        <v/>
      </c>
      <c r="N427" t="str">
        <f t="shared" si="41"/>
        <v>Not Applicable</v>
      </c>
      <c r="O427" t="str">
        <f>tblComponents[Criticality]</f>
        <v>Critical</v>
      </c>
      <c r="P427">
        <f>tblComponents[Planned_Production_or_Procurement]</f>
        <v>7316</v>
      </c>
      <c r="Q427">
        <f t="shared" si="42"/>
        <v>0</v>
      </c>
      <c r="R427" t="str">
        <f t="shared" si="43"/>
        <v>Critical</v>
      </c>
      <c r="S427" t="str">
        <f t="shared" si="44"/>
        <v>Not Applicable</v>
      </c>
    </row>
    <row r="428" spans="1:19" x14ac:dyDescent="0.35">
      <c r="A428" s="12" t="str">
        <f>tblComponents[Component_ID]</f>
        <v>C427</v>
      </c>
      <c r="B428" s="12" t="str">
        <f>tblComponents[Component_Name]</f>
        <v>Component 427</v>
      </c>
      <c r="C428" t="str">
        <f>tblComponents[Sourcing_Type]</f>
        <v>Buy</v>
      </c>
      <c r="D428">
        <f>tblComponents[Forecast_Demand]</f>
        <v>1410</v>
      </c>
      <c r="E428">
        <f>tblComponents[Selling_Price_Per_Unit]</f>
        <v>1278.6600000000001</v>
      </c>
      <c r="F428">
        <f>tblComponents[Variable_Cost_Per_Unit]</f>
        <v>837.81</v>
      </c>
      <c r="G428">
        <f>tblComponents[Direct_Labor_Cost_Per_Unit]</f>
        <v>0</v>
      </c>
      <c r="H428">
        <f>tblComponents[Contribution_Per_Unit]</f>
        <v>440.85</v>
      </c>
      <c r="I428">
        <f>tblComponents[Contribution_Margin]</f>
        <v>0.3448</v>
      </c>
      <c r="J428">
        <f>tblComponents[Actual_Cycle_Time_Min]/60</f>
        <v>0</v>
      </c>
      <c r="K428">
        <f t="shared" si="39"/>
        <v>0</v>
      </c>
      <c r="L428">
        <f>H428*tblComponents[Planned_Production_or_Procurement]</f>
        <v>14752163.550000001</v>
      </c>
      <c r="M428" t="str">
        <f t="shared" si="40"/>
        <v/>
      </c>
      <c r="N428" t="str">
        <f t="shared" si="41"/>
        <v>Not Applicable</v>
      </c>
      <c r="O428" t="str">
        <f>tblComponents[Criticality]</f>
        <v>Medium</v>
      </c>
      <c r="P428">
        <f>tblComponents[Planned_Production_or_Procurement]</f>
        <v>33463</v>
      </c>
      <c r="Q428">
        <f t="shared" si="42"/>
        <v>0</v>
      </c>
      <c r="R428" t="str">
        <f t="shared" si="43"/>
        <v>Medium</v>
      </c>
      <c r="S428" t="str">
        <f t="shared" si="44"/>
        <v>Not Applicable</v>
      </c>
    </row>
    <row r="429" spans="1:19" x14ac:dyDescent="0.35">
      <c r="A429" s="12" t="str">
        <f>tblComponents[Component_ID]</f>
        <v>C428</v>
      </c>
      <c r="B429" s="12" t="str">
        <f>tblComponents[Component_Name]</f>
        <v>Component 428</v>
      </c>
      <c r="C429" t="str">
        <f>tblComponents[Sourcing_Type]</f>
        <v>Buy</v>
      </c>
      <c r="D429">
        <f>tblComponents[Forecast_Demand]</f>
        <v>439</v>
      </c>
      <c r="E429">
        <f>tblComponents[Selling_Price_Per_Unit]</f>
        <v>190.72</v>
      </c>
      <c r="F429">
        <f>tblComponents[Variable_Cost_Per_Unit]</f>
        <v>133.04</v>
      </c>
      <c r="G429">
        <f>tblComponents[Direct_Labor_Cost_Per_Unit]</f>
        <v>0</v>
      </c>
      <c r="H429">
        <f>tblComponents[Contribution_Per_Unit]</f>
        <v>57.68</v>
      </c>
      <c r="I429">
        <f>tblComponents[Contribution_Margin]</f>
        <v>0.3024</v>
      </c>
      <c r="J429">
        <f>tblComponents[Actual_Cycle_Time_Min]/60</f>
        <v>0</v>
      </c>
      <c r="K429">
        <f t="shared" si="39"/>
        <v>0</v>
      </c>
      <c r="L429">
        <f>H429*tblComponents[Planned_Production_or_Procurement]</f>
        <v>1105783.28</v>
      </c>
      <c r="M429" t="str">
        <f t="shared" si="40"/>
        <v/>
      </c>
      <c r="N429" t="str">
        <f t="shared" si="41"/>
        <v>Not Applicable</v>
      </c>
      <c r="O429" t="str">
        <f>tblComponents[Criticality]</f>
        <v>High</v>
      </c>
      <c r="P429">
        <f>tblComponents[Planned_Production_or_Procurement]</f>
        <v>19171</v>
      </c>
      <c r="Q429">
        <f t="shared" si="42"/>
        <v>0</v>
      </c>
      <c r="R429" t="str">
        <f t="shared" si="43"/>
        <v>High</v>
      </c>
      <c r="S429" t="str">
        <f t="shared" si="44"/>
        <v>Not Applicable</v>
      </c>
    </row>
    <row r="430" spans="1:19" x14ac:dyDescent="0.35">
      <c r="A430" s="12" t="str">
        <f>tblComponents[Component_ID]</f>
        <v>C429</v>
      </c>
      <c r="B430" s="12" t="str">
        <f>tblComponents[Component_Name]</f>
        <v>Component 429</v>
      </c>
      <c r="C430" t="str">
        <f>tblComponents[Sourcing_Type]</f>
        <v>Buy</v>
      </c>
      <c r="D430">
        <f>tblComponents[Forecast_Demand]</f>
        <v>985</v>
      </c>
      <c r="E430">
        <f>tblComponents[Selling_Price_Per_Unit]</f>
        <v>1475.68</v>
      </c>
      <c r="F430">
        <f>tblComponents[Variable_Cost_Per_Unit]</f>
        <v>996.22</v>
      </c>
      <c r="G430">
        <f>tblComponents[Direct_Labor_Cost_Per_Unit]</f>
        <v>0</v>
      </c>
      <c r="H430">
        <f>tblComponents[Contribution_Per_Unit]</f>
        <v>479.46</v>
      </c>
      <c r="I430">
        <f>tblComponents[Contribution_Margin]</f>
        <v>0.32490000000000002</v>
      </c>
      <c r="J430">
        <f>tblComponents[Actual_Cycle_Time_Min]/60</f>
        <v>0</v>
      </c>
      <c r="K430">
        <f t="shared" si="39"/>
        <v>0</v>
      </c>
      <c r="L430">
        <f>H430*tblComponents[Planned_Production_or_Procurement]</f>
        <v>15637587.899999999</v>
      </c>
      <c r="M430" t="str">
        <f t="shared" si="40"/>
        <v/>
      </c>
      <c r="N430" t="str">
        <f t="shared" si="41"/>
        <v>Not Applicable</v>
      </c>
      <c r="O430" t="str">
        <f>tblComponents[Criticality]</f>
        <v>Critical</v>
      </c>
      <c r="P430">
        <f>tblComponents[Planned_Production_or_Procurement]</f>
        <v>32615</v>
      </c>
      <c r="Q430">
        <f t="shared" si="42"/>
        <v>0</v>
      </c>
      <c r="R430" t="str">
        <f t="shared" si="43"/>
        <v>Critical</v>
      </c>
      <c r="S430" t="str">
        <f t="shared" si="44"/>
        <v>Not Applicable</v>
      </c>
    </row>
    <row r="431" spans="1:19" x14ac:dyDescent="0.35">
      <c r="A431" s="12" t="str">
        <f>tblComponents[Component_ID]</f>
        <v>C430</v>
      </c>
      <c r="B431" s="12" t="str">
        <f>tblComponents[Component_Name]</f>
        <v>Component 430</v>
      </c>
      <c r="C431" t="str">
        <f>tblComponents[Sourcing_Type]</f>
        <v>Buy</v>
      </c>
      <c r="D431">
        <f>tblComponents[Forecast_Demand]</f>
        <v>1465</v>
      </c>
      <c r="E431">
        <f>tblComponents[Selling_Price_Per_Unit]</f>
        <v>1167.8</v>
      </c>
      <c r="F431">
        <f>tblComponents[Variable_Cost_Per_Unit]</f>
        <v>747.93</v>
      </c>
      <c r="G431">
        <f>tblComponents[Direct_Labor_Cost_Per_Unit]</f>
        <v>0</v>
      </c>
      <c r="H431">
        <f>tblComponents[Contribution_Per_Unit]</f>
        <v>419.87</v>
      </c>
      <c r="I431">
        <f>tblComponents[Contribution_Margin]</f>
        <v>0.35949999999999999</v>
      </c>
      <c r="J431">
        <f>tblComponents[Actual_Cycle_Time_Min]/60</f>
        <v>0</v>
      </c>
      <c r="K431">
        <f t="shared" si="39"/>
        <v>0</v>
      </c>
      <c r="L431">
        <f>H431*tblComponents[Planned_Production_or_Procurement]</f>
        <v>10921238.57</v>
      </c>
      <c r="M431" t="str">
        <f t="shared" si="40"/>
        <v/>
      </c>
      <c r="N431" t="str">
        <f t="shared" si="41"/>
        <v>Not Applicable</v>
      </c>
      <c r="O431" t="str">
        <f>tblComponents[Criticality]</f>
        <v>High</v>
      </c>
      <c r="P431">
        <f>tblComponents[Planned_Production_or_Procurement]</f>
        <v>26011</v>
      </c>
      <c r="Q431">
        <f t="shared" si="42"/>
        <v>0</v>
      </c>
      <c r="R431" t="str">
        <f t="shared" si="43"/>
        <v>High</v>
      </c>
      <c r="S431" t="str">
        <f t="shared" si="44"/>
        <v>Not Applicable</v>
      </c>
    </row>
    <row r="432" spans="1:19" x14ac:dyDescent="0.35">
      <c r="A432" s="12" t="str">
        <f>tblComponents[Component_ID]</f>
        <v>C431</v>
      </c>
      <c r="B432" s="12" t="str">
        <f>tblComponents[Component_Name]</f>
        <v>Component 431</v>
      </c>
      <c r="C432" t="str">
        <f>tblComponents[Sourcing_Type]</f>
        <v>Buy</v>
      </c>
      <c r="D432">
        <f>tblComponents[Forecast_Demand]</f>
        <v>1231</v>
      </c>
      <c r="E432">
        <f>tblComponents[Selling_Price_Per_Unit]</f>
        <v>1281.4000000000001</v>
      </c>
      <c r="F432">
        <f>tblComponents[Variable_Cost_Per_Unit]</f>
        <v>832.01</v>
      </c>
      <c r="G432">
        <f>tblComponents[Direct_Labor_Cost_Per_Unit]</f>
        <v>0</v>
      </c>
      <c r="H432">
        <f>tblComponents[Contribution_Per_Unit]</f>
        <v>449.39</v>
      </c>
      <c r="I432">
        <f>tblComponents[Contribution_Margin]</f>
        <v>0.35070000000000001</v>
      </c>
      <c r="J432">
        <f>tblComponents[Actual_Cycle_Time_Min]/60</f>
        <v>0</v>
      </c>
      <c r="K432">
        <f t="shared" si="39"/>
        <v>0</v>
      </c>
      <c r="L432">
        <f>H432*tblComponents[Planned_Production_or_Procurement]</f>
        <v>32703907.859999999</v>
      </c>
      <c r="M432" t="str">
        <f t="shared" si="40"/>
        <v/>
      </c>
      <c r="N432" t="str">
        <f t="shared" si="41"/>
        <v>Not Applicable</v>
      </c>
      <c r="O432" t="str">
        <f>tblComponents[Criticality]</f>
        <v>Low</v>
      </c>
      <c r="P432">
        <f>tblComponents[Planned_Production_or_Procurement]</f>
        <v>72774</v>
      </c>
      <c r="Q432">
        <f t="shared" si="42"/>
        <v>0</v>
      </c>
      <c r="R432" t="str">
        <f t="shared" si="43"/>
        <v>Low</v>
      </c>
      <c r="S432" t="str">
        <f t="shared" si="44"/>
        <v>Not Applicable</v>
      </c>
    </row>
    <row r="433" spans="1:19" x14ac:dyDescent="0.35">
      <c r="A433" s="12" t="str">
        <f>tblComponents[Component_ID]</f>
        <v>C432</v>
      </c>
      <c r="B433" s="12" t="str">
        <f>tblComponents[Component_Name]</f>
        <v>Component 432</v>
      </c>
      <c r="C433" t="str">
        <f>tblComponents[Sourcing_Type]</f>
        <v>Buy</v>
      </c>
      <c r="D433">
        <f>tblComponents[Forecast_Demand]</f>
        <v>3251</v>
      </c>
      <c r="E433">
        <f>tblComponents[Selling_Price_Per_Unit]</f>
        <v>425.9</v>
      </c>
      <c r="F433">
        <f>tblComponents[Variable_Cost_Per_Unit]</f>
        <v>259.7</v>
      </c>
      <c r="G433">
        <f>tblComponents[Direct_Labor_Cost_Per_Unit]</f>
        <v>0</v>
      </c>
      <c r="H433">
        <f>tblComponents[Contribution_Per_Unit]</f>
        <v>166.2</v>
      </c>
      <c r="I433">
        <f>tblComponents[Contribution_Margin]</f>
        <v>0.39019999999999999</v>
      </c>
      <c r="J433">
        <f>tblComponents[Actual_Cycle_Time_Min]/60</f>
        <v>0</v>
      </c>
      <c r="K433">
        <f t="shared" si="39"/>
        <v>0</v>
      </c>
      <c r="L433">
        <f>H433*tblComponents[Planned_Production_or_Procurement]</f>
        <v>2549175.5999999996</v>
      </c>
      <c r="M433" t="str">
        <f t="shared" si="40"/>
        <v/>
      </c>
      <c r="N433" t="str">
        <f t="shared" si="41"/>
        <v>Not Applicable</v>
      </c>
      <c r="O433" t="str">
        <f>tblComponents[Criticality]</f>
        <v>Medium</v>
      </c>
      <c r="P433">
        <f>tblComponents[Planned_Production_or_Procurement]</f>
        <v>15338</v>
      </c>
      <c r="Q433">
        <f t="shared" si="42"/>
        <v>0</v>
      </c>
      <c r="R433" t="str">
        <f t="shared" si="43"/>
        <v>Medium</v>
      </c>
      <c r="S433" t="str">
        <f t="shared" si="44"/>
        <v>Not Applicable</v>
      </c>
    </row>
    <row r="434" spans="1:19" x14ac:dyDescent="0.35">
      <c r="A434" s="12" t="str">
        <f>tblComponents[Component_ID]</f>
        <v>C433</v>
      </c>
      <c r="B434" s="12" t="str">
        <f>tblComponents[Component_Name]</f>
        <v>Component 433</v>
      </c>
      <c r="C434" t="str">
        <f>tblComponents[Sourcing_Type]</f>
        <v>Buy</v>
      </c>
      <c r="D434">
        <f>tblComponents[Forecast_Demand]</f>
        <v>1358</v>
      </c>
      <c r="E434">
        <f>tblComponents[Selling_Price_Per_Unit]</f>
        <v>1770.32</v>
      </c>
      <c r="F434">
        <f>tblComponents[Variable_Cost_Per_Unit]</f>
        <v>1267.58</v>
      </c>
      <c r="G434">
        <f>tblComponents[Direct_Labor_Cost_Per_Unit]</f>
        <v>0</v>
      </c>
      <c r="H434">
        <f>tblComponents[Contribution_Per_Unit]</f>
        <v>502.74</v>
      </c>
      <c r="I434">
        <f>tblComponents[Contribution_Margin]</f>
        <v>0.28399999999999997</v>
      </c>
      <c r="J434">
        <f>tblComponents[Actual_Cycle_Time_Min]/60</f>
        <v>0</v>
      </c>
      <c r="K434">
        <f t="shared" si="39"/>
        <v>0</v>
      </c>
      <c r="L434">
        <f>H434*tblComponents[Planned_Production_or_Procurement]</f>
        <v>13291942.859999999</v>
      </c>
      <c r="M434" t="str">
        <f t="shared" si="40"/>
        <v/>
      </c>
      <c r="N434" t="str">
        <f t="shared" si="41"/>
        <v>Not Applicable</v>
      </c>
      <c r="O434" t="str">
        <f>tblComponents[Criticality]</f>
        <v>High</v>
      </c>
      <c r="P434">
        <f>tblComponents[Planned_Production_or_Procurement]</f>
        <v>26439</v>
      </c>
      <c r="Q434">
        <f t="shared" si="42"/>
        <v>0</v>
      </c>
      <c r="R434" t="str">
        <f t="shared" si="43"/>
        <v>High</v>
      </c>
      <c r="S434" t="str">
        <f t="shared" si="44"/>
        <v>Not Applicable</v>
      </c>
    </row>
    <row r="435" spans="1:19" x14ac:dyDescent="0.35">
      <c r="A435" s="12" t="str">
        <f>tblComponents[Component_ID]</f>
        <v>C434</v>
      </c>
      <c r="B435" s="12" t="str">
        <f>tblComponents[Component_Name]</f>
        <v>Component 434</v>
      </c>
      <c r="C435" t="str">
        <f>tblComponents[Sourcing_Type]</f>
        <v>Buy</v>
      </c>
      <c r="D435">
        <f>tblComponents[Forecast_Demand]</f>
        <v>3010</v>
      </c>
      <c r="E435">
        <f>tblComponents[Selling_Price_Per_Unit]</f>
        <v>1665.5</v>
      </c>
      <c r="F435">
        <f>tblComponents[Variable_Cost_Per_Unit]</f>
        <v>1212.28</v>
      </c>
      <c r="G435">
        <f>tblComponents[Direct_Labor_Cost_Per_Unit]</f>
        <v>0</v>
      </c>
      <c r="H435">
        <f>tblComponents[Contribution_Per_Unit]</f>
        <v>453.22</v>
      </c>
      <c r="I435">
        <f>tblComponents[Contribution_Margin]</f>
        <v>0.27210000000000001</v>
      </c>
      <c r="J435">
        <f>tblComponents[Actual_Cycle_Time_Min]/60</f>
        <v>0</v>
      </c>
      <c r="K435">
        <f t="shared" si="39"/>
        <v>0</v>
      </c>
      <c r="L435">
        <f>H435*tblComponents[Planned_Production_or_Procurement]</f>
        <v>37767275.82</v>
      </c>
      <c r="M435" t="str">
        <f t="shared" si="40"/>
        <v/>
      </c>
      <c r="N435" t="str">
        <f t="shared" si="41"/>
        <v>Not Applicable</v>
      </c>
      <c r="O435" t="str">
        <f>tblComponents[Criticality]</f>
        <v>Medium</v>
      </c>
      <c r="P435">
        <f>tblComponents[Planned_Production_or_Procurement]</f>
        <v>83331</v>
      </c>
      <c r="Q435">
        <f t="shared" si="42"/>
        <v>0</v>
      </c>
      <c r="R435" t="str">
        <f t="shared" si="43"/>
        <v>Medium</v>
      </c>
      <c r="S435" t="str">
        <f t="shared" si="44"/>
        <v>Not Applicable</v>
      </c>
    </row>
    <row r="436" spans="1:19" x14ac:dyDescent="0.35">
      <c r="A436" s="12" t="str">
        <f>tblComponents[Component_ID]</f>
        <v>C435</v>
      </c>
      <c r="B436" s="12" t="str">
        <f>tblComponents[Component_Name]</f>
        <v>Component 435</v>
      </c>
      <c r="C436" t="str">
        <f>tblComponents[Sourcing_Type]</f>
        <v>Buy</v>
      </c>
      <c r="D436">
        <f>tblComponents[Forecast_Demand]</f>
        <v>737</v>
      </c>
      <c r="E436">
        <f>tblComponents[Selling_Price_Per_Unit]</f>
        <v>1105.52</v>
      </c>
      <c r="F436">
        <f>tblComponents[Variable_Cost_Per_Unit]</f>
        <v>828.62</v>
      </c>
      <c r="G436">
        <f>tblComponents[Direct_Labor_Cost_Per_Unit]</f>
        <v>0</v>
      </c>
      <c r="H436">
        <f>tblComponents[Contribution_Per_Unit]</f>
        <v>276.89999999999998</v>
      </c>
      <c r="I436">
        <f>tblComponents[Contribution_Margin]</f>
        <v>0.2505</v>
      </c>
      <c r="J436">
        <f>tblComponents[Actual_Cycle_Time_Min]/60</f>
        <v>0</v>
      </c>
      <c r="K436">
        <f t="shared" si="39"/>
        <v>0</v>
      </c>
      <c r="L436">
        <f>H436*tblComponents[Planned_Production_or_Procurement]</f>
        <v>2667377.6999999997</v>
      </c>
      <c r="M436" t="str">
        <f t="shared" si="40"/>
        <v/>
      </c>
      <c r="N436" t="str">
        <f t="shared" si="41"/>
        <v>Not Applicable</v>
      </c>
      <c r="O436" t="str">
        <f>tblComponents[Criticality]</f>
        <v>High</v>
      </c>
      <c r="P436">
        <f>tblComponents[Planned_Production_or_Procurement]</f>
        <v>9633</v>
      </c>
      <c r="Q436">
        <f t="shared" si="42"/>
        <v>0</v>
      </c>
      <c r="R436" t="str">
        <f t="shared" si="43"/>
        <v>High</v>
      </c>
      <c r="S436" t="str">
        <f t="shared" si="44"/>
        <v>Not Applicable</v>
      </c>
    </row>
    <row r="437" spans="1:19" x14ac:dyDescent="0.35">
      <c r="A437" s="12" t="str">
        <f>tblComponents[Component_ID]</f>
        <v>C436</v>
      </c>
      <c r="B437" s="12" t="str">
        <f>tblComponents[Component_Name]</f>
        <v>Component 436</v>
      </c>
      <c r="C437" t="str">
        <f>tblComponents[Sourcing_Type]</f>
        <v>Buy</v>
      </c>
      <c r="D437">
        <f>tblComponents[Forecast_Demand]</f>
        <v>2845</v>
      </c>
      <c r="E437">
        <f>tblComponents[Selling_Price_Per_Unit]</f>
        <v>1176.02</v>
      </c>
      <c r="F437">
        <f>tblComponents[Variable_Cost_Per_Unit]</f>
        <v>954.43</v>
      </c>
      <c r="G437">
        <f>tblComponents[Direct_Labor_Cost_Per_Unit]</f>
        <v>0</v>
      </c>
      <c r="H437">
        <f>tblComponents[Contribution_Per_Unit]</f>
        <v>221.59</v>
      </c>
      <c r="I437">
        <f>tblComponents[Contribution_Margin]</f>
        <v>0.18840000000000001</v>
      </c>
      <c r="J437">
        <f>tblComponents[Actual_Cycle_Time_Min]/60</f>
        <v>0</v>
      </c>
      <c r="K437">
        <f t="shared" si="39"/>
        <v>0</v>
      </c>
      <c r="L437">
        <f>H437*tblComponents[Planned_Production_or_Procurement]</f>
        <v>10560536.220000001</v>
      </c>
      <c r="M437" t="str">
        <f t="shared" si="40"/>
        <v/>
      </c>
      <c r="N437" t="str">
        <f t="shared" si="41"/>
        <v>Not Applicable</v>
      </c>
      <c r="O437" t="str">
        <f>tblComponents[Criticality]</f>
        <v>Medium</v>
      </c>
      <c r="P437">
        <f>tblComponents[Planned_Production_or_Procurement]</f>
        <v>47658</v>
      </c>
      <c r="Q437">
        <f t="shared" si="42"/>
        <v>0</v>
      </c>
      <c r="R437" t="str">
        <f t="shared" si="43"/>
        <v>Medium</v>
      </c>
      <c r="S437" t="str">
        <f t="shared" si="44"/>
        <v>Not Applicable</v>
      </c>
    </row>
    <row r="438" spans="1:19" x14ac:dyDescent="0.35">
      <c r="A438" s="12" t="str">
        <f>tblComponents[Component_ID]</f>
        <v>C437</v>
      </c>
      <c r="B438" s="12" t="str">
        <f>tblComponents[Component_Name]</f>
        <v>Component 437</v>
      </c>
      <c r="C438" t="str">
        <f>tblComponents[Sourcing_Type]</f>
        <v>Buy</v>
      </c>
      <c r="D438">
        <f>tblComponents[Forecast_Demand]</f>
        <v>1098</v>
      </c>
      <c r="E438">
        <f>tblComponents[Selling_Price_Per_Unit]</f>
        <v>1082.6400000000001</v>
      </c>
      <c r="F438">
        <f>tblComponents[Variable_Cost_Per_Unit]</f>
        <v>765.26</v>
      </c>
      <c r="G438">
        <f>tblComponents[Direct_Labor_Cost_Per_Unit]</f>
        <v>0</v>
      </c>
      <c r="H438">
        <f>tblComponents[Contribution_Per_Unit]</f>
        <v>317.38</v>
      </c>
      <c r="I438">
        <f>tblComponents[Contribution_Margin]</f>
        <v>0.29320000000000002</v>
      </c>
      <c r="J438">
        <f>tblComponents[Actual_Cycle_Time_Min]/60</f>
        <v>0</v>
      </c>
      <c r="K438">
        <f t="shared" si="39"/>
        <v>0</v>
      </c>
      <c r="L438">
        <f>H438*tblComponents[Planned_Production_or_Procurement]</f>
        <v>17581582.48</v>
      </c>
      <c r="M438" t="str">
        <f t="shared" si="40"/>
        <v/>
      </c>
      <c r="N438" t="str">
        <f t="shared" si="41"/>
        <v>Not Applicable</v>
      </c>
      <c r="O438" t="str">
        <f>tblComponents[Criticality]</f>
        <v>Low</v>
      </c>
      <c r="P438">
        <f>tblComponents[Planned_Production_or_Procurement]</f>
        <v>55396</v>
      </c>
      <c r="Q438">
        <f t="shared" si="42"/>
        <v>0</v>
      </c>
      <c r="R438" t="str">
        <f t="shared" si="43"/>
        <v>Low</v>
      </c>
      <c r="S438" t="str">
        <f t="shared" si="44"/>
        <v>Not Applicable</v>
      </c>
    </row>
    <row r="439" spans="1:19" x14ac:dyDescent="0.35">
      <c r="A439" s="12" t="str">
        <f>tblComponents[Component_ID]</f>
        <v>C438</v>
      </c>
      <c r="B439" s="12" t="str">
        <f>tblComponents[Component_Name]</f>
        <v>Component 438</v>
      </c>
      <c r="C439" t="str">
        <f>tblComponents[Sourcing_Type]</f>
        <v>Buy</v>
      </c>
      <c r="D439">
        <f>tblComponents[Forecast_Demand]</f>
        <v>2491</v>
      </c>
      <c r="E439">
        <f>tblComponents[Selling_Price_Per_Unit]</f>
        <v>925.24</v>
      </c>
      <c r="F439">
        <f>tblComponents[Variable_Cost_Per_Unit]</f>
        <v>722.38</v>
      </c>
      <c r="G439">
        <f>tblComponents[Direct_Labor_Cost_Per_Unit]</f>
        <v>0</v>
      </c>
      <c r="H439">
        <f>tblComponents[Contribution_Per_Unit]</f>
        <v>202.86</v>
      </c>
      <c r="I439">
        <f>tblComponents[Contribution_Margin]</f>
        <v>0.21929999999999999</v>
      </c>
      <c r="J439">
        <f>tblComponents[Actual_Cycle_Time_Min]/60</f>
        <v>0</v>
      </c>
      <c r="K439">
        <f t="shared" si="39"/>
        <v>0</v>
      </c>
      <c r="L439">
        <f>H439*tblComponents[Planned_Production_or_Procurement]</f>
        <v>3057100.2</v>
      </c>
      <c r="M439" t="str">
        <f t="shared" si="40"/>
        <v/>
      </c>
      <c r="N439" t="str">
        <f t="shared" si="41"/>
        <v>Not Applicable</v>
      </c>
      <c r="O439" t="str">
        <f>tblComponents[Criticality]</f>
        <v>Medium</v>
      </c>
      <c r="P439">
        <f>tblComponents[Planned_Production_or_Procurement]</f>
        <v>15070</v>
      </c>
      <c r="Q439">
        <f t="shared" si="42"/>
        <v>0</v>
      </c>
      <c r="R439" t="str">
        <f t="shared" si="43"/>
        <v>Medium</v>
      </c>
      <c r="S439" t="str">
        <f t="shared" si="44"/>
        <v>Not Applicable</v>
      </c>
    </row>
    <row r="440" spans="1:19" x14ac:dyDescent="0.35">
      <c r="A440" s="12" t="str">
        <f>tblComponents[Component_ID]</f>
        <v>C439</v>
      </c>
      <c r="B440" s="12" t="str">
        <f>tblComponents[Component_Name]</f>
        <v>Component 439</v>
      </c>
      <c r="C440" t="str">
        <f>tblComponents[Sourcing_Type]</f>
        <v>Buy</v>
      </c>
      <c r="D440">
        <f>tblComponents[Forecast_Demand]</f>
        <v>1109</v>
      </c>
      <c r="E440">
        <f>tblComponents[Selling_Price_Per_Unit]</f>
        <v>1292.54</v>
      </c>
      <c r="F440">
        <f>tblComponents[Variable_Cost_Per_Unit]</f>
        <v>800.95</v>
      </c>
      <c r="G440">
        <f>tblComponents[Direct_Labor_Cost_Per_Unit]</f>
        <v>0</v>
      </c>
      <c r="H440">
        <f>tblComponents[Contribution_Per_Unit]</f>
        <v>491.59</v>
      </c>
      <c r="I440">
        <f>tblComponents[Contribution_Margin]</f>
        <v>0.38030000000000003</v>
      </c>
      <c r="J440">
        <f>tblComponents[Actual_Cycle_Time_Min]/60</f>
        <v>0</v>
      </c>
      <c r="K440">
        <f t="shared" si="39"/>
        <v>0</v>
      </c>
      <c r="L440">
        <f>H440*tblComponents[Planned_Production_or_Procurement]</f>
        <v>35118206.420000002</v>
      </c>
      <c r="M440" t="str">
        <f t="shared" si="40"/>
        <v/>
      </c>
      <c r="N440" t="str">
        <f t="shared" si="41"/>
        <v>Not Applicable</v>
      </c>
      <c r="O440" t="str">
        <f>tblComponents[Criticality]</f>
        <v>High</v>
      </c>
      <c r="P440">
        <f>tblComponents[Planned_Production_or_Procurement]</f>
        <v>71438</v>
      </c>
      <c r="Q440">
        <f t="shared" si="42"/>
        <v>0</v>
      </c>
      <c r="R440" t="str">
        <f t="shared" si="43"/>
        <v>High</v>
      </c>
      <c r="S440" t="str">
        <f t="shared" si="44"/>
        <v>Not Applicable</v>
      </c>
    </row>
    <row r="441" spans="1:19" x14ac:dyDescent="0.35">
      <c r="A441" s="12" t="str">
        <f>tblComponents[Component_ID]</f>
        <v>C440</v>
      </c>
      <c r="B441" s="12" t="str">
        <f>tblComponents[Component_Name]</f>
        <v>Component 440</v>
      </c>
      <c r="C441" t="str">
        <f>tblComponents[Sourcing_Type]</f>
        <v>Buy</v>
      </c>
      <c r="D441">
        <f>tblComponents[Forecast_Demand]</f>
        <v>502</v>
      </c>
      <c r="E441">
        <f>tblComponents[Selling_Price_Per_Unit]</f>
        <v>1874.25</v>
      </c>
      <c r="F441">
        <f>tblComponents[Variable_Cost_Per_Unit]</f>
        <v>1319.85</v>
      </c>
      <c r="G441">
        <f>tblComponents[Direct_Labor_Cost_Per_Unit]</f>
        <v>0</v>
      </c>
      <c r="H441">
        <f>tblComponents[Contribution_Per_Unit]</f>
        <v>554.4</v>
      </c>
      <c r="I441">
        <f>tblComponents[Contribution_Margin]</f>
        <v>0.29580000000000001</v>
      </c>
      <c r="J441">
        <f>tblComponents[Actual_Cycle_Time_Min]/60</f>
        <v>0</v>
      </c>
      <c r="K441">
        <f t="shared" si="39"/>
        <v>0</v>
      </c>
      <c r="L441">
        <f>H441*tblComponents[Planned_Production_or_Procurement]</f>
        <v>21561170.399999999</v>
      </c>
      <c r="M441" t="str">
        <f t="shared" si="40"/>
        <v/>
      </c>
      <c r="N441" t="str">
        <f t="shared" si="41"/>
        <v>Not Applicable</v>
      </c>
      <c r="O441" t="str">
        <f>tblComponents[Criticality]</f>
        <v>Medium</v>
      </c>
      <c r="P441">
        <f>tblComponents[Planned_Production_or_Procurement]</f>
        <v>38891</v>
      </c>
      <c r="Q441">
        <f t="shared" si="42"/>
        <v>0</v>
      </c>
      <c r="R441" t="str">
        <f t="shared" si="43"/>
        <v>Medium</v>
      </c>
      <c r="S441" t="str">
        <f t="shared" si="44"/>
        <v>Not Applicable</v>
      </c>
    </row>
    <row r="442" spans="1:19" x14ac:dyDescent="0.35">
      <c r="A442" s="12" t="str">
        <f>tblComponents[Component_ID]</f>
        <v>C441</v>
      </c>
      <c r="B442" s="12" t="str">
        <f>tblComponents[Component_Name]</f>
        <v>Component 441</v>
      </c>
      <c r="C442" t="str">
        <f>tblComponents[Sourcing_Type]</f>
        <v>Buy</v>
      </c>
      <c r="D442">
        <f>tblComponents[Forecast_Demand]</f>
        <v>1115</v>
      </c>
      <c r="E442">
        <f>tblComponents[Selling_Price_Per_Unit]</f>
        <v>1608.94</v>
      </c>
      <c r="F442">
        <f>tblComponents[Variable_Cost_Per_Unit]</f>
        <v>1129.1400000000001</v>
      </c>
      <c r="G442">
        <f>tblComponents[Direct_Labor_Cost_Per_Unit]</f>
        <v>0</v>
      </c>
      <c r="H442">
        <f>tblComponents[Contribution_Per_Unit]</f>
        <v>479.8</v>
      </c>
      <c r="I442">
        <f>tblComponents[Contribution_Margin]</f>
        <v>0.29820000000000002</v>
      </c>
      <c r="J442">
        <f>tblComponents[Actual_Cycle_Time_Min]/60</f>
        <v>0</v>
      </c>
      <c r="K442">
        <f t="shared" si="39"/>
        <v>0</v>
      </c>
      <c r="L442">
        <f>H442*tblComponents[Planned_Production_or_Procurement]</f>
        <v>39004381.399999999</v>
      </c>
      <c r="M442" t="str">
        <f t="shared" si="40"/>
        <v/>
      </c>
      <c r="N442" t="str">
        <f t="shared" si="41"/>
        <v>Not Applicable</v>
      </c>
      <c r="O442" t="str">
        <f>tblComponents[Criticality]</f>
        <v>High</v>
      </c>
      <c r="P442">
        <f>tblComponents[Planned_Production_or_Procurement]</f>
        <v>81293</v>
      </c>
      <c r="Q442">
        <f t="shared" si="42"/>
        <v>0</v>
      </c>
      <c r="R442" t="str">
        <f t="shared" si="43"/>
        <v>High</v>
      </c>
      <c r="S442" t="str">
        <f t="shared" si="44"/>
        <v>Not Applicable</v>
      </c>
    </row>
    <row r="443" spans="1:19" x14ac:dyDescent="0.35">
      <c r="A443" s="12" t="str">
        <f>tblComponents[Component_ID]</f>
        <v>C442</v>
      </c>
      <c r="B443" s="12" t="str">
        <f>tblComponents[Component_Name]</f>
        <v>Component 442</v>
      </c>
      <c r="C443" t="str">
        <f>tblComponents[Sourcing_Type]</f>
        <v>Buy</v>
      </c>
      <c r="D443">
        <f>tblComponents[Forecast_Demand]</f>
        <v>563</v>
      </c>
      <c r="E443">
        <f>tblComponents[Selling_Price_Per_Unit]</f>
        <v>281.25</v>
      </c>
      <c r="F443">
        <f>tblComponents[Variable_Cost_Per_Unit]</f>
        <v>214.11</v>
      </c>
      <c r="G443">
        <f>tblComponents[Direct_Labor_Cost_Per_Unit]</f>
        <v>0</v>
      </c>
      <c r="H443">
        <f>tblComponents[Contribution_Per_Unit]</f>
        <v>67.14</v>
      </c>
      <c r="I443">
        <f>tblComponents[Contribution_Margin]</f>
        <v>0.2387</v>
      </c>
      <c r="J443">
        <f>tblComponents[Actual_Cycle_Time_Min]/60</f>
        <v>0</v>
      </c>
      <c r="K443">
        <f t="shared" si="39"/>
        <v>0</v>
      </c>
      <c r="L443">
        <f>H443*tblComponents[Planned_Production_or_Procurement]</f>
        <v>1546368.48</v>
      </c>
      <c r="M443" t="str">
        <f t="shared" si="40"/>
        <v/>
      </c>
      <c r="N443" t="str">
        <f t="shared" si="41"/>
        <v>Not Applicable</v>
      </c>
      <c r="O443" t="str">
        <f>tblComponents[Criticality]</f>
        <v>Medium</v>
      </c>
      <c r="P443">
        <f>tblComponents[Planned_Production_or_Procurement]</f>
        <v>23032</v>
      </c>
      <c r="Q443">
        <f t="shared" si="42"/>
        <v>0</v>
      </c>
      <c r="R443" t="str">
        <f t="shared" si="43"/>
        <v>Medium</v>
      </c>
      <c r="S443" t="str">
        <f t="shared" si="44"/>
        <v>Not Applicable</v>
      </c>
    </row>
    <row r="444" spans="1:19" x14ac:dyDescent="0.35">
      <c r="A444" s="12" t="str">
        <f>tblComponents[Component_ID]</f>
        <v>C443</v>
      </c>
      <c r="B444" s="12" t="str">
        <f>tblComponents[Component_Name]</f>
        <v>Component 443</v>
      </c>
      <c r="C444" t="str">
        <f>tblComponents[Sourcing_Type]</f>
        <v>Buy</v>
      </c>
      <c r="D444">
        <f>tblComponents[Forecast_Demand]</f>
        <v>218</v>
      </c>
      <c r="E444">
        <f>tblComponents[Selling_Price_Per_Unit]</f>
        <v>616.70000000000005</v>
      </c>
      <c r="F444">
        <f>tblComponents[Variable_Cost_Per_Unit]</f>
        <v>516.17999999999995</v>
      </c>
      <c r="G444">
        <f>tblComponents[Direct_Labor_Cost_Per_Unit]</f>
        <v>0</v>
      </c>
      <c r="H444">
        <f>tblComponents[Contribution_Per_Unit]</f>
        <v>100.52</v>
      </c>
      <c r="I444">
        <f>tblComponents[Contribution_Margin]</f>
        <v>0.16300000000000001</v>
      </c>
      <c r="J444">
        <f>tblComponents[Actual_Cycle_Time_Min]/60</f>
        <v>0</v>
      </c>
      <c r="K444">
        <f t="shared" si="39"/>
        <v>0</v>
      </c>
      <c r="L444">
        <f>H444*tblComponents[Planned_Production_or_Procurement]</f>
        <v>3054099.1599999997</v>
      </c>
      <c r="M444" t="str">
        <f t="shared" si="40"/>
        <v/>
      </c>
      <c r="N444" t="str">
        <f t="shared" si="41"/>
        <v>Not Applicable</v>
      </c>
      <c r="O444" t="str">
        <f>tblComponents[Criticality]</f>
        <v>Medium</v>
      </c>
      <c r="P444">
        <f>tblComponents[Planned_Production_or_Procurement]</f>
        <v>30383</v>
      </c>
      <c r="Q444">
        <f t="shared" si="42"/>
        <v>0</v>
      </c>
      <c r="R444" t="str">
        <f t="shared" si="43"/>
        <v>Medium</v>
      </c>
      <c r="S444" t="str">
        <f t="shared" si="44"/>
        <v>Not Applicable</v>
      </c>
    </row>
    <row r="445" spans="1:19" x14ac:dyDescent="0.35">
      <c r="A445" s="12" t="str">
        <f>tblComponents[Component_ID]</f>
        <v>C444</v>
      </c>
      <c r="B445" s="12" t="str">
        <f>tblComponents[Component_Name]</f>
        <v>Component 444</v>
      </c>
      <c r="C445" t="str">
        <f>tblComponents[Sourcing_Type]</f>
        <v>Buy</v>
      </c>
      <c r="D445">
        <f>tblComponents[Forecast_Demand]</f>
        <v>2768</v>
      </c>
      <c r="E445">
        <f>tblComponents[Selling_Price_Per_Unit]</f>
        <v>2163.4299999999998</v>
      </c>
      <c r="F445">
        <f>tblComponents[Variable_Cost_Per_Unit]</f>
        <v>1821.75</v>
      </c>
      <c r="G445">
        <f>tblComponents[Direct_Labor_Cost_Per_Unit]</f>
        <v>0</v>
      </c>
      <c r="H445">
        <f>tblComponents[Contribution_Per_Unit]</f>
        <v>341.68</v>
      </c>
      <c r="I445">
        <f>tblComponents[Contribution_Margin]</f>
        <v>0.15790000000000001</v>
      </c>
      <c r="J445">
        <f>tblComponents[Actual_Cycle_Time_Min]/60</f>
        <v>0</v>
      </c>
      <c r="K445">
        <f t="shared" si="39"/>
        <v>0</v>
      </c>
      <c r="L445">
        <f>H445*tblComponents[Planned_Production_or_Procurement]</f>
        <v>15346898.880000001</v>
      </c>
      <c r="M445" t="str">
        <f t="shared" si="40"/>
        <v/>
      </c>
      <c r="N445" t="str">
        <f t="shared" si="41"/>
        <v>Not Applicable</v>
      </c>
      <c r="O445" t="str">
        <f>tblComponents[Criticality]</f>
        <v>Medium</v>
      </c>
      <c r="P445">
        <f>tblComponents[Planned_Production_or_Procurement]</f>
        <v>44916</v>
      </c>
      <c r="Q445">
        <f t="shared" si="42"/>
        <v>0</v>
      </c>
      <c r="R445" t="str">
        <f t="shared" si="43"/>
        <v>Medium</v>
      </c>
      <c r="S445" t="str">
        <f t="shared" si="44"/>
        <v>Not Applicable</v>
      </c>
    </row>
    <row r="446" spans="1:19" x14ac:dyDescent="0.35">
      <c r="A446" s="12" t="str">
        <f>tblComponents[Component_ID]</f>
        <v>C445</v>
      </c>
      <c r="B446" s="12" t="str">
        <f>tblComponents[Component_Name]</f>
        <v>Component 445</v>
      </c>
      <c r="C446" t="str">
        <f>tblComponents[Sourcing_Type]</f>
        <v>Buy</v>
      </c>
      <c r="D446">
        <f>tblComponents[Forecast_Demand]</f>
        <v>1250</v>
      </c>
      <c r="E446">
        <f>tblComponents[Selling_Price_Per_Unit]</f>
        <v>2611.16</v>
      </c>
      <c r="F446">
        <f>tblComponents[Variable_Cost_Per_Unit]</f>
        <v>1943.14</v>
      </c>
      <c r="G446">
        <f>tblComponents[Direct_Labor_Cost_Per_Unit]</f>
        <v>0</v>
      </c>
      <c r="H446">
        <f>tblComponents[Contribution_Per_Unit]</f>
        <v>668.02</v>
      </c>
      <c r="I446">
        <f>tblComponents[Contribution_Margin]</f>
        <v>0.25580000000000003</v>
      </c>
      <c r="J446">
        <f>tblComponents[Actual_Cycle_Time_Min]/60</f>
        <v>0</v>
      </c>
      <c r="K446">
        <f t="shared" si="39"/>
        <v>0</v>
      </c>
      <c r="L446">
        <f>H446*tblComponents[Planned_Production_or_Procurement]</f>
        <v>21032609.699999999</v>
      </c>
      <c r="M446" t="str">
        <f t="shared" si="40"/>
        <v/>
      </c>
      <c r="N446" t="str">
        <f t="shared" si="41"/>
        <v>Not Applicable</v>
      </c>
      <c r="O446" t="str">
        <f>tblComponents[Criticality]</f>
        <v>Medium</v>
      </c>
      <c r="P446">
        <f>tblComponents[Planned_Production_or_Procurement]</f>
        <v>31485</v>
      </c>
      <c r="Q446">
        <f t="shared" si="42"/>
        <v>0</v>
      </c>
      <c r="R446" t="str">
        <f t="shared" si="43"/>
        <v>Medium</v>
      </c>
      <c r="S446" t="str">
        <f t="shared" si="44"/>
        <v>Not Applicable</v>
      </c>
    </row>
    <row r="447" spans="1:19" x14ac:dyDescent="0.35">
      <c r="A447" s="12" t="str">
        <f>tblComponents[Component_ID]</f>
        <v>C446</v>
      </c>
      <c r="B447" s="12" t="str">
        <f>tblComponents[Component_Name]</f>
        <v>Component 446</v>
      </c>
      <c r="C447" t="str">
        <f>tblComponents[Sourcing_Type]</f>
        <v>Buy</v>
      </c>
      <c r="D447">
        <f>tblComponents[Forecast_Demand]</f>
        <v>731</v>
      </c>
      <c r="E447">
        <f>tblComponents[Selling_Price_Per_Unit]</f>
        <v>736.47</v>
      </c>
      <c r="F447">
        <f>tblComponents[Variable_Cost_Per_Unit]</f>
        <v>610.42999999999995</v>
      </c>
      <c r="G447">
        <f>tblComponents[Direct_Labor_Cost_Per_Unit]</f>
        <v>0</v>
      </c>
      <c r="H447">
        <f>tblComponents[Contribution_Per_Unit]</f>
        <v>126.04</v>
      </c>
      <c r="I447">
        <f>tblComponents[Contribution_Margin]</f>
        <v>0.1711</v>
      </c>
      <c r="J447">
        <f>tblComponents[Actual_Cycle_Time_Min]/60</f>
        <v>0</v>
      </c>
      <c r="K447">
        <f t="shared" si="39"/>
        <v>0</v>
      </c>
      <c r="L447">
        <f>H447*tblComponents[Planned_Production_or_Procurement]</f>
        <v>3809559</v>
      </c>
      <c r="M447" t="str">
        <f t="shared" si="40"/>
        <v/>
      </c>
      <c r="N447" t="str">
        <f t="shared" si="41"/>
        <v>Not Applicable</v>
      </c>
      <c r="O447" t="str">
        <f>tblComponents[Criticality]</f>
        <v>High</v>
      </c>
      <c r="P447">
        <f>tblComponents[Planned_Production_or_Procurement]</f>
        <v>30225</v>
      </c>
      <c r="Q447">
        <f t="shared" si="42"/>
        <v>0</v>
      </c>
      <c r="R447" t="str">
        <f t="shared" si="43"/>
        <v>High</v>
      </c>
      <c r="S447" t="str">
        <f t="shared" si="44"/>
        <v>Not Applicable</v>
      </c>
    </row>
    <row r="448" spans="1:19" x14ac:dyDescent="0.35">
      <c r="A448" s="12" t="str">
        <f>tblComponents[Component_ID]</f>
        <v>C447</v>
      </c>
      <c r="B448" s="12" t="str">
        <f>tblComponents[Component_Name]</f>
        <v>Component 447</v>
      </c>
      <c r="C448" t="str">
        <f>tblComponents[Sourcing_Type]</f>
        <v>Buy</v>
      </c>
      <c r="D448">
        <f>tblComponents[Forecast_Demand]</f>
        <v>162</v>
      </c>
      <c r="E448">
        <f>tblComponents[Selling_Price_Per_Unit]</f>
        <v>1116.43</v>
      </c>
      <c r="F448">
        <f>tblComponents[Variable_Cost_Per_Unit]</f>
        <v>779.59</v>
      </c>
      <c r="G448">
        <f>tblComponents[Direct_Labor_Cost_Per_Unit]</f>
        <v>0</v>
      </c>
      <c r="H448">
        <f>tblComponents[Contribution_Per_Unit]</f>
        <v>336.84</v>
      </c>
      <c r="I448">
        <f>tblComponents[Contribution_Margin]</f>
        <v>0.30170000000000002</v>
      </c>
      <c r="J448">
        <f>tblComponents[Actual_Cycle_Time_Min]/60</f>
        <v>0</v>
      </c>
      <c r="K448">
        <f t="shared" si="39"/>
        <v>0</v>
      </c>
      <c r="L448">
        <f>H448*tblComponents[Planned_Production_or_Procurement]</f>
        <v>22657542.599999998</v>
      </c>
      <c r="M448" t="str">
        <f t="shared" si="40"/>
        <v/>
      </c>
      <c r="N448" t="str">
        <f t="shared" si="41"/>
        <v>Not Applicable</v>
      </c>
      <c r="O448" t="str">
        <f>tblComponents[Criticality]</f>
        <v>Medium</v>
      </c>
      <c r="P448">
        <f>tblComponents[Planned_Production_or_Procurement]</f>
        <v>67265</v>
      </c>
      <c r="Q448">
        <f t="shared" si="42"/>
        <v>0</v>
      </c>
      <c r="R448" t="str">
        <f t="shared" si="43"/>
        <v>Medium</v>
      </c>
      <c r="S448" t="str">
        <f t="shared" si="44"/>
        <v>Not Applicable</v>
      </c>
    </row>
    <row r="449" spans="1:19" x14ac:dyDescent="0.35">
      <c r="A449" s="12" t="str">
        <f>tblComponents[Component_ID]</f>
        <v>C448</v>
      </c>
      <c r="B449" s="12" t="str">
        <f>tblComponents[Component_Name]</f>
        <v>Component 448</v>
      </c>
      <c r="C449" t="str">
        <f>tblComponents[Sourcing_Type]</f>
        <v>Buy</v>
      </c>
      <c r="D449">
        <f>tblComponents[Forecast_Demand]</f>
        <v>653</v>
      </c>
      <c r="E449">
        <f>tblComponents[Selling_Price_Per_Unit]</f>
        <v>1114.08</v>
      </c>
      <c r="F449">
        <f>tblComponents[Variable_Cost_Per_Unit]</f>
        <v>701.6</v>
      </c>
      <c r="G449">
        <f>tblComponents[Direct_Labor_Cost_Per_Unit]</f>
        <v>0</v>
      </c>
      <c r="H449">
        <f>tblComponents[Contribution_Per_Unit]</f>
        <v>412.48</v>
      </c>
      <c r="I449">
        <f>tblComponents[Contribution_Margin]</f>
        <v>0.37019999999999997</v>
      </c>
      <c r="J449">
        <f>tblComponents[Actual_Cycle_Time_Min]/60</f>
        <v>0</v>
      </c>
      <c r="K449">
        <f t="shared" si="39"/>
        <v>0</v>
      </c>
      <c r="L449">
        <f>H449*tblComponents[Planned_Production_or_Procurement]</f>
        <v>6609167.04</v>
      </c>
      <c r="M449" t="str">
        <f t="shared" si="40"/>
        <v/>
      </c>
      <c r="N449" t="str">
        <f t="shared" si="41"/>
        <v>Not Applicable</v>
      </c>
      <c r="O449" t="str">
        <f>tblComponents[Criticality]</f>
        <v>Medium</v>
      </c>
      <c r="P449">
        <f>tblComponents[Planned_Production_or_Procurement]</f>
        <v>16023</v>
      </c>
      <c r="Q449">
        <f t="shared" si="42"/>
        <v>0</v>
      </c>
      <c r="R449" t="str">
        <f t="shared" si="43"/>
        <v>Medium</v>
      </c>
      <c r="S449" t="str">
        <f t="shared" si="44"/>
        <v>Not Applicable</v>
      </c>
    </row>
    <row r="450" spans="1:19" x14ac:dyDescent="0.35">
      <c r="A450" s="12" t="str">
        <f>tblComponents[Component_ID]</f>
        <v>C449</v>
      </c>
      <c r="B450" s="12" t="str">
        <f>tblComponents[Component_Name]</f>
        <v>Component 449</v>
      </c>
      <c r="C450" t="str">
        <f>tblComponents[Sourcing_Type]</f>
        <v>Buy</v>
      </c>
      <c r="D450">
        <f>tblComponents[Forecast_Demand]</f>
        <v>703</v>
      </c>
      <c r="E450">
        <f>tblComponents[Selling_Price_Per_Unit]</f>
        <v>586.12</v>
      </c>
      <c r="F450">
        <f>tblComponents[Variable_Cost_Per_Unit]</f>
        <v>368.83</v>
      </c>
      <c r="G450">
        <f>tblComponents[Direct_Labor_Cost_Per_Unit]</f>
        <v>0</v>
      </c>
      <c r="H450">
        <f>tblComponents[Contribution_Per_Unit]</f>
        <v>217.29</v>
      </c>
      <c r="I450">
        <f>tblComponents[Contribution_Margin]</f>
        <v>0.37069999999999997</v>
      </c>
      <c r="J450">
        <f>tblComponents[Actual_Cycle_Time_Min]/60</f>
        <v>0</v>
      </c>
      <c r="K450">
        <f t="shared" si="39"/>
        <v>0</v>
      </c>
      <c r="L450">
        <f>H450*tblComponents[Planned_Production_or_Procurement]</f>
        <v>9851276.7300000004</v>
      </c>
      <c r="M450" t="str">
        <f t="shared" si="40"/>
        <v/>
      </c>
      <c r="N450" t="str">
        <f t="shared" si="41"/>
        <v>Not Applicable</v>
      </c>
      <c r="O450" t="str">
        <f>tblComponents[Criticality]</f>
        <v>Medium</v>
      </c>
      <c r="P450">
        <f>tblComponents[Planned_Production_or_Procurement]</f>
        <v>45337</v>
      </c>
      <c r="Q450">
        <f t="shared" si="42"/>
        <v>0</v>
      </c>
      <c r="R450" t="str">
        <f t="shared" si="43"/>
        <v>Medium</v>
      </c>
      <c r="S450" t="str">
        <f t="shared" si="44"/>
        <v>Not Applicable</v>
      </c>
    </row>
    <row r="451" spans="1:19" x14ac:dyDescent="0.35">
      <c r="A451" s="12" t="str">
        <f>tblComponents[Component_ID]</f>
        <v>C450</v>
      </c>
      <c r="B451" s="12" t="str">
        <f>tblComponents[Component_Name]</f>
        <v>Component 450</v>
      </c>
      <c r="C451" t="str">
        <f>tblComponents[Sourcing_Type]</f>
        <v>Buy</v>
      </c>
      <c r="D451">
        <f>tblComponents[Forecast_Demand]</f>
        <v>593</v>
      </c>
      <c r="E451">
        <f>tblComponents[Selling_Price_Per_Unit]</f>
        <v>1167.26</v>
      </c>
      <c r="F451">
        <f>tblComponents[Variable_Cost_Per_Unit]</f>
        <v>799.85</v>
      </c>
      <c r="G451">
        <f>tblComponents[Direct_Labor_Cost_Per_Unit]</f>
        <v>0</v>
      </c>
      <c r="H451">
        <f>tblComponents[Contribution_Per_Unit]</f>
        <v>367.41</v>
      </c>
      <c r="I451">
        <f>tblComponents[Contribution_Margin]</f>
        <v>0.31480000000000002</v>
      </c>
      <c r="J451">
        <f>tblComponents[Actual_Cycle_Time_Min]/60</f>
        <v>0</v>
      </c>
      <c r="K451">
        <f t="shared" ref="K451:K501" si="45">IFERROR(H451/J451,0)</f>
        <v>0</v>
      </c>
      <c r="L451">
        <f>H451*tblComponents[Planned_Production_or_Procurement]</f>
        <v>18694923.030000001</v>
      </c>
      <c r="M451" t="str">
        <f t="shared" ref="M451:M501" si="46">IF(C451="Make",1+COUNTIFS($C$2:$C$501,"Make",$K$2:$K$501,"&gt;"&amp;K451),"")</f>
        <v/>
      </c>
      <c r="N451" t="str">
        <f t="shared" ref="N451:N501" si="47">IF(C451="Buy","Not Applicable",IF(M451&lt;=75,"High Economic Priority",IF(M451&lt;=150,"Medium Economic Priority","Low Economic Priority")))</f>
        <v>Not Applicable</v>
      </c>
      <c r="O451" t="str">
        <f>tblComponents[Criticality]</f>
        <v>High</v>
      </c>
      <c r="P451">
        <f>tblComponents[Planned_Production_or_Procurement]</f>
        <v>50883</v>
      </c>
      <c r="Q451">
        <f t="shared" ref="Q451:Q501" si="48">J451*P451</f>
        <v>0</v>
      </c>
      <c r="R451" t="str">
        <f t="shared" ref="R451:R501" si="49">IF(O451="Critical","Critical",IF(O451="High","High",IF(O451="Medium","Medium","Low")))</f>
        <v>High</v>
      </c>
      <c r="S451" t="str">
        <f t="shared" ref="S451:S501" si="50">IF(C451="Buy","Not Applicable",
IF(O451="Critical","Critical Priority",
IF(AND(N451="High Economic Priority",O451="High"),"High Priority",
IF(AND(N451="High Economic Priority",O451="Medium"),"High Priority",
IF(AND(N451="High Economic Priority",O451="Low"),"High Priority",
IF(AND(N451="Medium Economic Priority",O451="High"),"High Priority",
IF(AND(N451="Medium Economic Priority",O451="Medium"),"Medium Priority",
IF(AND(N451="Medium Economic Priority",O451="Low"),"Medium Priority",
IF(AND(N451="Low Economic Priority",O451="High"),"High Priority",
IF(AND(N451="Low Economic Priority",O451="Medium"),"Medium Priority","Low Priority"))))))))))</f>
        <v>Not Applicable</v>
      </c>
    </row>
    <row r="452" spans="1:19" x14ac:dyDescent="0.35">
      <c r="A452" s="12" t="str">
        <f>tblComponents[Component_ID]</f>
        <v>C451</v>
      </c>
      <c r="B452" s="12" t="str">
        <f>tblComponents[Component_Name]</f>
        <v>Component 451</v>
      </c>
      <c r="C452" t="str">
        <f>tblComponents[Sourcing_Type]</f>
        <v>Buy</v>
      </c>
      <c r="D452">
        <f>tblComponents[Forecast_Demand]</f>
        <v>1211</v>
      </c>
      <c r="E452">
        <f>tblComponents[Selling_Price_Per_Unit]</f>
        <v>744.46</v>
      </c>
      <c r="F452">
        <f>tblComponents[Variable_Cost_Per_Unit]</f>
        <v>593.48</v>
      </c>
      <c r="G452">
        <f>tblComponents[Direct_Labor_Cost_Per_Unit]</f>
        <v>0</v>
      </c>
      <c r="H452">
        <f>tblComponents[Contribution_Per_Unit]</f>
        <v>150.97999999999999</v>
      </c>
      <c r="I452">
        <f>tblComponents[Contribution_Margin]</f>
        <v>0.20280000000000001</v>
      </c>
      <c r="J452">
        <f>tblComponents[Actual_Cycle_Time_Min]/60</f>
        <v>0</v>
      </c>
      <c r="K452">
        <f t="shared" si="45"/>
        <v>0</v>
      </c>
      <c r="L452">
        <f>H452*tblComponents[Planned_Production_or_Procurement]</f>
        <v>6017156.9199999999</v>
      </c>
      <c r="M452" t="str">
        <f t="shared" si="46"/>
        <v/>
      </c>
      <c r="N452" t="str">
        <f t="shared" si="47"/>
        <v>Not Applicable</v>
      </c>
      <c r="O452" t="str">
        <f>tblComponents[Criticality]</f>
        <v>Medium</v>
      </c>
      <c r="P452">
        <f>tblComponents[Planned_Production_or_Procurement]</f>
        <v>39854</v>
      </c>
      <c r="Q452">
        <f t="shared" si="48"/>
        <v>0</v>
      </c>
      <c r="R452" t="str">
        <f t="shared" si="49"/>
        <v>Medium</v>
      </c>
      <c r="S452" t="str">
        <f t="shared" si="50"/>
        <v>Not Applicable</v>
      </c>
    </row>
    <row r="453" spans="1:19" x14ac:dyDescent="0.35">
      <c r="A453" s="12" t="str">
        <f>tblComponents[Component_ID]</f>
        <v>C452</v>
      </c>
      <c r="B453" s="12" t="str">
        <f>tblComponents[Component_Name]</f>
        <v>Component 452</v>
      </c>
      <c r="C453" t="str">
        <f>tblComponents[Sourcing_Type]</f>
        <v>Buy</v>
      </c>
      <c r="D453">
        <f>tblComponents[Forecast_Demand]</f>
        <v>2916</v>
      </c>
      <c r="E453">
        <f>tblComponents[Selling_Price_Per_Unit]</f>
        <v>1381.49</v>
      </c>
      <c r="F453">
        <f>tblComponents[Variable_Cost_Per_Unit]</f>
        <v>876.21</v>
      </c>
      <c r="G453">
        <f>tblComponents[Direct_Labor_Cost_Per_Unit]</f>
        <v>0</v>
      </c>
      <c r="H453">
        <f>tblComponents[Contribution_Per_Unit]</f>
        <v>505.28</v>
      </c>
      <c r="I453">
        <f>tblComponents[Contribution_Margin]</f>
        <v>0.36580000000000001</v>
      </c>
      <c r="J453">
        <f>tblComponents[Actual_Cycle_Time_Min]/60</f>
        <v>0</v>
      </c>
      <c r="K453">
        <f t="shared" si="45"/>
        <v>0</v>
      </c>
      <c r="L453">
        <f>H453*tblComponents[Planned_Production_or_Procurement]</f>
        <v>13504618.559999999</v>
      </c>
      <c r="M453" t="str">
        <f t="shared" si="46"/>
        <v/>
      </c>
      <c r="N453" t="str">
        <f t="shared" si="47"/>
        <v>Not Applicable</v>
      </c>
      <c r="O453" t="str">
        <f>tblComponents[Criticality]</f>
        <v>Low</v>
      </c>
      <c r="P453">
        <f>tblComponents[Planned_Production_or_Procurement]</f>
        <v>26727</v>
      </c>
      <c r="Q453">
        <f t="shared" si="48"/>
        <v>0</v>
      </c>
      <c r="R453" t="str">
        <f t="shared" si="49"/>
        <v>Low</v>
      </c>
      <c r="S453" t="str">
        <f t="shared" si="50"/>
        <v>Not Applicable</v>
      </c>
    </row>
    <row r="454" spans="1:19" x14ac:dyDescent="0.35">
      <c r="A454" s="12" t="str">
        <f>tblComponents[Component_ID]</f>
        <v>C453</v>
      </c>
      <c r="B454" s="12" t="str">
        <f>tblComponents[Component_Name]</f>
        <v>Component 453</v>
      </c>
      <c r="C454" t="str">
        <f>tblComponents[Sourcing_Type]</f>
        <v>Buy</v>
      </c>
      <c r="D454">
        <f>tblComponents[Forecast_Demand]</f>
        <v>1325</v>
      </c>
      <c r="E454">
        <f>tblComponents[Selling_Price_Per_Unit]</f>
        <v>323.14999999999998</v>
      </c>
      <c r="F454">
        <f>tblComponents[Variable_Cost_Per_Unit]</f>
        <v>203.09</v>
      </c>
      <c r="G454">
        <f>tblComponents[Direct_Labor_Cost_Per_Unit]</f>
        <v>0</v>
      </c>
      <c r="H454">
        <f>tblComponents[Contribution_Per_Unit]</f>
        <v>120.06</v>
      </c>
      <c r="I454">
        <f>tblComponents[Contribution_Margin]</f>
        <v>0.3715</v>
      </c>
      <c r="J454">
        <f>tblComponents[Actual_Cycle_Time_Min]/60</f>
        <v>0</v>
      </c>
      <c r="K454">
        <f t="shared" si="45"/>
        <v>0</v>
      </c>
      <c r="L454">
        <f>H454*tblComponents[Planned_Production_or_Procurement]</f>
        <v>2251125</v>
      </c>
      <c r="M454" t="str">
        <f t="shared" si="46"/>
        <v/>
      </c>
      <c r="N454" t="str">
        <f t="shared" si="47"/>
        <v>Not Applicable</v>
      </c>
      <c r="O454" t="str">
        <f>tblComponents[Criticality]</f>
        <v>High</v>
      </c>
      <c r="P454">
        <f>tblComponents[Planned_Production_or_Procurement]</f>
        <v>18750</v>
      </c>
      <c r="Q454">
        <f t="shared" si="48"/>
        <v>0</v>
      </c>
      <c r="R454" t="str">
        <f t="shared" si="49"/>
        <v>High</v>
      </c>
      <c r="S454" t="str">
        <f t="shared" si="50"/>
        <v>Not Applicable</v>
      </c>
    </row>
    <row r="455" spans="1:19" x14ac:dyDescent="0.35">
      <c r="A455" s="12" t="str">
        <f>tblComponents[Component_ID]</f>
        <v>C454</v>
      </c>
      <c r="B455" s="12" t="str">
        <f>tblComponents[Component_Name]</f>
        <v>Component 454</v>
      </c>
      <c r="C455" t="str">
        <f>tblComponents[Sourcing_Type]</f>
        <v>Buy</v>
      </c>
      <c r="D455">
        <f>tblComponents[Forecast_Demand]</f>
        <v>108</v>
      </c>
      <c r="E455">
        <f>tblComponents[Selling_Price_Per_Unit]</f>
        <v>1321.14</v>
      </c>
      <c r="F455">
        <f>tblComponents[Variable_Cost_Per_Unit]</f>
        <v>1058.02</v>
      </c>
      <c r="G455">
        <f>tblComponents[Direct_Labor_Cost_Per_Unit]</f>
        <v>0</v>
      </c>
      <c r="H455">
        <f>tblComponents[Contribution_Per_Unit]</f>
        <v>263.12</v>
      </c>
      <c r="I455">
        <f>tblComponents[Contribution_Margin]</f>
        <v>0.19919999999999999</v>
      </c>
      <c r="J455">
        <f>tblComponents[Actual_Cycle_Time_Min]/60</f>
        <v>0</v>
      </c>
      <c r="K455">
        <f t="shared" si="45"/>
        <v>0</v>
      </c>
      <c r="L455">
        <f>H455*tblComponents[Planned_Production_or_Procurement]</f>
        <v>4243599.3600000003</v>
      </c>
      <c r="M455" t="str">
        <f t="shared" si="46"/>
        <v/>
      </c>
      <c r="N455" t="str">
        <f t="shared" si="47"/>
        <v>Not Applicable</v>
      </c>
      <c r="O455" t="str">
        <f>tblComponents[Criticality]</f>
        <v>Medium</v>
      </c>
      <c r="P455">
        <f>tblComponents[Planned_Production_or_Procurement]</f>
        <v>16128</v>
      </c>
      <c r="Q455">
        <f t="shared" si="48"/>
        <v>0</v>
      </c>
      <c r="R455" t="str">
        <f t="shared" si="49"/>
        <v>Medium</v>
      </c>
      <c r="S455" t="str">
        <f t="shared" si="50"/>
        <v>Not Applicable</v>
      </c>
    </row>
    <row r="456" spans="1:19" x14ac:dyDescent="0.35">
      <c r="A456" s="12" t="str">
        <f>tblComponents[Component_ID]</f>
        <v>C455</v>
      </c>
      <c r="B456" s="12" t="str">
        <f>tblComponents[Component_Name]</f>
        <v>Component 455</v>
      </c>
      <c r="C456" t="str">
        <f>tblComponents[Sourcing_Type]</f>
        <v>Buy</v>
      </c>
      <c r="D456">
        <f>tblComponents[Forecast_Demand]</f>
        <v>151</v>
      </c>
      <c r="E456">
        <f>tblComponents[Selling_Price_Per_Unit]</f>
        <v>2819.38</v>
      </c>
      <c r="F456">
        <f>tblComponents[Variable_Cost_Per_Unit]</f>
        <v>1876.7</v>
      </c>
      <c r="G456">
        <f>tblComponents[Direct_Labor_Cost_Per_Unit]</f>
        <v>0</v>
      </c>
      <c r="H456">
        <f>tblComponents[Contribution_Per_Unit]</f>
        <v>942.68</v>
      </c>
      <c r="I456">
        <f>tblComponents[Contribution_Margin]</f>
        <v>0.33439999999999998</v>
      </c>
      <c r="J456">
        <f>tblComponents[Actual_Cycle_Time_Min]/60</f>
        <v>0</v>
      </c>
      <c r="K456">
        <f t="shared" si="45"/>
        <v>0</v>
      </c>
      <c r="L456">
        <f>H456*tblComponents[Planned_Production_or_Procurement]</f>
        <v>28314336.479999997</v>
      </c>
      <c r="M456" t="str">
        <f t="shared" si="46"/>
        <v/>
      </c>
      <c r="N456" t="str">
        <f t="shared" si="47"/>
        <v>Not Applicable</v>
      </c>
      <c r="O456" t="str">
        <f>tblComponents[Criticality]</f>
        <v>Medium</v>
      </c>
      <c r="P456">
        <f>tblComponents[Planned_Production_or_Procurement]</f>
        <v>30036</v>
      </c>
      <c r="Q456">
        <f t="shared" si="48"/>
        <v>0</v>
      </c>
      <c r="R456" t="str">
        <f t="shared" si="49"/>
        <v>Medium</v>
      </c>
      <c r="S456" t="str">
        <f t="shared" si="50"/>
        <v>Not Applicable</v>
      </c>
    </row>
    <row r="457" spans="1:19" x14ac:dyDescent="0.35">
      <c r="A457" s="12" t="str">
        <f>tblComponents[Component_ID]</f>
        <v>C456</v>
      </c>
      <c r="B457" s="12" t="str">
        <f>tblComponents[Component_Name]</f>
        <v>Component 456</v>
      </c>
      <c r="C457" t="str">
        <f>tblComponents[Sourcing_Type]</f>
        <v>Buy</v>
      </c>
      <c r="D457">
        <f>tblComponents[Forecast_Demand]</f>
        <v>666</v>
      </c>
      <c r="E457">
        <f>tblComponents[Selling_Price_Per_Unit]</f>
        <v>2756.23</v>
      </c>
      <c r="F457">
        <f>tblComponents[Variable_Cost_Per_Unit]</f>
        <v>2145.37</v>
      </c>
      <c r="G457">
        <f>tblComponents[Direct_Labor_Cost_Per_Unit]</f>
        <v>0</v>
      </c>
      <c r="H457">
        <f>tblComponents[Contribution_Per_Unit]</f>
        <v>610.86</v>
      </c>
      <c r="I457">
        <f>tblComponents[Contribution_Margin]</f>
        <v>0.22159999999999999</v>
      </c>
      <c r="J457">
        <f>tblComponents[Actual_Cycle_Time_Min]/60</f>
        <v>0</v>
      </c>
      <c r="K457">
        <f t="shared" si="45"/>
        <v>0</v>
      </c>
      <c r="L457">
        <f>H457*tblComponents[Planned_Production_or_Procurement]</f>
        <v>13434643.98</v>
      </c>
      <c r="M457" t="str">
        <f t="shared" si="46"/>
        <v/>
      </c>
      <c r="N457" t="str">
        <f t="shared" si="47"/>
        <v>Not Applicable</v>
      </c>
      <c r="O457" t="str">
        <f>tblComponents[Criticality]</f>
        <v>High</v>
      </c>
      <c r="P457">
        <f>tblComponents[Planned_Production_or_Procurement]</f>
        <v>21993</v>
      </c>
      <c r="Q457">
        <f t="shared" si="48"/>
        <v>0</v>
      </c>
      <c r="R457" t="str">
        <f t="shared" si="49"/>
        <v>High</v>
      </c>
      <c r="S457" t="str">
        <f t="shared" si="50"/>
        <v>Not Applicable</v>
      </c>
    </row>
    <row r="458" spans="1:19" x14ac:dyDescent="0.35">
      <c r="A458" s="12" t="str">
        <f>tblComponents[Component_ID]</f>
        <v>C457</v>
      </c>
      <c r="B458" s="12" t="str">
        <f>tblComponents[Component_Name]</f>
        <v>Component 457</v>
      </c>
      <c r="C458" t="str">
        <f>tblComponents[Sourcing_Type]</f>
        <v>Buy</v>
      </c>
      <c r="D458">
        <f>tblComponents[Forecast_Demand]</f>
        <v>2452</v>
      </c>
      <c r="E458">
        <f>tblComponents[Selling_Price_Per_Unit]</f>
        <v>2201.48</v>
      </c>
      <c r="F458">
        <f>tblComponents[Variable_Cost_Per_Unit]</f>
        <v>1429.51</v>
      </c>
      <c r="G458">
        <f>tblComponents[Direct_Labor_Cost_Per_Unit]</f>
        <v>0</v>
      </c>
      <c r="H458">
        <f>tblComponents[Contribution_Per_Unit]</f>
        <v>771.97</v>
      </c>
      <c r="I458">
        <f>tblComponents[Contribution_Margin]</f>
        <v>0.35070000000000001</v>
      </c>
      <c r="J458">
        <f>tblComponents[Actual_Cycle_Time_Min]/60</f>
        <v>0</v>
      </c>
      <c r="K458">
        <f t="shared" si="45"/>
        <v>0</v>
      </c>
      <c r="L458">
        <f>H458*tblComponents[Planned_Production_or_Procurement]</f>
        <v>10122070.640000001</v>
      </c>
      <c r="M458" t="str">
        <f t="shared" si="46"/>
        <v/>
      </c>
      <c r="N458" t="str">
        <f t="shared" si="47"/>
        <v>Not Applicable</v>
      </c>
      <c r="O458" t="str">
        <f>tblComponents[Criticality]</f>
        <v>Low</v>
      </c>
      <c r="P458">
        <f>tblComponents[Planned_Production_or_Procurement]</f>
        <v>13112</v>
      </c>
      <c r="Q458">
        <f t="shared" si="48"/>
        <v>0</v>
      </c>
      <c r="R458" t="str">
        <f t="shared" si="49"/>
        <v>Low</v>
      </c>
      <c r="S458" t="str">
        <f t="shared" si="50"/>
        <v>Not Applicable</v>
      </c>
    </row>
    <row r="459" spans="1:19" x14ac:dyDescent="0.35">
      <c r="A459" s="12" t="str">
        <f>tblComponents[Component_ID]</f>
        <v>C458</v>
      </c>
      <c r="B459" s="12" t="str">
        <f>tblComponents[Component_Name]</f>
        <v>Component 458</v>
      </c>
      <c r="C459" t="str">
        <f>tblComponents[Sourcing_Type]</f>
        <v>Buy</v>
      </c>
      <c r="D459">
        <f>tblComponents[Forecast_Demand]</f>
        <v>1509</v>
      </c>
      <c r="E459">
        <f>tblComponents[Selling_Price_Per_Unit]</f>
        <v>627.34</v>
      </c>
      <c r="F459">
        <f>tblComponents[Variable_Cost_Per_Unit]</f>
        <v>376.84</v>
      </c>
      <c r="G459">
        <f>tblComponents[Direct_Labor_Cost_Per_Unit]</f>
        <v>0</v>
      </c>
      <c r="H459">
        <f>tblComponents[Contribution_Per_Unit]</f>
        <v>250.5</v>
      </c>
      <c r="I459">
        <f>tblComponents[Contribution_Margin]</f>
        <v>0.39929999999999999</v>
      </c>
      <c r="J459">
        <f>tblComponents[Actual_Cycle_Time_Min]/60</f>
        <v>0</v>
      </c>
      <c r="K459">
        <f t="shared" si="45"/>
        <v>0</v>
      </c>
      <c r="L459">
        <f>H459*tblComponents[Planned_Production_or_Procurement]</f>
        <v>9739189.5</v>
      </c>
      <c r="M459" t="str">
        <f t="shared" si="46"/>
        <v/>
      </c>
      <c r="N459" t="str">
        <f t="shared" si="47"/>
        <v>Not Applicable</v>
      </c>
      <c r="O459" t="str">
        <f>tblComponents[Criticality]</f>
        <v>Medium</v>
      </c>
      <c r="P459">
        <f>tblComponents[Planned_Production_or_Procurement]</f>
        <v>38879</v>
      </c>
      <c r="Q459">
        <f t="shared" si="48"/>
        <v>0</v>
      </c>
      <c r="R459" t="str">
        <f t="shared" si="49"/>
        <v>Medium</v>
      </c>
      <c r="S459" t="str">
        <f t="shared" si="50"/>
        <v>Not Applicable</v>
      </c>
    </row>
    <row r="460" spans="1:19" x14ac:dyDescent="0.35">
      <c r="A460" s="12" t="str">
        <f>tblComponents[Component_ID]</f>
        <v>C459</v>
      </c>
      <c r="B460" s="12" t="str">
        <f>tblComponents[Component_Name]</f>
        <v>Component 459</v>
      </c>
      <c r="C460" t="str">
        <f>tblComponents[Sourcing_Type]</f>
        <v>Buy</v>
      </c>
      <c r="D460">
        <f>tblComponents[Forecast_Demand]</f>
        <v>338</v>
      </c>
      <c r="E460">
        <f>tblComponents[Selling_Price_Per_Unit]</f>
        <v>1621.48</v>
      </c>
      <c r="F460">
        <f>tblComponents[Variable_Cost_Per_Unit]</f>
        <v>1366.09</v>
      </c>
      <c r="G460">
        <f>tblComponents[Direct_Labor_Cost_Per_Unit]</f>
        <v>0</v>
      </c>
      <c r="H460">
        <f>tblComponents[Contribution_Per_Unit]</f>
        <v>255.39</v>
      </c>
      <c r="I460">
        <f>tblComponents[Contribution_Margin]</f>
        <v>0.1575</v>
      </c>
      <c r="J460">
        <f>tblComponents[Actual_Cycle_Time_Min]/60</f>
        <v>0</v>
      </c>
      <c r="K460">
        <f t="shared" si="45"/>
        <v>0</v>
      </c>
      <c r="L460">
        <f>H460*tblComponents[Planned_Production_or_Procurement]</f>
        <v>12179804.49</v>
      </c>
      <c r="M460" t="str">
        <f t="shared" si="46"/>
        <v/>
      </c>
      <c r="N460" t="str">
        <f t="shared" si="47"/>
        <v>Not Applicable</v>
      </c>
      <c r="O460" t="str">
        <f>tblComponents[Criticality]</f>
        <v>Low</v>
      </c>
      <c r="P460">
        <f>tblComponents[Planned_Production_or_Procurement]</f>
        <v>47691</v>
      </c>
      <c r="Q460">
        <f t="shared" si="48"/>
        <v>0</v>
      </c>
      <c r="R460" t="str">
        <f t="shared" si="49"/>
        <v>Low</v>
      </c>
      <c r="S460" t="str">
        <f t="shared" si="50"/>
        <v>Not Applicable</v>
      </c>
    </row>
    <row r="461" spans="1:19" x14ac:dyDescent="0.35">
      <c r="A461" s="12" t="str">
        <f>tblComponents[Component_ID]</f>
        <v>C460</v>
      </c>
      <c r="B461" s="12" t="str">
        <f>tblComponents[Component_Name]</f>
        <v>Component 460</v>
      </c>
      <c r="C461" t="str">
        <f>tblComponents[Sourcing_Type]</f>
        <v>Buy</v>
      </c>
      <c r="D461">
        <f>tblComponents[Forecast_Demand]</f>
        <v>674</v>
      </c>
      <c r="E461">
        <f>tblComponents[Selling_Price_Per_Unit]</f>
        <v>1643.42</v>
      </c>
      <c r="F461">
        <f>tblComponents[Variable_Cost_Per_Unit]</f>
        <v>1028.22</v>
      </c>
      <c r="G461">
        <f>tblComponents[Direct_Labor_Cost_Per_Unit]</f>
        <v>0</v>
      </c>
      <c r="H461">
        <f>tblComponents[Contribution_Per_Unit]</f>
        <v>615.20000000000005</v>
      </c>
      <c r="I461">
        <f>tblComponents[Contribution_Margin]</f>
        <v>0.37430000000000002</v>
      </c>
      <c r="J461">
        <f>tblComponents[Actual_Cycle_Time_Min]/60</f>
        <v>0</v>
      </c>
      <c r="K461">
        <f t="shared" si="45"/>
        <v>0</v>
      </c>
      <c r="L461">
        <f>H461*tblComponents[Planned_Production_or_Procurement]</f>
        <v>2942501.6</v>
      </c>
      <c r="M461" t="str">
        <f t="shared" si="46"/>
        <v/>
      </c>
      <c r="N461" t="str">
        <f t="shared" si="47"/>
        <v>Not Applicable</v>
      </c>
      <c r="O461" t="str">
        <f>tblComponents[Criticality]</f>
        <v>Critical</v>
      </c>
      <c r="P461">
        <f>tblComponents[Planned_Production_or_Procurement]</f>
        <v>4783</v>
      </c>
      <c r="Q461">
        <f t="shared" si="48"/>
        <v>0</v>
      </c>
      <c r="R461" t="str">
        <f t="shared" si="49"/>
        <v>Critical</v>
      </c>
      <c r="S461" t="str">
        <f t="shared" si="50"/>
        <v>Not Applicable</v>
      </c>
    </row>
    <row r="462" spans="1:19" x14ac:dyDescent="0.35">
      <c r="A462" s="12" t="str">
        <f>tblComponents[Component_ID]</f>
        <v>C461</v>
      </c>
      <c r="B462" s="12" t="str">
        <f>tblComponents[Component_Name]</f>
        <v>Component 461</v>
      </c>
      <c r="C462" t="str">
        <f>tblComponents[Sourcing_Type]</f>
        <v>Buy</v>
      </c>
      <c r="D462">
        <f>tblComponents[Forecast_Demand]</f>
        <v>2006</v>
      </c>
      <c r="E462">
        <f>tblComponents[Selling_Price_Per_Unit]</f>
        <v>543.80999999999995</v>
      </c>
      <c r="F462">
        <f>tblComponents[Variable_Cost_Per_Unit]</f>
        <v>377.59</v>
      </c>
      <c r="G462">
        <f>tblComponents[Direct_Labor_Cost_Per_Unit]</f>
        <v>0</v>
      </c>
      <c r="H462">
        <f>tblComponents[Contribution_Per_Unit]</f>
        <v>166.22</v>
      </c>
      <c r="I462">
        <f>tblComponents[Contribution_Margin]</f>
        <v>0.30570000000000003</v>
      </c>
      <c r="J462">
        <f>tblComponents[Actual_Cycle_Time_Min]/60</f>
        <v>0</v>
      </c>
      <c r="K462">
        <f t="shared" si="45"/>
        <v>0</v>
      </c>
      <c r="L462">
        <f>H462*tblComponents[Planned_Production_or_Procurement]</f>
        <v>4132229.2</v>
      </c>
      <c r="M462" t="str">
        <f t="shared" si="46"/>
        <v/>
      </c>
      <c r="N462" t="str">
        <f t="shared" si="47"/>
        <v>Not Applicable</v>
      </c>
      <c r="O462" t="str">
        <f>tblComponents[Criticality]</f>
        <v>High</v>
      </c>
      <c r="P462">
        <f>tblComponents[Planned_Production_or_Procurement]</f>
        <v>24860</v>
      </c>
      <c r="Q462">
        <f t="shared" si="48"/>
        <v>0</v>
      </c>
      <c r="R462" t="str">
        <f t="shared" si="49"/>
        <v>High</v>
      </c>
      <c r="S462" t="str">
        <f t="shared" si="50"/>
        <v>Not Applicable</v>
      </c>
    </row>
    <row r="463" spans="1:19" x14ac:dyDescent="0.35">
      <c r="A463" s="12" t="str">
        <f>tblComponents[Component_ID]</f>
        <v>C462</v>
      </c>
      <c r="B463" s="12" t="str">
        <f>tblComponents[Component_Name]</f>
        <v>Component 462</v>
      </c>
      <c r="C463" t="str">
        <f>tblComponents[Sourcing_Type]</f>
        <v>Buy</v>
      </c>
      <c r="D463">
        <f>tblComponents[Forecast_Demand]</f>
        <v>554</v>
      </c>
      <c r="E463">
        <f>tblComponents[Selling_Price_Per_Unit]</f>
        <v>2138.81</v>
      </c>
      <c r="F463">
        <f>tblComponents[Variable_Cost_Per_Unit]</f>
        <v>1297.52</v>
      </c>
      <c r="G463">
        <f>tblComponents[Direct_Labor_Cost_Per_Unit]</f>
        <v>0</v>
      </c>
      <c r="H463">
        <f>tblComponents[Contribution_Per_Unit]</f>
        <v>841.29</v>
      </c>
      <c r="I463">
        <f>tblComponents[Contribution_Margin]</f>
        <v>0.39329999999999998</v>
      </c>
      <c r="J463">
        <f>tblComponents[Actual_Cycle_Time_Min]/60</f>
        <v>0</v>
      </c>
      <c r="K463">
        <f t="shared" si="45"/>
        <v>0</v>
      </c>
      <c r="L463">
        <f>H463*tblComponents[Planned_Production_or_Procurement]</f>
        <v>46000895.909999996</v>
      </c>
      <c r="M463" t="str">
        <f t="shared" si="46"/>
        <v/>
      </c>
      <c r="N463" t="str">
        <f t="shared" si="47"/>
        <v>Not Applicable</v>
      </c>
      <c r="O463" t="str">
        <f>tblComponents[Criticality]</f>
        <v>Low</v>
      </c>
      <c r="P463">
        <f>tblComponents[Planned_Production_or_Procurement]</f>
        <v>54679</v>
      </c>
      <c r="Q463">
        <f t="shared" si="48"/>
        <v>0</v>
      </c>
      <c r="R463" t="str">
        <f t="shared" si="49"/>
        <v>Low</v>
      </c>
      <c r="S463" t="str">
        <f t="shared" si="50"/>
        <v>Not Applicable</v>
      </c>
    </row>
    <row r="464" spans="1:19" x14ac:dyDescent="0.35">
      <c r="A464" s="12" t="str">
        <f>tblComponents[Component_ID]</f>
        <v>C463</v>
      </c>
      <c r="B464" s="12" t="str">
        <f>tblComponents[Component_Name]</f>
        <v>Component 463</v>
      </c>
      <c r="C464" t="str">
        <f>tblComponents[Sourcing_Type]</f>
        <v>Buy</v>
      </c>
      <c r="D464">
        <f>tblComponents[Forecast_Demand]</f>
        <v>2475</v>
      </c>
      <c r="E464">
        <f>tblComponents[Selling_Price_Per_Unit]</f>
        <v>2026.17</v>
      </c>
      <c r="F464">
        <f>tblComponents[Variable_Cost_Per_Unit]</f>
        <v>1486.7</v>
      </c>
      <c r="G464">
        <f>tblComponents[Direct_Labor_Cost_Per_Unit]</f>
        <v>0</v>
      </c>
      <c r="H464">
        <f>tblComponents[Contribution_Per_Unit]</f>
        <v>539.47</v>
      </c>
      <c r="I464">
        <f>tblComponents[Contribution_Margin]</f>
        <v>0.26629999999999998</v>
      </c>
      <c r="J464">
        <f>tblComponents[Actual_Cycle_Time_Min]/60</f>
        <v>0</v>
      </c>
      <c r="K464">
        <f t="shared" si="45"/>
        <v>0</v>
      </c>
      <c r="L464">
        <f>H464*tblComponents[Planned_Production_or_Procurement]</f>
        <v>14432980.380000001</v>
      </c>
      <c r="M464" t="str">
        <f t="shared" si="46"/>
        <v/>
      </c>
      <c r="N464" t="str">
        <f t="shared" si="47"/>
        <v>Not Applicable</v>
      </c>
      <c r="O464" t="str">
        <f>tblComponents[Criticality]</f>
        <v>High</v>
      </c>
      <c r="P464">
        <f>tblComponents[Planned_Production_or_Procurement]</f>
        <v>26754</v>
      </c>
      <c r="Q464">
        <f t="shared" si="48"/>
        <v>0</v>
      </c>
      <c r="R464" t="str">
        <f t="shared" si="49"/>
        <v>High</v>
      </c>
      <c r="S464" t="str">
        <f t="shared" si="50"/>
        <v>Not Applicable</v>
      </c>
    </row>
    <row r="465" spans="1:19" x14ac:dyDescent="0.35">
      <c r="A465" s="12" t="str">
        <f>tblComponents[Component_ID]</f>
        <v>C464</v>
      </c>
      <c r="B465" s="12" t="str">
        <f>tblComponents[Component_Name]</f>
        <v>Component 464</v>
      </c>
      <c r="C465" t="str">
        <f>tblComponents[Sourcing_Type]</f>
        <v>Buy</v>
      </c>
      <c r="D465">
        <f>tblComponents[Forecast_Demand]</f>
        <v>1069</v>
      </c>
      <c r="E465">
        <f>tblComponents[Selling_Price_Per_Unit]</f>
        <v>2442.14</v>
      </c>
      <c r="F465">
        <f>tblComponents[Variable_Cost_Per_Unit]</f>
        <v>1558.46</v>
      </c>
      <c r="G465">
        <f>tblComponents[Direct_Labor_Cost_Per_Unit]</f>
        <v>0</v>
      </c>
      <c r="H465">
        <f>tblComponents[Contribution_Per_Unit]</f>
        <v>883.68</v>
      </c>
      <c r="I465">
        <f>tblComponents[Contribution_Margin]</f>
        <v>0.36180000000000001</v>
      </c>
      <c r="J465">
        <f>tblComponents[Actual_Cycle_Time_Min]/60</f>
        <v>0</v>
      </c>
      <c r="K465">
        <f t="shared" si="45"/>
        <v>0</v>
      </c>
      <c r="L465">
        <f>H465*tblComponents[Planned_Production_or_Procurement]</f>
        <v>36551655.839999996</v>
      </c>
      <c r="M465" t="str">
        <f t="shared" si="46"/>
        <v/>
      </c>
      <c r="N465" t="str">
        <f t="shared" si="47"/>
        <v>Not Applicable</v>
      </c>
      <c r="O465" t="str">
        <f>tblComponents[Criticality]</f>
        <v>High</v>
      </c>
      <c r="P465">
        <f>tblComponents[Planned_Production_or_Procurement]</f>
        <v>41363</v>
      </c>
      <c r="Q465">
        <f t="shared" si="48"/>
        <v>0</v>
      </c>
      <c r="R465" t="str">
        <f t="shared" si="49"/>
        <v>High</v>
      </c>
      <c r="S465" t="str">
        <f t="shared" si="50"/>
        <v>Not Applicable</v>
      </c>
    </row>
    <row r="466" spans="1:19" x14ac:dyDescent="0.35">
      <c r="A466" s="12" t="str">
        <f>tblComponents[Component_ID]</f>
        <v>C465</v>
      </c>
      <c r="B466" s="12" t="str">
        <f>tblComponents[Component_Name]</f>
        <v>Component 465</v>
      </c>
      <c r="C466" t="str">
        <f>tblComponents[Sourcing_Type]</f>
        <v>Buy</v>
      </c>
      <c r="D466">
        <f>tblComponents[Forecast_Demand]</f>
        <v>1089</v>
      </c>
      <c r="E466">
        <f>tblComponents[Selling_Price_Per_Unit]</f>
        <v>971.81</v>
      </c>
      <c r="F466">
        <f>tblComponents[Variable_Cost_Per_Unit]</f>
        <v>810.88</v>
      </c>
      <c r="G466">
        <f>tblComponents[Direct_Labor_Cost_Per_Unit]</f>
        <v>0</v>
      </c>
      <c r="H466">
        <f>tblComponents[Contribution_Per_Unit]</f>
        <v>160.93</v>
      </c>
      <c r="I466">
        <f>tblComponents[Contribution_Margin]</f>
        <v>0.1656</v>
      </c>
      <c r="J466">
        <f>tblComponents[Actual_Cycle_Time_Min]/60</f>
        <v>0</v>
      </c>
      <c r="K466">
        <f t="shared" si="45"/>
        <v>0</v>
      </c>
      <c r="L466">
        <f>H466*tblComponents[Planned_Production_or_Procurement]</f>
        <v>4738101.0600000005</v>
      </c>
      <c r="M466" t="str">
        <f t="shared" si="46"/>
        <v/>
      </c>
      <c r="N466" t="str">
        <f t="shared" si="47"/>
        <v>Not Applicable</v>
      </c>
      <c r="O466" t="str">
        <f>tblComponents[Criticality]</f>
        <v>Low</v>
      </c>
      <c r="P466">
        <f>tblComponents[Planned_Production_or_Procurement]</f>
        <v>29442</v>
      </c>
      <c r="Q466">
        <f t="shared" si="48"/>
        <v>0</v>
      </c>
      <c r="R466" t="str">
        <f t="shared" si="49"/>
        <v>Low</v>
      </c>
      <c r="S466" t="str">
        <f t="shared" si="50"/>
        <v>Not Applicable</v>
      </c>
    </row>
    <row r="467" spans="1:19" x14ac:dyDescent="0.35">
      <c r="A467" s="12" t="str">
        <f>tblComponents[Component_ID]</f>
        <v>C466</v>
      </c>
      <c r="B467" s="12" t="str">
        <f>tblComponents[Component_Name]</f>
        <v>Component 466</v>
      </c>
      <c r="C467" t="str">
        <f>tblComponents[Sourcing_Type]</f>
        <v>Buy</v>
      </c>
      <c r="D467">
        <f>tblComponents[Forecast_Demand]</f>
        <v>1912</v>
      </c>
      <c r="E467">
        <f>tblComponents[Selling_Price_Per_Unit]</f>
        <v>1567.7</v>
      </c>
      <c r="F467">
        <f>tblComponents[Variable_Cost_Per_Unit]</f>
        <v>1201.1400000000001</v>
      </c>
      <c r="G467">
        <f>tblComponents[Direct_Labor_Cost_Per_Unit]</f>
        <v>0</v>
      </c>
      <c r="H467">
        <f>tblComponents[Contribution_Per_Unit]</f>
        <v>366.56</v>
      </c>
      <c r="I467">
        <f>tblComponents[Contribution_Margin]</f>
        <v>0.23380000000000001</v>
      </c>
      <c r="J467">
        <f>tblComponents[Actual_Cycle_Time_Min]/60</f>
        <v>0</v>
      </c>
      <c r="K467">
        <f t="shared" si="45"/>
        <v>0</v>
      </c>
      <c r="L467">
        <f>H467*tblComponents[Planned_Production_or_Procurement]</f>
        <v>6684588.1600000001</v>
      </c>
      <c r="M467" t="str">
        <f t="shared" si="46"/>
        <v/>
      </c>
      <c r="N467" t="str">
        <f t="shared" si="47"/>
        <v>Not Applicable</v>
      </c>
      <c r="O467" t="str">
        <f>tblComponents[Criticality]</f>
        <v>High</v>
      </c>
      <c r="P467">
        <f>tblComponents[Planned_Production_or_Procurement]</f>
        <v>18236</v>
      </c>
      <c r="Q467">
        <f t="shared" si="48"/>
        <v>0</v>
      </c>
      <c r="R467" t="str">
        <f t="shared" si="49"/>
        <v>High</v>
      </c>
      <c r="S467" t="str">
        <f t="shared" si="50"/>
        <v>Not Applicable</v>
      </c>
    </row>
    <row r="468" spans="1:19" x14ac:dyDescent="0.35">
      <c r="A468" s="12" t="str">
        <f>tblComponents[Component_ID]</f>
        <v>C467</v>
      </c>
      <c r="B468" s="12" t="str">
        <f>tblComponents[Component_Name]</f>
        <v>Component 467</v>
      </c>
      <c r="C468" t="str">
        <f>tblComponents[Sourcing_Type]</f>
        <v>Buy</v>
      </c>
      <c r="D468">
        <f>tblComponents[Forecast_Demand]</f>
        <v>426</v>
      </c>
      <c r="E468">
        <f>tblComponents[Selling_Price_Per_Unit]</f>
        <v>792.24</v>
      </c>
      <c r="F468">
        <f>tblComponents[Variable_Cost_Per_Unit]</f>
        <v>660.13</v>
      </c>
      <c r="G468">
        <f>tblComponents[Direct_Labor_Cost_Per_Unit]</f>
        <v>0</v>
      </c>
      <c r="H468">
        <f>tblComponents[Contribution_Per_Unit]</f>
        <v>132.11000000000001</v>
      </c>
      <c r="I468">
        <f>tblComponents[Contribution_Margin]</f>
        <v>0.1668</v>
      </c>
      <c r="J468">
        <f>tblComponents[Actual_Cycle_Time_Min]/60</f>
        <v>0</v>
      </c>
      <c r="K468">
        <f t="shared" si="45"/>
        <v>0</v>
      </c>
      <c r="L468">
        <f>H468*tblComponents[Planned_Production_or_Procurement]</f>
        <v>816043.47000000009</v>
      </c>
      <c r="M468" t="str">
        <f t="shared" si="46"/>
        <v/>
      </c>
      <c r="N468" t="str">
        <f t="shared" si="47"/>
        <v>Not Applicable</v>
      </c>
      <c r="O468" t="str">
        <f>tblComponents[Criticality]</f>
        <v>High</v>
      </c>
      <c r="P468">
        <f>tblComponents[Planned_Production_or_Procurement]</f>
        <v>6177</v>
      </c>
      <c r="Q468">
        <f t="shared" si="48"/>
        <v>0</v>
      </c>
      <c r="R468" t="str">
        <f t="shared" si="49"/>
        <v>High</v>
      </c>
      <c r="S468" t="str">
        <f t="shared" si="50"/>
        <v>Not Applicable</v>
      </c>
    </row>
    <row r="469" spans="1:19" x14ac:dyDescent="0.35">
      <c r="A469" s="12" t="str">
        <f>tblComponents[Component_ID]</f>
        <v>C468</v>
      </c>
      <c r="B469" s="12" t="str">
        <f>tblComponents[Component_Name]</f>
        <v>Component 468</v>
      </c>
      <c r="C469" t="str">
        <f>tblComponents[Sourcing_Type]</f>
        <v>Buy</v>
      </c>
      <c r="D469">
        <f>tblComponents[Forecast_Demand]</f>
        <v>967</v>
      </c>
      <c r="E469">
        <f>tblComponents[Selling_Price_Per_Unit]</f>
        <v>1483.49</v>
      </c>
      <c r="F469">
        <f>tblComponents[Variable_Cost_Per_Unit]</f>
        <v>899.24</v>
      </c>
      <c r="G469">
        <f>tblComponents[Direct_Labor_Cost_Per_Unit]</f>
        <v>0</v>
      </c>
      <c r="H469">
        <f>tblComponents[Contribution_Per_Unit]</f>
        <v>584.25</v>
      </c>
      <c r="I469">
        <f>tblComponents[Contribution_Margin]</f>
        <v>0.39379999999999998</v>
      </c>
      <c r="J469">
        <f>tblComponents[Actual_Cycle_Time_Min]/60</f>
        <v>0</v>
      </c>
      <c r="K469">
        <f t="shared" si="45"/>
        <v>0</v>
      </c>
      <c r="L469">
        <f>H469*tblComponents[Planned_Production_or_Procurement]</f>
        <v>52697597.25</v>
      </c>
      <c r="M469" t="str">
        <f t="shared" si="46"/>
        <v/>
      </c>
      <c r="N469" t="str">
        <f t="shared" si="47"/>
        <v>Not Applicable</v>
      </c>
      <c r="O469" t="str">
        <f>tblComponents[Criticality]</f>
        <v>Medium</v>
      </c>
      <c r="P469">
        <f>tblComponents[Planned_Production_or_Procurement]</f>
        <v>90197</v>
      </c>
      <c r="Q469">
        <f t="shared" si="48"/>
        <v>0</v>
      </c>
      <c r="R469" t="str">
        <f t="shared" si="49"/>
        <v>Medium</v>
      </c>
      <c r="S469" t="str">
        <f t="shared" si="50"/>
        <v>Not Applicable</v>
      </c>
    </row>
    <row r="470" spans="1:19" x14ac:dyDescent="0.35">
      <c r="A470" s="12" t="str">
        <f>tblComponents[Component_ID]</f>
        <v>C469</v>
      </c>
      <c r="B470" s="12" t="str">
        <f>tblComponents[Component_Name]</f>
        <v>Component 469</v>
      </c>
      <c r="C470" t="str">
        <f>tblComponents[Sourcing_Type]</f>
        <v>Buy</v>
      </c>
      <c r="D470">
        <f>tblComponents[Forecast_Demand]</f>
        <v>485</v>
      </c>
      <c r="E470">
        <f>tblComponents[Selling_Price_Per_Unit]</f>
        <v>1484.82</v>
      </c>
      <c r="F470">
        <f>tblComponents[Variable_Cost_Per_Unit]</f>
        <v>958.83</v>
      </c>
      <c r="G470">
        <f>tblComponents[Direct_Labor_Cost_Per_Unit]</f>
        <v>0</v>
      </c>
      <c r="H470">
        <f>tblComponents[Contribution_Per_Unit]</f>
        <v>525.99</v>
      </c>
      <c r="I470">
        <f>tblComponents[Contribution_Margin]</f>
        <v>0.35420000000000001</v>
      </c>
      <c r="J470">
        <f>tblComponents[Actual_Cycle_Time_Min]/60</f>
        <v>0</v>
      </c>
      <c r="K470">
        <f t="shared" si="45"/>
        <v>0</v>
      </c>
      <c r="L470">
        <f>H470*tblComponents[Planned_Production_or_Procurement]</f>
        <v>35737338.57</v>
      </c>
      <c r="M470" t="str">
        <f t="shared" si="46"/>
        <v/>
      </c>
      <c r="N470" t="str">
        <f t="shared" si="47"/>
        <v>Not Applicable</v>
      </c>
      <c r="O470" t="str">
        <f>tblComponents[Criticality]</f>
        <v>Medium</v>
      </c>
      <c r="P470">
        <f>tblComponents[Planned_Production_or_Procurement]</f>
        <v>67943</v>
      </c>
      <c r="Q470">
        <f t="shared" si="48"/>
        <v>0</v>
      </c>
      <c r="R470" t="str">
        <f t="shared" si="49"/>
        <v>Medium</v>
      </c>
      <c r="S470" t="str">
        <f t="shared" si="50"/>
        <v>Not Applicable</v>
      </c>
    </row>
    <row r="471" spans="1:19" x14ac:dyDescent="0.35">
      <c r="A471" s="12" t="str">
        <f>tblComponents[Component_ID]</f>
        <v>C470</v>
      </c>
      <c r="B471" s="12" t="str">
        <f>tblComponents[Component_Name]</f>
        <v>Component 470</v>
      </c>
      <c r="C471" t="str">
        <f>tblComponents[Sourcing_Type]</f>
        <v>Buy</v>
      </c>
      <c r="D471">
        <f>tblComponents[Forecast_Demand]</f>
        <v>837</v>
      </c>
      <c r="E471">
        <f>tblComponents[Selling_Price_Per_Unit]</f>
        <v>285.10000000000002</v>
      </c>
      <c r="F471">
        <f>tblComponents[Variable_Cost_Per_Unit]</f>
        <v>181.57</v>
      </c>
      <c r="G471">
        <f>tblComponents[Direct_Labor_Cost_Per_Unit]</f>
        <v>0</v>
      </c>
      <c r="H471">
        <f>tblComponents[Contribution_Per_Unit]</f>
        <v>103.53</v>
      </c>
      <c r="I471">
        <f>tblComponents[Contribution_Margin]</f>
        <v>0.36309999999999998</v>
      </c>
      <c r="J471">
        <f>tblComponents[Actual_Cycle_Time_Min]/60</f>
        <v>0</v>
      </c>
      <c r="K471">
        <f t="shared" si="45"/>
        <v>0</v>
      </c>
      <c r="L471">
        <f>H471*tblComponents[Planned_Production_or_Procurement]</f>
        <v>8379407.6100000003</v>
      </c>
      <c r="M471" t="str">
        <f t="shared" si="46"/>
        <v/>
      </c>
      <c r="N471" t="str">
        <f t="shared" si="47"/>
        <v>Not Applicable</v>
      </c>
      <c r="O471" t="str">
        <f>tblComponents[Criticality]</f>
        <v>High</v>
      </c>
      <c r="P471">
        <f>tblComponents[Planned_Production_or_Procurement]</f>
        <v>80937</v>
      </c>
      <c r="Q471">
        <f t="shared" si="48"/>
        <v>0</v>
      </c>
      <c r="R471" t="str">
        <f t="shared" si="49"/>
        <v>High</v>
      </c>
      <c r="S471" t="str">
        <f t="shared" si="50"/>
        <v>Not Applicable</v>
      </c>
    </row>
    <row r="472" spans="1:19" x14ac:dyDescent="0.35">
      <c r="A472" s="12" t="str">
        <f>tblComponents[Component_ID]</f>
        <v>C471</v>
      </c>
      <c r="B472" s="12" t="str">
        <f>tblComponents[Component_Name]</f>
        <v>Component 471</v>
      </c>
      <c r="C472" t="str">
        <f>tblComponents[Sourcing_Type]</f>
        <v>Buy</v>
      </c>
      <c r="D472">
        <f>tblComponents[Forecast_Demand]</f>
        <v>2835</v>
      </c>
      <c r="E472">
        <f>tblComponents[Selling_Price_Per_Unit]</f>
        <v>195.16</v>
      </c>
      <c r="F472">
        <f>tblComponents[Variable_Cost_Per_Unit]</f>
        <v>120.12</v>
      </c>
      <c r="G472">
        <f>tblComponents[Direct_Labor_Cost_Per_Unit]</f>
        <v>0</v>
      </c>
      <c r="H472">
        <f>tblComponents[Contribution_Per_Unit]</f>
        <v>75.040000000000006</v>
      </c>
      <c r="I472">
        <f>tblComponents[Contribution_Margin]</f>
        <v>0.38450000000000001</v>
      </c>
      <c r="J472">
        <f>tblComponents[Actual_Cycle_Time_Min]/60</f>
        <v>0</v>
      </c>
      <c r="K472">
        <f t="shared" si="45"/>
        <v>0</v>
      </c>
      <c r="L472">
        <f>H472*tblComponents[Planned_Production_or_Procurement]</f>
        <v>3483431.8400000003</v>
      </c>
      <c r="M472" t="str">
        <f t="shared" si="46"/>
        <v/>
      </c>
      <c r="N472" t="str">
        <f t="shared" si="47"/>
        <v>Not Applicable</v>
      </c>
      <c r="O472" t="str">
        <f>tblComponents[Criticality]</f>
        <v>Medium</v>
      </c>
      <c r="P472">
        <f>tblComponents[Planned_Production_or_Procurement]</f>
        <v>46421</v>
      </c>
      <c r="Q472">
        <f t="shared" si="48"/>
        <v>0</v>
      </c>
      <c r="R472" t="str">
        <f t="shared" si="49"/>
        <v>Medium</v>
      </c>
      <c r="S472" t="str">
        <f t="shared" si="50"/>
        <v>Not Applicable</v>
      </c>
    </row>
    <row r="473" spans="1:19" x14ac:dyDescent="0.35">
      <c r="A473" s="12" t="str">
        <f>tblComponents[Component_ID]</f>
        <v>C472</v>
      </c>
      <c r="B473" s="12" t="str">
        <f>tblComponents[Component_Name]</f>
        <v>Component 472</v>
      </c>
      <c r="C473" t="str">
        <f>tblComponents[Sourcing_Type]</f>
        <v>Buy</v>
      </c>
      <c r="D473">
        <f>tblComponents[Forecast_Demand]</f>
        <v>755</v>
      </c>
      <c r="E473">
        <f>tblComponents[Selling_Price_Per_Unit]</f>
        <v>630.62</v>
      </c>
      <c r="F473">
        <f>tblComponents[Variable_Cost_Per_Unit]</f>
        <v>522.61</v>
      </c>
      <c r="G473">
        <f>tblComponents[Direct_Labor_Cost_Per_Unit]</f>
        <v>0</v>
      </c>
      <c r="H473">
        <f>tblComponents[Contribution_Per_Unit]</f>
        <v>108.01</v>
      </c>
      <c r="I473">
        <f>tblComponents[Contribution_Margin]</f>
        <v>0.17130000000000001</v>
      </c>
      <c r="J473">
        <f>tblComponents[Actual_Cycle_Time_Min]/60</f>
        <v>0</v>
      </c>
      <c r="K473">
        <f t="shared" si="45"/>
        <v>0</v>
      </c>
      <c r="L473">
        <f>H473*tblComponents[Planned_Production_or_Procurement]</f>
        <v>8640691.9900000002</v>
      </c>
      <c r="M473" t="str">
        <f t="shared" si="46"/>
        <v/>
      </c>
      <c r="N473" t="str">
        <f t="shared" si="47"/>
        <v>Not Applicable</v>
      </c>
      <c r="O473" t="str">
        <f>tblComponents[Criticality]</f>
        <v>High</v>
      </c>
      <c r="P473">
        <f>tblComponents[Planned_Production_or_Procurement]</f>
        <v>79999</v>
      </c>
      <c r="Q473">
        <f t="shared" si="48"/>
        <v>0</v>
      </c>
      <c r="R473" t="str">
        <f t="shared" si="49"/>
        <v>High</v>
      </c>
      <c r="S473" t="str">
        <f t="shared" si="50"/>
        <v>Not Applicable</v>
      </c>
    </row>
    <row r="474" spans="1:19" x14ac:dyDescent="0.35">
      <c r="A474" s="12" t="str">
        <f>tblComponents[Component_ID]</f>
        <v>C473</v>
      </c>
      <c r="B474" s="12" t="str">
        <f>tblComponents[Component_Name]</f>
        <v>Component 473</v>
      </c>
      <c r="C474" t="str">
        <f>tblComponents[Sourcing_Type]</f>
        <v>Buy</v>
      </c>
      <c r="D474">
        <f>tblComponents[Forecast_Demand]</f>
        <v>546</v>
      </c>
      <c r="E474">
        <f>tblComponents[Selling_Price_Per_Unit]</f>
        <v>2403.9499999999998</v>
      </c>
      <c r="F474">
        <f>tblComponents[Variable_Cost_Per_Unit]</f>
        <v>1811.62</v>
      </c>
      <c r="G474">
        <f>tblComponents[Direct_Labor_Cost_Per_Unit]</f>
        <v>0</v>
      </c>
      <c r="H474">
        <f>tblComponents[Contribution_Per_Unit]</f>
        <v>592.33000000000004</v>
      </c>
      <c r="I474">
        <f>tblComponents[Contribution_Margin]</f>
        <v>0.24640000000000001</v>
      </c>
      <c r="J474">
        <f>tblComponents[Actual_Cycle_Time_Min]/60</f>
        <v>0</v>
      </c>
      <c r="K474">
        <f t="shared" si="45"/>
        <v>0</v>
      </c>
      <c r="L474">
        <f>H474*tblComponents[Planned_Production_or_Procurement]</f>
        <v>11574720.530000001</v>
      </c>
      <c r="M474" t="str">
        <f t="shared" si="46"/>
        <v/>
      </c>
      <c r="N474" t="str">
        <f t="shared" si="47"/>
        <v>Not Applicable</v>
      </c>
      <c r="O474" t="str">
        <f>tblComponents[Criticality]</f>
        <v>High</v>
      </c>
      <c r="P474">
        <f>tblComponents[Planned_Production_or_Procurement]</f>
        <v>19541</v>
      </c>
      <c r="Q474">
        <f t="shared" si="48"/>
        <v>0</v>
      </c>
      <c r="R474" t="str">
        <f t="shared" si="49"/>
        <v>High</v>
      </c>
      <c r="S474" t="str">
        <f t="shared" si="50"/>
        <v>Not Applicable</v>
      </c>
    </row>
    <row r="475" spans="1:19" x14ac:dyDescent="0.35">
      <c r="A475" s="12" t="str">
        <f>tblComponents[Component_ID]</f>
        <v>C474</v>
      </c>
      <c r="B475" s="12" t="str">
        <f>tblComponents[Component_Name]</f>
        <v>Component 474</v>
      </c>
      <c r="C475" t="str">
        <f>tblComponents[Sourcing_Type]</f>
        <v>Buy</v>
      </c>
      <c r="D475">
        <f>tblComponents[Forecast_Demand]</f>
        <v>1293</v>
      </c>
      <c r="E475">
        <f>tblComponents[Selling_Price_Per_Unit]</f>
        <v>1286.68</v>
      </c>
      <c r="F475">
        <f>tblComponents[Variable_Cost_Per_Unit]</f>
        <v>1070.83</v>
      </c>
      <c r="G475">
        <f>tblComponents[Direct_Labor_Cost_Per_Unit]</f>
        <v>0</v>
      </c>
      <c r="H475">
        <f>tblComponents[Contribution_Per_Unit]</f>
        <v>215.85</v>
      </c>
      <c r="I475">
        <f>tblComponents[Contribution_Margin]</f>
        <v>0.1678</v>
      </c>
      <c r="J475">
        <f>tblComponents[Actual_Cycle_Time_Min]/60</f>
        <v>0</v>
      </c>
      <c r="K475">
        <f t="shared" si="45"/>
        <v>0</v>
      </c>
      <c r="L475">
        <f>H475*tblComponents[Planned_Production_or_Procurement]</f>
        <v>7155427.5</v>
      </c>
      <c r="M475" t="str">
        <f t="shared" si="46"/>
        <v/>
      </c>
      <c r="N475" t="str">
        <f t="shared" si="47"/>
        <v>Not Applicable</v>
      </c>
      <c r="O475" t="str">
        <f>tblComponents[Criticality]</f>
        <v>Medium</v>
      </c>
      <c r="P475">
        <f>tblComponents[Planned_Production_or_Procurement]</f>
        <v>33150</v>
      </c>
      <c r="Q475">
        <f t="shared" si="48"/>
        <v>0</v>
      </c>
      <c r="R475" t="str">
        <f t="shared" si="49"/>
        <v>Medium</v>
      </c>
      <c r="S475" t="str">
        <f t="shared" si="50"/>
        <v>Not Applicable</v>
      </c>
    </row>
    <row r="476" spans="1:19" x14ac:dyDescent="0.35">
      <c r="A476" s="12" t="str">
        <f>tblComponents[Component_ID]</f>
        <v>C475</v>
      </c>
      <c r="B476" s="12" t="str">
        <f>tblComponents[Component_Name]</f>
        <v>Component 475</v>
      </c>
      <c r="C476" t="str">
        <f>tblComponents[Sourcing_Type]</f>
        <v>Buy</v>
      </c>
      <c r="D476">
        <f>tblComponents[Forecast_Demand]</f>
        <v>1169</v>
      </c>
      <c r="E476">
        <f>tblComponents[Selling_Price_Per_Unit]</f>
        <v>422.46</v>
      </c>
      <c r="F476">
        <f>tblComponents[Variable_Cost_Per_Unit]</f>
        <v>336.83</v>
      </c>
      <c r="G476">
        <f>tblComponents[Direct_Labor_Cost_Per_Unit]</f>
        <v>0</v>
      </c>
      <c r="H476">
        <f>tblComponents[Contribution_Per_Unit]</f>
        <v>85.63</v>
      </c>
      <c r="I476">
        <f>tblComponents[Contribution_Margin]</f>
        <v>0.20269999999999999</v>
      </c>
      <c r="J476">
        <f>tblComponents[Actual_Cycle_Time_Min]/60</f>
        <v>0</v>
      </c>
      <c r="K476">
        <f t="shared" si="45"/>
        <v>0</v>
      </c>
      <c r="L476">
        <f>H476*tblComponents[Planned_Production_or_Procurement]</f>
        <v>5924996.5899999999</v>
      </c>
      <c r="M476" t="str">
        <f t="shared" si="46"/>
        <v/>
      </c>
      <c r="N476" t="str">
        <f t="shared" si="47"/>
        <v>Not Applicable</v>
      </c>
      <c r="O476" t="str">
        <f>tblComponents[Criticality]</f>
        <v>Low</v>
      </c>
      <c r="P476">
        <f>tblComponents[Planned_Production_or_Procurement]</f>
        <v>69193</v>
      </c>
      <c r="Q476">
        <f t="shared" si="48"/>
        <v>0</v>
      </c>
      <c r="R476" t="str">
        <f t="shared" si="49"/>
        <v>Low</v>
      </c>
      <c r="S476" t="str">
        <f t="shared" si="50"/>
        <v>Not Applicable</v>
      </c>
    </row>
    <row r="477" spans="1:19" x14ac:dyDescent="0.35">
      <c r="A477" s="12" t="str">
        <f>tblComponents[Component_ID]</f>
        <v>C476</v>
      </c>
      <c r="B477" s="12" t="str">
        <f>tblComponents[Component_Name]</f>
        <v>Component 476</v>
      </c>
      <c r="C477" t="str">
        <f>tblComponents[Sourcing_Type]</f>
        <v>Buy</v>
      </c>
      <c r="D477">
        <f>tblComponents[Forecast_Demand]</f>
        <v>714</v>
      </c>
      <c r="E477">
        <f>tblComponents[Selling_Price_Per_Unit]</f>
        <v>1472.75</v>
      </c>
      <c r="F477">
        <f>tblComponents[Variable_Cost_Per_Unit]</f>
        <v>1167.3900000000001</v>
      </c>
      <c r="G477">
        <f>tblComponents[Direct_Labor_Cost_Per_Unit]</f>
        <v>0</v>
      </c>
      <c r="H477">
        <f>tblComponents[Contribution_Per_Unit]</f>
        <v>305.36</v>
      </c>
      <c r="I477">
        <f>tblComponents[Contribution_Margin]</f>
        <v>0.20730000000000001</v>
      </c>
      <c r="J477">
        <f>tblComponents[Actual_Cycle_Time_Min]/60</f>
        <v>0</v>
      </c>
      <c r="K477">
        <f t="shared" si="45"/>
        <v>0</v>
      </c>
      <c r="L477">
        <f>H477*tblComponents[Planned_Production_or_Procurement]</f>
        <v>11177092.08</v>
      </c>
      <c r="M477" t="str">
        <f t="shared" si="46"/>
        <v/>
      </c>
      <c r="N477" t="str">
        <f t="shared" si="47"/>
        <v>Not Applicable</v>
      </c>
      <c r="O477" t="str">
        <f>tblComponents[Criticality]</f>
        <v>Medium</v>
      </c>
      <c r="P477">
        <f>tblComponents[Planned_Production_or_Procurement]</f>
        <v>36603</v>
      </c>
      <c r="Q477">
        <f t="shared" si="48"/>
        <v>0</v>
      </c>
      <c r="R477" t="str">
        <f t="shared" si="49"/>
        <v>Medium</v>
      </c>
      <c r="S477" t="str">
        <f t="shared" si="50"/>
        <v>Not Applicable</v>
      </c>
    </row>
    <row r="478" spans="1:19" x14ac:dyDescent="0.35">
      <c r="A478" s="12" t="str">
        <f>tblComponents[Component_ID]</f>
        <v>C477</v>
      </c>
      <c r="B478" s="12" t="str">
        <f>tblComponents[Component_Name]</f>
        <v>Component 477</v>
      </c>
      <c r="C478" t="str">
        <f>tblComponents[Sourcing_Type]</f>
        <v>Buy</v>
      </c>
      <c r="D478">
        <f>tblComponents[Forecast_Demand]</f>
        <v>1526</v>
      </c>
      <c r="E478">
        <f>tblComponents[Selling_Price_Per_Unit]</f>
        <v>905.98</v>
      </c>
      <c r="F478">
        <f>tblComponents[Variable_Cost_Per_Unit]</f>
        <v>663.83</v>
      </c>
      <c r="G478">
        <f>tblComponents[Direct_Labor_Cost_Per_Unit]</f>
        <v>0</v>
      </c>
      <c r="H478">
        <f>tblComponents[Contribution_Per_Unit]</f>
        <v>242.15</v>
      </c>
      <c r="I478">
        <f>tblComponents[Contribution_Margin]</f>
        <v>0.26729999999999998</v>
      </c>
      <c r="J478">
        <f>tblComponents[Actual_Cycle_Time_Min]/60</f>
        <v>0</v>
      </c>
      <c r="K478">
        <f t="shared" si="45"/>
        <v>0</v>
      </c>
      <c r="L478">
        <f>H478*tblComponents[Planned_Production_or_Procurement]</f>
        <v>9290569.0500000007</v>
      </c>
      <c r="M478" t="str">
        <f t="shared" si="46"/>
        <v/>
      </c>
      <c r="N478" t="str">
        <f t="shared" si="47"/>
        <v>Not Applicable</v>
      </c>
      <c r="O478" t="str">
        <f>tblComponents[Criticality]</f>
        <v>Medium</v>
      </c>
      <c r="P478">
        <f>tblComponents[Planned_Production_or_Procurement]</f>
        <v>38367</v>
      </c>
      <c r="Q478">
        <f t="shared" si="48"/>
        <v>0</v>
      </c>
      <c r="R478" t="str">
        <f t="shared" si="49"/>
        <v>Medium</v>
      </c>
      <c r="S478" t="str">
        <f t="shared" si="50"/>
        <v>Not Applicable</v>
      </c>
    </row>
    <row r="479" spans="1:19" x14ac:dyDescent="0.35">
      <c r="A479" s="12" t="str">
        <f>tblComponents[Component_ID]</f>
        <v>C478</v>
      </c>
      <c r="B479" s="12" t="str">
        <f>tblComponents[Component_Name]</f>
        <v>Component 478</v>
      </c>
      <c r="C479" t="str">
        <f>tblComponents[Sourcing_Type]</f>
        <v>Buy</v>
      </c>
      <c r="D479">
        <f>tblComponents[Forecast_Demand]</f>
        <v>389</v>
      </c>
      <c r="E479">
        <f>tblComponents[Selling_Price_Per_Unit]</f>
        <v>2744.25</v>
      </c>
      <c r="F479">
        <f>tblComponents[Variable_Cost_Per_Unit]</f>
        <v>2148.36</v>
      </c>
      <c r="G479">
        <f>tblComponents[Direct_Labor_Cost_Per_Unit]</f>
        <v>0</v>
      </c>
      <c r="H479">
        <f>tblComponents[Contribution_Per_Unit]</f>
        <v>595.89</v>
      </c>
      <c r="I479">
        <f>tblComponents[Contribution_Margin]</f>
        <v>0.21709999999999999</v>
      </c>
      <c r="J479">
        <f>tblComponents[Actual_Cycle_Time_Min]/60</f>
        <v>0</v>
      </c>
      <c r="K479">
        <f t="shared" si="45"/>
        <v>0</v>
      </c>
      <c r="L479">
        <f>H479*tblComponents[Planned_Production_or_Procurement]</f>
        <v>13026155.4</v>
      </c>
      <c r="M479" t="str">
        <f t="shared" si="46"/>
        <v/>
      </c>
      <c r="N479" t="str">
        <f t="shared" si="47"/>
        <v>Not Applicable</v>
      </c>
      <c r="O479" t="str">
        <f>tblComponents[Criticality]</f>
        <v>Medium</v>
      </c>
      <c r="P479">
        <f>tblComponents[Planned_Production_or_Procurement]</f>
        <v>21860</v>
      </c>
      <c r="Q479">
        <f t="shared" si="48"/>
        <v>0</v>
      </c>
      <c r="R479" t="str">
        <f t="shared" si="49"/>
        <v>Medium</v>
      </c>
      <c r="S479" t="str">
        <f t="shared" si="50"/>
        <v>Not Applicable</v>
      </c>
    </row>
    <row r="480" spans="1:19" x14ac:dyDescent="0.35">
      <c r="A480" s="12" t="str">
        <f>tblComponents[Component_ID]</f>
        <v>C479</v>
      </c>
      <c r="B480" s="12" t="str">
        <f>tblComponents[Component_Name]</f>
        <v>Component 479</v>
      </c>
      <c r="C480" t="str">
        <f>tblComponents[Sourcing_Type]</f>
        <v>Buy</v>
      </c>
      <c r="D480">
        <f>tblComponents[Forecast_Demand]</f>
        <v>1334</v>
      </c>
      <c r="E480">
        <f>tblComponents[Selling_Price_Per_Unit]</f>
        <v>1133.0899999999999</v>
      </c>
      <c r="F480">
        <f>tblComponents[Variable_Cost_Per_Unit]</f>
        <v>934.52</v>
      </c>
      <c r="G480">
        <f>tblComponents[Direct_Labor_Cost_Per_Unit]</f>
        <v>0</v>
      </c>
      <c r="H480">
        <f>tblComponents[Contribution_Per_Unit]</f>
        <v>198.57</v>
      </c>
      <c r="I480">
        <f>tblComponents[Contribution_Margin]</f>
        <v>0.17519999999999999</v>
      </c>
      <c r="J480">
        <f>tblComponents[Actual_Cycle_Time_Min]/60</f>
        <v>0</v>
      </c>
      <c r="K480">
        <f t="shared" si="45"/>
        <v>0</v>
      </c>
      <c r="L480">
        <f>H480*tblComponents[Planned_Production_or_Procurement]</f>
        <v>4388397</v>
      </c>
      <c r="M480" t="str">
        <f t="shared" si="46"/>
        <v/>
      </c>
      <c r="N480" t="str">
        <f t="shared" si="47"/>
        <v>Not Applicable</v>
      </c>
      <c r="O480" t="str">
        <f>tblComponents[Criticality]</f>
        <v>Medium</v>
      </c>
      <c r="P480">
        <f>tblComponents[Planned_Production_or_Procurement]</f>
        <v>22100</v>
      </c>
      <c r="Q480">
        <f t="shared" si="48"/>
        <v>0</v>
      </c>
      <c r="R480" t="str">
        <f t="shared" si="49"/>
        <v>Medium</v>
      </c>
      <c r="S480" t="str">
        <f t="shared" si="50"/>
        <v>Not Applicable</v>
      </c>
    </row>
    <row r="481" spans="1:19" x14ac:dyDescent="0.35">
      <c r="A481" s="12" t="str">
        <f>tblComponents[Component_ID]</f>
        <v>C480</v>
      </c>
      <c r="B481" s="12" t="str">
        <f>tblComponents[Component_Name]</f>
        <v>Component 480</v>
      </c>
      <c r="C481" t="str">
        <f>tblComponents[Sourcing_Type]</f>
        <v>Buy</v>
      </c>
      <c r="D481">
        <f>tblComponents[Forecast_Demand]</f>
        <v>2466</v>
      </c>
      <c r="E481">
        <f>tblComponents[Selling_Price_Per_Unit]</f>
        <v>1543.14</v>
      </c>
      <c r="F481">
        <f>tblComponents[Variable_Cost_Per_Unit]</f>
        <v>1247.05</v>
      </c>
      <c r="G481">
        <f>tblComponents[Direct_Labor_Cost_Per_Unit]</f>
        <v>0</v>
      </c>
      <c r="H481">
        <f>tblComponents[Contribution_Per_Unit]</f>
        <v>296.08999999999997</v>
      </c>
      <c r="I481">
        <f>tblComponents[Contribution_Margin]</f>
        <v>0.19189999999999999</v>
      </c>
      <c r="J481">
        <f>tblComponents[Actual_Cycle_Time_Min]/60</f>
        <v>0</v>
      </c>
      <c r="K481">
        <f t="shared" si="45"/>
        <v>0</v>
      </c>
      <c r="L481">
        <f>H481*tblComponents[Planned_Production_or_Procurement]</f>
        <v>13729397.209999999</v>
      </c>
      <c r="M481" t="str">
        <f t="shared" si="46"/>
        <v/>
      </c>
      <c r="N481" t="str">
        <f t="shared" si="47"/>
        <v>Not Applicable</v>
      </c>
      <c r="O481" t="str">
        <f>tblComponents[Criticality]</f>
        <v>Medium</v>
      </c>
      <c r="P481">
        <f>tblComponents[Planned_Production_or_Procurement]</f>
        <v>46369</v>
      </c>
      <c r="Q481">
        <f t="shared" si="48"/>
        <v>0</v>
      </c>
      <c r="R481" t="str">
        <f t="shared" si="49"/>
        <v>Medium</v>
      </c>
      <c r="S481" t="str">
        <f t="shared" si="50"/>
        <v>Not Applicable</v>
      </c>
    </row>
    <row r="482" spans="1:19" x14ac:dyDescent="0.35">
      <c r="A482" s="12" t="str">
        <f>tblComponents[Component_ID]</f>
        <v>C481</v>
      </c>
      <c r="B482" s="12" t="str">
        <f>tblComponents[Component_Name]</f>
        <v>Component 481</v>
      </c>
      <c r="C482" t="str">
        <f>tblComponents[Sourcing_Type]</f>
        <v>Buy</v>
      </c>
      <c r="D482">
        <f>tblComponents[Forecast_Demand]</f>
        <v>138</v>
      </c>
      <c r="E482">
        <f>tblComponents[Selling_Price_Per_Unit]</f>
        <v>1260.2</v>
      </c>
      <c r="F482">
        <f>tblComponents[Variable_Cost_Per_Unit]</f>
        <v>1024.77</v>
      </c>
      <c r="G482">
        <f>tblComponents[Direct_Labor_Cost_Per_Unit]</f>
        <v>0</v>
      </c>
      <c r="H482">
        <f>tblComponents[Contribution_Per_Unit]</f>
        <v>235.43</v>
      </c>
      <c r="I482">
        <f>tblComponents[Contribution_Margin]</f>
        <v>0.18679999999999999</v>
      </c>
      <c r="J482">
        <f>tblComponents[Actual_Cycle_Time_Min]/60</f>
        <v>0</v>
      </c>
      <c r="K482">
        <f t="shared" si="45"/>
        <v>0</v>
      </c>
      <c r="L482">
        <f>H482*tblComponents[Planned_Production_or_Procurement]</f>
        <v>8390960.6300000008</v>
      </c>
      <c r="M482" t="str">
        <f t="shared" si="46"/>
        <v/>
      </c>
      <c r="N482" t="str">
        <f t="shared" si="47"/>
        <v>Not Applicable</v>
      </c>
      <c r="O482" t="str">
        <f>tblComponents[Criticality]</f>
        <v>High</v>
      </c>
      <c r="P482">
        <f>tblComponents[Planned_Production_or_Procurement]</f>
        <v>35641</v>
      </c>
      <c r="Q482">
        <f t="shared" si="48"/>
        <v>0</v>
      </c>
      <c r="R482" t="str">
        <f t="shared" si="49"/>
        <v>High</v>
      </c>
      <c r="S482" t="str">
        <f t="shared" si="50"/>
        <v>Not Applicable</v>
      </c>
    </row>
    <row r="483" spans="1:19" x14ac:dyDescent="0.35">
      <c r="A483" s="12" t="str">
        <f>tblComponents[Component_ID]</f>
        <v>C482</v>
      </c>
      <c r="B483" s="12" t="str">
        <f>tblComponents[Component_Name]</f>
        <v>Component 482</v>
      </c>
      <c r="C483" t="str">
        <f>tblComponents[Sourcing_Type]</f>
        <v>Buy</v>
      </c>
      <c r="D483">
        <f>tblComponents[Forecast_Demand]</f>
        <v>310</v>
      </c>
      <c r="E483">
        <f>tblComponents[Selling_Price_Per_Unit]</f>
        <v>764.84</v>
      </c>
      <c r="F483">
        <f>tblComponents[Variable_Cost_Per_Unit]</f>
        <v>464.05</v>
      </c>
      <c r="G483">
        <f>tblComponents[Direct_Labor_Cost_Per_Unit]</f>
        <v>0</v>
      </c>
      <c r="H483">
        <f>tblComponents[Contribution_Per_Unit]</f>
        <v>300.79000000000002</v>
      </c>
      <c r="I483">
        <f>tblComponents[Contribution_Margin]</f>
        <v>0.39329999999999998</v>
      </c>
      <c r="J483">
        <f>tblComponents[Actual_Cycle_Time_Min]/60</f>
        <v>0</v>
      </c>
      <c r="K483">
        <f t="shared" si="45"/>
        <v>0</v>
      </c>
      <c r="L483">
        <f>H483*tblComponents[Planned_Production_or_Procurement]</f>
        <v>26380486.16</v>
      </c>
      <c r="M483" t="str">
        <f t="shared" si="46"/>
        <v/>
      </c>
      <c r="N483" t="str">
        <f t="shared" si="47"/>
        <v>Not Applicable</v>
      </c>
      <c r="O483" t="str">
        <f>tblComponents[Criticality]</f>
        <v>Low</v>
      </c>
      <c r="P483">
        <f>tblComponents[Planned_Production_or_Procurement]</f>
        <v>87704</v>
      </c>
      <c r="Q483">
        <f t="shared" si="48"/>
        <v>0</v>
      </c>
      <c r="R483" t="str">
        <f t="shared" si="49"/>
        <v>Low</v>
      </c>
      <c r="S483" t="str">
        <f t="shared" si="50"/>
        <v>Not Applicable</v>
      </c>
    </row>
    <row r="484" spans="1:19" x14ac:dyDescent="0.35">
      <c r="A484" s="12" t="str">
        <f>tblComponents[Component_ID]</f>
        <v>C483</v>
      </c>
      <c r="B484" s="12" t="str">
        <f>tblComponents[Component_Name]</f>
        <v>Component 483</v>
      </c>
      <c r="C484" t="str">
        <f>tblComponents[Sourcing_Type]</f>
        <v>Buy</v>
      </c>
      <c r="D484">
        <f>tblComponents[Forecast_Demand]</f>
        <v>1198</v>
      </c>
      <c r="E484">
        <f>tblComponents[Selling_Price_Per_Unit]</f>
        <v>393.26</v>
      </c>
      <c r="F484">
        <f>tblComponents[Variable_Cost_Per_Unit]</f>
        <v>259.62</v>
      </c>
      <c r="G484">
        <f>tblComponents[Direct_Labor_Cost_Per_Unit]</f>
        <v>0</v>
      </c>
      <c r="H484">
        <f>tblComponents[Contribution_Per_Unit]</f>
        <v>133.63999999999999</v>
      </c>
      <c r="I484">
        <f>tblComponents[Contribution_Margin]</f>
        <v>0.33979999999999999</v>
      </c>
      <c r="J484">
        <f>tblComponents[Actual_Cycle_Time_Min]/60</f>
        <v>0</v>
      </c>
      <c r="K484">
        <f t="shared" si="45"/>
        <v>0</v>
      </c>
      <c r="L484">
        <f>H484*tblComponents[Planned_Production_or_Procurement]</f>
        <v>8674572.3999999985</v>
      </c>
      <c r="M484" t="str">
        <f t="shared" si="46"/>
        <v/>
      </c>
      <c r="N484" t="str">
        <f t="shared" si="47"/>
        <v>Not Applicable</v>
      </c>
      <c r="O484" t="str">
        <f>tblComponents[Criticality]</f>
        <v>Critical</v>
      </c>
      <c r="P484">
        <f>tblComponents[Planned_Production_or_Procurement]</f>
        <v>64910</v>
      </c>
      <c r="Q484">
        <f t="shared" si="48"/>
        <v>0</v>
      </c>
      <c r="R484" t="str">
        <f t="shared" si="49"/>
        <v>Critical</v>
      </c>
      <c r="S484" t="str">
        <f t="shared" si="50"/>
        <v>Not Applicable</v>
      </c>
    </row>
    <row r="485" spans="1:19" x14ac:dyDescent="0.35">
      <c r="A485" s="12" t="str">
        <f>tblComponents[Component_ID]</f>
        <v>C484</v>
      </c>
      <c r="B485" s="12" t="str">
        <f>tblComponents[Component_Name]</f>
        <v>Component 484</v>
      </c>
      <c r="C485" t="str">
        <f>tblComponents[Sourcing_Type]</f>
        <v>Buy</v>
      </c>
      <c r="D485">
        <f>tblComponents[Forecast_Demand]</f>
        <v>1258</v>
      </c>
      <c r="E485">
        <f>tblComponents[Selling_Price_Per_Unit]</f>
        <v>298.11</v>
      </c>
      <c r="F485">
        <f>tblComponents[Variable_Cost_Per_Unit]</f>
        <v>181.27</v>
      </c>
      <c r="G485">
        <f>tblComponents[Direct_Labor_Cost_Per_Unit]</f>
        <v>0</v>
      </c>
      <c r="H485">
        <f>tblComponents[Contribution_Per_Unit]</f>
        <v>116.84</v>
      </c>
      <c r="I485">
        <f>tblComponents[Contribution_Margin]</f>
        <v>0.39190000000000003</v>
      </c>
      <c r="J485">
        <f>tblComponents[Actual_Cycle_Time_Min]/60</f>
        <v>0</v>
      </c>
      <c r="K485">
        <f t="shared" si="45"/>
        <v>0</v>
      </c>
      <c r="L485">
        <f>H485*tblComponents[Planned_Production_or_Procurement]</f>
        <v>4715662.4000000004</v>
      </c>
      <c r="M485" t="str">
        <f t="shared" si="46"/>
        <v/>
      </c>
      <c r="N485" t="str">
        <f t="shared" si="47"/>
        <v>Not Applicable</v>
      </c>
      <c r="O485" t="str">
        <f>tblComponents[Criticality]</f>
        <v>High</v>
      </c>
      <c r="P485">
        <f>tblComponents[Planned_Production_or_Procurement]</f>
        <v>40360</v>
      </c>
      <c r="Q485">
        <f t="shared" si="48"/>
        <v>0</v>
      </c>
      <c r="R485" t="str">
        <f t="shared" si="49"/>
        <v>High</v>
      </c>
      <c r="S485" t="str">
        <f t="shared" si="50"/>
        <v>Not Applicable</v>
      </c>
    </row>
    <row r="486" spans="1:19" x14ac:dyDescent="0.35">
      <c r="A486" s="12" t="str">
        <f>tblComponents[Component_ID]</f>
        <v>C485</v>
      </c>
      <c r="B486" s="12" t="str">
        <f>tblComponents[Component_Name]</f>
        <v>Component 485</v>
      </c>
      <c r="C486" t="str">
        <f>tblComponents[Sourcing_Type]</f>
        <v>Buy</v>
      </c>
      <c r="D486">
        <f>tblComponents[Forecast_Demand]</f>
        <v>502</v>
      </c>
      <c r="E486">
        <f>tblComponents[Selling_Price_Per_Unit]</f>
        <v>1345.42</v>
      </c>
      <c r="F486">
        <f>tblComponents[Variable_Cost_Per_Unit]</f>
        <v>995.7</v>
      </c>
      <c r="G486">
        <f>tblComponents[Direct_Labor_Cost_Per_Unit]</f>
        <v>0</v>
      </c>
      <c r="H486">
        <f>tblComponents[Contribution_Per_Unit]</f>
        <v>349.72</v>
      </c>
      <c r="I486">
        <f>tblComponents[Contribution_Margin]</f>
        <v>0.25990000000000002</v>
      </c>
      <c r="J486">
        <f>tblComponents[Actual_Cycle_Time_Min]/60</f>
        <v>0</v>
      </c>
      <c r="K486">
        <f t="shared" si="45"/>
        <v>0</v>
      </c>
      <c r="L486">
        <f>H486*tblComponents[Planned_Production_or_Procurement]</f>
        <v>17408012.440000001</v>
      </c>
      <c r="M486" t="str">
        <f t="shared" si="46"/>
        <v/>
      </c>
      <c r="N486" t="str">
        <f t="shared" si="47"/>
        <v>Not Applicable</v>
      </c>
      <c r="O486" t="str">
        <f>tblComponents[Criticality]</f>
        <v>High</v>
      </c>
      <c r="P486">
        <f>tblComponents[Planned_Production_or_Procurement]</f>
        <v>49777</v>
      </c>
      <c r="Q486">
        <f t="shared" si="48"/>
        <v>0</v>
      </c>
      <c r="R486" t="str">
        <f t="shared" si="49"/>
        <v>High</v>
      </c>
      <c r="S486" t="str">
        <f t="shared" si="50"/>
        <v>Not Applicable</v>
      </c>
    </row>
    <row r="487" spans="1:19" x14ac:dyDescent="0.35">
      <c r="A487" s="12" t="str">
        <f>tblComponents[Component_ID]</f>
        <v>C486</v>
      </c>
      <c r="B487" s="12" t="str">
        <f>tblComponents[Component_Name]</f>
        <v>Component 486</v>
      </c>
      <c r="C487" t="str">
        <f>tblComponents[Sourcing_Type]</f>
        <v>Buy</v>
      </c>
      <c r="D487">
        <f>tblComponents[Forecast_Demand]</f>
        <v>1504</v>
      </c>
      <c r="E487">
        <f>tblComponents[Selling_Price_Per_Unit]</f>
        <v>873.35</v>
      </c>
      <c r="F487">
        <f>tblComponents[Variable_Cost_Per_Unit]</f>
        <v>681.57</v>
      </c>
      <c r="G487">
        <f>tblComponents[Direct_Labor_Cost_Per_Unit]</f>
        <v>0</v>
      </c>
      <c r="H487">
        <f>tblComponents[Contribution_Per_Unit]</f>
        <v>191.78</v>
      </c>
      <c r="I487">
        <f>tblComponents[Contribution_Margin]</f>
        <v>0.21959999999999999</v>
      </c>
      <c r="J487">
        <f>tblComponents[Actual_Cycle_Time_Min]/60</f>
        <v>0</v>
      </c>
      <c r="K487">
        <f t="shared" si="45"/>
        <v>0</v>
      </c>
      <c r="L487">
        <f>H487*tblComponents[Planned_Production_or_Procurement]</f>
        <v>9329138.0999999996</v>
      </c>
      <c r="M487" t="str">
        <f t="shared" si="46"/>
        <v/>
      </c>
      <c r="N487" t="str">
        <f t="shared" si="47"/>
        <v>Not Applicable</v>
      </c>
      <c r="O487" t="str">
        <f>tblComponents[Criticality]</f>
        <v>High</v>
      </c>
      <c r="P487">
        <f>tblComponents[Planned_Production_or_Procurement]</f>
        <v>48645</v>
      </c>
      <c r="Q487">
        <f t="shared" si="48"/>
        <v>0</v>
      </c>
      <c r="R487" t="str">
        <f t="shared" si="49"/>
        <v>High</v>
      </c>
      <c r="S487" t="str">
        <f t="shared" si="50"/>
        <v>Not Applicable</v>
      </c>
    </row>
    <row r="488" spans="1:19" x14ac:dyDescent="0.35">
      <c r="A488" s="12" t="str">
        <f>tblComponents[Component_ID]</f>
        <v>C487</v>
      </c>
      <c r="B488" s="12" t="str">
        <f>tblComponents[Component_Name]</f>
        <v>Component 487</v>
      </c>
      <c r="C488" t="str">
        <f>tblComponents[Sourcing_Type]</f>
        <v>Buy</v>
      </c>
      <c r="D488">
        <f>tblComponents[Forecast_Demand]</f>
        <v>1445</v>
      </c>
      <c r="E488">
        <f>tblComponents[Selling_Price_Per_Unit]</f>
        <v>1679.87</v>
      </c>
      <c r="F488">
        <f>tblComponents[Variable_Cost_Per_Unit]</f>
        <v>1092.6300000000001</v>
      </c>
      <c r="G488">
        <f>tblComponents[Direct_Labor_Cost_Per_Unit]</f>
        <v>0</v>
      </c>
      <c r="H488">
        <f>tblComponents[Contribution_Per_Unit]</f>
        <v>587.24</v>
      </c>
      <c r="I488">
        <f>tblComponents[Contribution_Margin]</f>
        <v>0.34960000000000002</v>
      </c>
      <c r="J488">
        <f>tblComponents[Actual_Cycle_Time_Min]/60</f>
        <v>0</v>
      </c>
      <c r="K488">
        <f t="shared" si="45"/>
        <v>0</v>
      </c>
      <c r="L488">
        <f>H488*tblComponents[Planned_Production_or_Procurement]</f>
        <v>16562516.960000001</v>
      </c>
      <c r="M488" t="str">
        <f t="shared" si="46"/>
        <v/>
      </c>
      <c r="N488" t="str">
        <f t="shared" si="47"/>
        <v>Not Applicable</v>
      </c>
      <c r="O488" t="str">
        <f>tblComponents[Criticality]</f>
        <v>Low</v>
      </c>
      <c r="P488">
        <f>tblComponents[Planned_Production_or_Procurement]</f>
        <v>28204</v>
      </c>
      <c r="Q488">
        <f t="shared" si="48"/>
        <v>0</v>
      </c>
      <c r="R488" t="str">
        <f t="shared" si="49"/>
        <v>Low</v>
      </c>
      <c r="S488" t="str">
        <f t="shared" si="50"/>
        <v>Not Applicable</v>
      </c>
    </row>
    <row r="489" spans="1:19" x14ac:dyDescent="0.35">
      <c r="A489" s="12" t="str">
        <f>tblComponents[Component_ID]</f>
        <v>C488</v>
      </c>
      <c r="B489" s="12" t="str">
        <f>tblComponents[Component_Name]</f>
        <v>Component 488</v>
      </c>
      <c r="C489" t="str">
        <f>tblComponents[Sourcing_Type]</f>
        <v>Buy</v>
      </c>
      <c r="D489">
        <f>tblComponents[Forecast_Demand]</f>
        <v>926</v>
      </c>
      <c r="E489">
        <f>tblComponents[Selling_Price_Per_Unit]</f>
        <v>2466.54</v>
      </c>
      <c r="F489">
        <f>tblComponents[Variable_Cost_Per_Unit]</f>
        <v>1895.38</v>
      </c>
      <c r="G489">
        <f>tblComponents[Direct_Labor_Cost_Per_Unit]</f>
        <v>0</v>
      </c>
      <c r="H489">
        <f>tblComponents[Contribution_Per_Unit]</f>
        <v>571.16</v>
      </c>
      <c r="I489">
        <f>tblComponents[Contribution_Margin]</f>
        <v>0.2316</v>
      </c>
      <c r="J489">
        <f>tblComponents[Actual_Cycle_Time_Min]/60</f>
        <v>0</v>
      </c>
      <c r="K489">
        <f t="shared" si="45"/>
        <v>0</v>
      </c>
      <c r="L489">
        <f>H489*tblComponents[Planned_Production_or_Procurement]</f>
        <v>15978772.159999998</v>
      </c>
      <c r="M489" t="str">
        <f t="shared" si="46"/>
        <v/>
      </c>
      <c r="N489" t="str">
        <f t="shared" si="47"/>
        <v>Not Applicable</v>
      </c>
      <c r="O489" t="str">
        <f>tblComponents[Criticality]</f>
        <v>Medium</v>
      </c>
      <c r="P489">
        <f>tblComponents[Planned_Production_or_Procurement]</f>
        <v>27976</v>
      </c>
      <c r="Q489">
        <f t="shared" si="48"/>
        <v>0</v>
      </c>
      <c r="R489" t="str">
        <f t="shared" si="49"/>
        <v>Medium</v>
      </c>
      <c r="S489" t="str">
        <f t="shared" si="50"/>
        <v>Not Applicable</v>
      </c>
    </row>
    <row r="490" spans="1:19" x14ac:dyDescent="0.35">
      <c r="A490" s="12" t="str">
        <f>tblComponents[Component_ID]</f>
        <v>C489</v>
      </c>
      <c r="B490" s="12" t="str">
        <f>tblComponents[Component_Name]</f>
        <v>Component 489</v>
      </c>
      <c r="C490" t="str">
        <f>tblComponents[Sourcing_Type]</f>
        <v>Buy</v>
      </c>
      <c r="D490">
        <f>tblComponents[Forecast_Demand]</f>
        <v>697</v>
      </c>
      <c r="E490">
        <f>tblComponents[Selling_Price_Per_Unit]</f>
        <v>1228.5899999999999</v>
      </c>
      <c r="F490">
        <f>tblComponents[Variable_Cost_Per_Unit]</f>
        <v>952.35</v>
      </c>
      <c r="G490">
        <f>tblComponents[Direct_Labor_Cost_Per_Unit]</f>
        <v>0</v>
      </c>
      <c r="H490">
        <f>tblComponents[Contribution_Per_Unit]</f>
        <v>276.24</v>
      </c>
      <c r="I490">
        <f>tblComponents[Contribution_Margin]</f>
        <v>0.2248</v>
      </c>
      <c r="J490">
        <f>tblComponents[Actual_Cycle_Time_Min]/60</f>
        <v>0</v>
      </c>
      <c r="K490">
        <f t="shared" si="45"/>
        <v>0</v>
      </c>
      <c r="L490">
        <f>H490*tblComponents[Planned_Production_or_Procurement]</f>
        <v>13480512</v>
      </c>
      <c r="M490" t="str">
        <f t="shared" si="46"/>
        <v/>
      </c>
      <c r="N490" t="str">
        <f t="shared" si="47"/>
        <v>Not Applicable</v>
      </c>
      <c r="O490" t="str">
        <f>tblComponents[Criticality]</f>
        <v>High</v>
      </c>
      <c r="P490">
        <f>tblComponents[Planned_Production_or_Procurement]</f>
        <v>48800</v>
      </c>
      <c r="Q490">
        <f t="shared" si="48"/>
        <v>0</v>
      </c>
      <c r="R490" t="str">
        <f t="shared" si="49"/>
        <v>High</v>
      </c>
      <c r="S490" t="str">
        <f t="shared" si="50"/>
        <v>Not Applicable</v>
      </c>
    </row>
    <row r="491" spans="1:19" x14ac:dyDescent="0.35">
      <c r="A491" s="12" t="str">
        <f>tblComponents[Component_ID]</f>
        <v>C490</v>
      </c>
      <c r="B491" s="12" t="str">
        <f>tblComponents[Component_Name]</f>
        <v>Component 490</v>
      </c>
      <c r="C491" t="str">
        <f>tblComponents[Sourcing_Type]</f>
        <v>Buy</v>
      </c>
      <c r="D491">
        <f>tblComponents[Forecast_Demand]</f>
        <v>498</v>
      </c>
      <c r="E491">
        <f>tblComponents[Selling_Price_Per_Unit]</f>
        <v>2136.5</v>
      </c>
      <c r="F491">
        <f>tblComponents[Variable_Cost_Per_Unit]</f>
        <v>1691.84</v>
      </c>
      <c r="G491">
        <f>tblComponents[Direct_Labor_Cost_Per_Unit]</f>
        <v>0</v>
      </c>
      <c r="H491">
        <f>tblComponents[Contribution_Per_Unit]</f>
        <v>444.66</v>
      </c>
      <c r="I491">
        <f>tblComponents[Contribution_Margin]</f>
        <v>0.20810000000000001</v>
      </c>
      <c r="J491">
        <f>tblComponents[Actual_Cycle_Time_Min]/60</f>
        <v>0</v>
      </c>
      <c r="K491">
        <f t="shared" si="45"/>
        <v>0</v>
      </c>
      <c r="L491">
        <f>H491*tblComponents[Planned_Production_or_Procurement]</f>
        <v>22528698.900000002</v>
      </c>
      <c r="M491" t="str">
        <f t="shared" si="46"/>
        <v/>
      </c>
      <c r="N491" t="str">
        <f t="shared" si="47"/>
        <v>Not Applicable</v>
      </c>
      <c r="O491" t="str">
        <f>tblComponents[Criticality]</f>
        <v>High</v>
      </c>
      <c r="P491">
        <f>tblComponents[Planned_Production_or_Procurement]</f>
        <v>50665</v>
      </c>
      <c r="Q491">
        <f t="shared" si="48"/>
        <v>0</v>
      </c>
      <c r="R491" t="str">
        <f t="shared" si="49"/>
        <v>High</v>
      </c>
      <c r="S491" t="str">
        <f t="shared" si="50"/>
        <v>Not Applicable</v>
      </c>
    </row>
    <row r="492" spans="1:19" x14ac:dyDescent="0.35">
      <c r="A492" s="12" t="str">
        <f>tblComponents[Component_ID]</f>
        <v>C491</v>
      </c>
      <c r="B492" s="12" t="str">
        <f>tblComponents[Component_Name]</f>
        <v>Component 491</v>
      </c>
      <c r="C492" t="str">
        <f>tblComponents[Sourcing_Type]</f>
        <v>Buy</v>
      </c>
      <c r="D492">
        <f>tblComponents[Forecast_Demand]</f>
        <v>688</v>
      </c>
      <c r="E492">
        <f>tblComponents[Selling_Price_Per_Unit]</f>
        <v>1105.9000000000001</v>
      </c>
      <c r="F492">
        <f>tblComponents[Variable_Cost_Per_Unit]</f>
        <v>904.16</v>
      </c>
      <c r="G492">
        <f>tblComponents[Direct_Labor_Cost_Per_Unit]</f>
        <v>0</v>
      </c>
      <c r="H492">
        <f>tblComponents[Contribution_Per_Unit]</f>
        <v>201.74</v>
      </c>
      <c r="I492">
        <f>tblComponents[Contribution_Margin]</f>
        <v>0.18240000000000001</v>
      </c>
      <c r="J492">
        <f>tblComponents[Actual_Cycle_Time_Min]/60</f>
        <v>0</v>
      </c>
      <c r="K492">
        <f t="shared" si="45"/>
        <v>0</v>
      </c>
      <c r="L492">
        <f>H492*tblComponents[Planned_Production_or_Procurement]</f>
        <v>6288235.8000000007</v>
      </c>
      <c r="M492" t="str">
        <f t="shared" si="46"/>
        <v/>
      </c>
      <c r="N492" t="str">
        <f t="shared" si="47"/>
        <v>Not Applicable</v>
      </c>
      <c r="O492" t="str">
        <f>tblComponents[Criticality]</f>
        <v>High</v>
      </c>
      <c r="P492">
        <f>tblComponents[Planned_Production_or_Procurement]</f>
        <v>31170</v>
      </c>
      <c r="Q492">
        <f t="shared" si="48"/>
        <v>0</v>
      </c>
      <c r="R492" t="str">
        <f t="shared" si="49"/>
        <v>High</v>
      </c>
      <c r="S492" t="str">
        <f t="shared" si="50"/>
        <v>Not Applicable</v>
      </c>
    </row>
    <row r="493" spans="1:19" x14ac:dyDescent="0.35">
      <c r="A493" s="12" t="str">
        <f>tblComponents[Component_ID]</f>
        <v>C492</v>
      </c>
      <c r="B493" s="12" t="str">
        <f>tblComponents[Component_Name]</f>
        <v>Component 492</v>
      </c>
      <c r="C493" t="str">
        <f>tblComponents[Sourcing_Type]</f>
        <v>Buy</v>
      </c>
      <c r="D493">
        <f>tblComponents[Forecast_Demand]</f>
        <v>256</v>
      </c>
      <c r="E493">
        <f>tblComponents[Selling_Price_Per_Unit]</f>
        <v>1809.11</v>
      </c>
      <c r="F493">
        <f>tblComponents[Variable_Cost_Per_Unit]</f>
        <v>1421.75</v>
      </c>
      <c r="G493">
        <f>tblComponents[Direct_Labor_Cost_Per_Unit]</f>
        <v>0</v>
      </c>
      <c r="H493">
        <f>tblComponents[Contribution_Per_Unit]</f>
        <v>387.36</v>
      </c>
      <c r="I493">
        <f>tblComponents[Contribution_Margin]</f>
        <v>0.21410000000000001</v>
      </c>
      <c r="J493">
        <f>tblComponents[Actual_Cycle_Time_Min]/60</f>
        <v>0</v>
      </c>
      <c r="K493">
        <f t="shared" si="45"/>
        <v>0</v>
      </c>
      <c r="L493">
        <f>H493*tblComponents[Planned_Production_or_Procurement]</f>
        <v>20783800.800000001</v>
      </c>
      <c r="M493" t="str">
        <f t="shared" si="46"/>
        <v/>
      </c>
      <c r="N493" t="str">
        <f t="shared" si="47"/>
        <v>Not Applicable</v>
      </c>
      <c r="O493" t="str">
        <f>tblComponents[Criticality]</f>
        <v>High</v>
      </c>
      <c r="P493">
        <f>tblComponents[Planned_Production_or_Procurement]</f>
        <v>53655</v>
      </c>
      <c r="Q493">
        <f t="shared" si="48"/>
        <v>0</v>
      </c>
      <c r="R493" t="str">
        <f t="shared" si="49"/>
        <v>High</v>
      </c>
      <c r="S493" t="str">
        <f t="shared" si="50"/>
        <v>Not Applicable</v>
      </c>
    </row>
    <row r="494" spans="1:19" x14ac:dyDescent="0.35">
      <c r="A494" s="12" t="str">
        <f>tblComponents[Component_ID]</f>
        <v>C493</v>
      </c>
      <c r="B494" s="12" t="str">
        <f>tblComponents[Component_Name]</f>
        <v>Component 493</v>
      </c>
      <c r="C494" t="str">
        <f>tblComponents[Sourcing_Type]</f>
        <v>Buy</v>
      </c>
      <c r="D494">
        <f>tblComponents[Forecast_Demand]</f>
        <v>1710</v>
      </c>
      <c r="E494">
        <f>tblComponents[Selling_Price_Per_Unit]</f>
        <v>485.44</v>
      </c>
      <c r="F494">
        <f>tblComponents[Variable_Cost_Per_Unit]</f>
        <v>369.5</v>
      </c>
      <c r="G494">
        <f>tblComponents[Direct_Labor_Cost_Per_Unit]</f>
        <v>0</v>
      </c>
      <c r="H494">
        <f>tblComponents[Contribution_Per_Unit]</f>
        <v>115.94</v>
      </c>
      <c r="I494">
        <f>tblComponents[Contribution_Margin]</f>
        <v>0.23880000000000001</v>
      </c>
      <c r="J494">
        <f>tblComponents[Actual_Cycle_Time_Min]/60</f>
        <v>0</v>
      </c>
      <c r="K494">
        <f t="shared" si="45"/>
        <v>0</v>
      </c>
      <c r="L494">
        <f>H494*tblComponents[Planned_Production_or_Procurement]</f>
        <v>3732920.1799999997</v>
      </c>
      <c r="M494" t="str">
        <f t="shared" si="46"/>
        <v/>
      </c>
      <c r="N494" t="str">
        <f t="shared" si="47"/>
        <v>Not Applicable</v>
      </c>
      <c r="O494" t="str">
        <f>tblComponents[Criticality]</f>
        <v>Medium</v>
      </c>
      <c r="P494">
        <f>tblComponents[Planned_Production_or_Procurement]</f>
        <v>32197</v>
      </c>
      <c r="Q494">
        <f t="shared" si="48"/>
        <v>0</v>
      </c>
      <c r="R494" t="str">
        <f t="shared" si="49"/>
        <v>Medium</v>
      </c>
      <c r="S494" t="str">
        <f t="shared" si="50"/>
        <v>Not Applicable</v>
      </c>
    </row>
    <row r="495" spans="1:19" x14ac:dyDescent="0.35">
      <c r="A495" s="12" t="str">
        <f>tblComponents[Component_ID]</f>
        <v>C494</v>
      </c>
      <c r="B495" s="12" t="str">
        <f>tblComponents[Component_Name]</f>
        <v>Component 494</v>
      </c>
      <c r="C495" t="str">
        <f>tblComponents[Sourcing_Type]</f>
        <v>Buy</v>
      </c>
      <c r="D495">
        <f>tblComponents[Forecast_Demand]</f>
        <v>1468</v>
      </c>
      <c r="E495">
        <f>tblComponents[Selling_Price_Per_Unit]</f>
        <v>933.91</v>
      </c>
      <c r="F495">
        <f>tblComponents[Variable_Cost_Per_Unit]</f>
        <v>636.46</v>
      </c>
      <c r="G495">
        <f>tblComponents[Direct_Labor_Cost_Per_Unit]</f>
        <v>0</v>
      </c>
      <c r="H495">
        <f>tblComponents[Contribution_Per_Unit]</f>
        <v>297.45</v>
      </c>
      <c r="I495">
        <f>tblComponents[Contribution_Margin]</f>
        <v>0.31850000000000001</v>
      </c>
      <c r="J495">
        <f>tblComponents[Actual_Cycle_Time_Min]/60</f>
        <v>0</v>
      </c>
      <c r="K495">
        <f t="shared" si="45"/>
        <v>0</v>
      </c>
      <c r="L495">
        <f>H495*tblComponents[Planned_Production_or_Procurement]</f>
        <v>26934097.5</v>
      </c>
      <c r="M495" t="str">
        <f t="shared" si="46"/>
        <v/>
      </c>
      <c r="N495" t="str">
        <f t="shared" si="47"/>
        <v>Not Applicable</v>
      </c>
      <c r="O495" t="str">
        <f>tblComponents[Criticality]</f>
        <v>Medium</v>
      </c>
      <c r="P495">
        <f>tblComponents[Planned_Production_or_Procurement]</f>
        <v>90550</v>
      </c>
      <c r="Q495">
        <f t="shared" si="48"/>
        <v>0</v>
      </c>
      <c r="R495" t="str">
        <f t="shared" si="49"/>
        <v>Medium</v>
      </c>
      <c r="S495" t="str">
        <f t="shared" si="50"/>
        <v>Not Applicable</v>
      </c>
    </row>
    <row r="496" spans="1:19" x14ac:dyDescent="0.35">
      <c r="A496" s="12" t="str">
        <f>tblComponents[Component_ID]</f>
        <v>C495</v>
      </c>
      <c r="B496" s="12" t="str">
        <f>tblComponents[Component_Name]</f>
        <v>Component 495</v>
      </c>
      <c r="C496" t="str">
        <f>tblComponents[Sourcing_Type]</f>
        <v>Buy</v>
      </c>
      <c r="D496">
        <f>tblComponents[Forecast_Demand]</f>
        <v>678</v>
      </c>
      <c r="E496">
        <f>tblComponents[Selling_Price_Per_Unit]</f>
        <v>246.39</v>
      </c>
      <c r="F496">
        <f>tblComponents[Variable_Cost_Per_Unit]</f>
        <v>205.58</v>
      </c>
      <c r="G496">
        <f>tblComponents[Direct_Labor_Cost_Per_Unit]</f>
        <v>0</v>
      </c>
      <c r="H496">
        <f>tblComponents[Contribution_Per_Unit]</f>
        <v>40.81</v>
      </c>
      <c r="I496">
        <f>tblComponents[Contribution_Margin]</f>
        <v>0.1656</v>
      </c>
      <c r="J496">
        <f>tblComponents[Actual_Cycle_Time_Min]/60</f>
        <v>0</v>
      </c>
      <c r="K496">
        <f t="shared" si="45"/>
        <v>0</v>
      </c>
      <c r="L496">
        <f>H496*tblComponents[Planned_Production_or_Procurement]</f>
        <v>1275067.6400000001</v>
      </c>
      <c r="M496" t="str">
        <f t="shared" si="46"/>
        <v/>
      </c>
      <c r="N496" t="str">
        <f t="shared" si="47"/>
        <v>Not Applicable</v>
      </c>
      <c r="O496" t="str">
        <f>tblComponents[Criticality]</f>
        <v>Critical</v>
      </c>
      <c r="P496">
        <f>tblComponents[Planned_Production_or_Procurement]</f>
        <v>31244</v>
      </c>
      <c r="Q496">
        <f t="shared" si="48"/>
        <v>0</v>
      </c>
      <c r="R496" t="str">
        <f t="shared" si="49"/>
        <v>Critical</v>
      </c>
      <c r="S496" t="str">
        <f t="shared" si="50"/>
        <v>Not Applicable</v>
      </c>
    </row>
    <row r="497" spans="1:19" x14ac:dyDescent="0.35">
      <c r="A497" s="12" t="str">
        <f>tblComponents[Component_ID]</f>
        <v>C496</v>
      </c>
      <c r="B497" s="12" t="str">
        <f>tblComponents[Component_Name]</f>
        <v>Component 496</v>
      </c>
      <c r="C497" t="str">
        <f>tblComponents[Sourcing_Type]</f>
        <v>Buy</v>
      </c>
      <c r="D497">
        <f>tblComponents[Forecast_Demand]</f>
        <v>446</v>
      </c>
      <c r="E497">
        <f>tblComponents[Selling_Price_Per_Unit]</f>
        <v>2130.4699999999998</v>
      </c>
      <c r="F497">
        <f>tblComponents[Variable_Cost_Per_Unit]</f>
        <v>1698.78</v>
      </c>
      <c r="G497">
        <f>tblComponents[Direct_Labor_Cost_Per_Unit]</f>
        <v>0</v>
      </c>
      <c r="H497">
        <f>tblComponents[Contribution_Per_Unit]</f>
        <v>431.69</v>
      </c>
      <c r="I497">
        <f>tblComponents[Contribution_Margin]</f>
        <v>0.2026</v>
      </c>
      <c r="J497">
        <f>tblComponents[Actual_Cycle_Time_Min]/60</f>
        <v>0</v>
      </c>
      <c r="K497">
        <f t="shared" si="45"/>
        <v>0</v>
      </c>
      <c r="L497">
        <f>H497*tblComponents[Planned_Production_or_Procurement]</f>
        <v>5750542.4900000002</v>
      </c>
      <c r="M497" t="str">
        <f t="shared" si="46"/>
        <v/>
      </c>
      <c r="N497" t="str">
        <f t="shared" si="47"/>
        <v>Not Applicable</v>
      </c>
      <c r="O497" t="str">
        <f>tblComponents[Criticality]</f>
        <v>Critical</v>
      </c>
      <c r="P497">
        <f>tblComponents[Planned_Production_or_Procurement]</f>
        <v>13321</v>
      </c>
      <c r="Q497">
        <f t="shared" si="48"/>
        <v>0</v>
      </c>
      <c r="R497" t="str">
        <f t="shared" si="49"/>
        <v>Critical</v>
      </c>
      <c r="S497" t="str">
        <f t="shared" si="50"/>
        <v>Not Applicable</v>
      </c>
    </row>
    <row r="498" spans="1:19" x14ac:dyDescent="0.35">
      <c r="A498" s="12" t="str">
        <f>tblComponents[Component_ID]</f>
        <v>C497</v>
      </c>
      <c r="B498" s="12" t="str">
        <f>tblComponents[Component_Name]</f>
        <v>Component 497</v>
      </c>
      <c r="C498" t="str">
        <f>tblComponents[Sourcing_Type]</f>
        <v>Buy</v>
      </c>
      <c r="D498">
        <f>tblComponents[Forecast_Demand]</f>
        <v>3577</v>
      </c>
      <c r="E498">
        <f>tblComponents[Selling_Price_Per_Unit]</f>
        <v>1921.55</v>
      </c>
      <c r="F498">
        <f>tblComponents[Variable_Cost_Per_Unit]</f>
        <v>1244.67</v>
      </c>
      <c r="G498">
        <f>tblComponents[Direct_Labor_Cost_Per_Unit]</f>
        <v>0</v>
      </c>
      <c r="H498">
        <f>tblComponents[Contribution_Per_Unit]</f>
        <v>676.88</v>
      </c>
      <c r="I498">
        <f>tblComponents[Contribution_Margin]</f>
        <v>0.3523</v>
      </c>
      <c r="J498">
        <f>tblComponents[Actual_Cycle_Time_Min]/60</f>
        <v>0</v>
      </c>
      <c r="K498">
        <f t="shared" si="45"/>
        <v>0</v>
      </c>
      <c r="L498">
        <f>H498*tblComponents[Planned_Production_or_Procurement]</f>
        <v>37125514.240000002</v>
      </c>
      <c r="M498" t="str">
        <f t="shared" si="46"/>
        <v/>
      </c>
      <c r="N498" t="str">
        <f t="shared" si="47"/>
        <v>Not Applicable</v>
      </c>
      <c r="O498" t="str">
        <f>tblComponents[Criticality]</f>
        <v>Medium</v>
      </c>
      <c r="P498">
        <f>tblComponents[Planned_Production_or_Procurement]</f>
        <v>54848</v>
      </c>
      <c r="Q498">
        <f t="shared" si="48"/>
        <v>0</v>
      </c>
      <c r="R498" t="str">
        <f t="shared" si="49"/>
        <v>Medium</v>
      </c>
      <c r="S498" t="str">
        <f t="shared" si="50"/>
        <v>Not Applicable</v>
      </c>
    </row>
    <row r="499" spans="1:19" x14ac:dyDescent="0.35">
      <c r="A499" s="12" t="str">
        <f>tblComponents[Component_ID]</f>
        <v>C498</v>
      </c>
      <c r="B499" s="12" t="str">
        <f>tblComponents[Component_Name]</f>
        <v>Component 498</v>
      </c>
      <c r="C499" t="str">
        <f>tblComponents[Sourcing_Type]</f>
        <v>Buy</v>
      </c>
      <c r="D499">
        <f>tblComponents[Forecast_Demand]</f>
        <v>1099</v>
      </c>
      <c r="E499">
        <f>tblComponents[Selling_Price_Per_Unit]</f>
        <v>386.76</v>
      </c>
      <c r="F499">
        <f>tblComponents[Variable_Cost_Per_Unit]</f>
        <v>314.54000000000002</v>
      </c>
      <c r="G499">
        <f>tblComponents[Direct_Labor_Cost_Per_Unit]</f>
        <v>0</v>
      </c>
      <c r="H499">
        <f>tblComponents[Contribution_Per_Unit]</f>
        <v>72.22</v>
      </c>
      <c r="I499">
        <f>tblComponents[Contribution_Margin]</f>
        <v>0.1867</v>
      </c>
      <c r="J499">
        <f>tblComponents[Actual_Cycle_Time_Min]/60</f>
        <v>0</v>
      </c>
      <c r="K499">
        <f t="shared" si="45"/>
        <v>0</v>
      </c>
      <c r="L499">
        <f>H499*tblComponents[Planned_Production_or_Procurement]</f>
        <v>1748301.76</v>
      </c>
      <c r="M499" t="str">
        <f t="shared" si="46"/>
        <v/>
      </c>
      <c r="N499" t="str">
        <f t="shared" si="47"/>
        <v>Not Applicable</v>
      </c>
      <c r="O499" t="str">
        <f>tblComponents[Criticality]</f>
        <v>Medium</v>
      </c>
      <c r="P499">
        <f>tblComponents[Planned_Production_or_Procurement]</f>
        <v>24208</v>
      </c>
      <c r="Q499">
        <f t="shared" si="48"/>
        <v>0</v>
      </c>
      <c r="R499" t="str">
        <f t="shared" si="49"/>
        <v>Medium</v>
      </c>
      <c r="S499" t="str">
        <f t="shared" si="50"/>
        <v>Not Applicable</v>
      </c>
    </row>
    <row r="500" spans="1:19" x14ac:dyDescent="0.35">
      <c r="A500" s="12" t="str">
        <f>tblComponents[Component_ID]</f>
        <v>C499</v>
      </c>
      <c r="B500" s="12" t="str">
        <f>tblComponents[Component_Name]</f>
        <v>Component 499</v>
      </c>
      <c r="C500" t="str">
        <f>tblComponents[Sourcing_Type]</f>
        <v>Buy</v>
      </c>
      <c r="D500">
        <f>tblComponents[Forecast_Demand]</f>
        <v>358</v>
      </c>
      <c r="E500">
        <f>tblComponents[Selling_Price_Per_Unit]</f>
        <v>729.24</v>
      </c>
      <c r="F500">
        <f>tblComponents[Variable_Cost_Per_Unit]</f>
        <v>557.39</v>
      </c>
      <c r="G500">
        <f>tblComponents[Direct_Labor_Cost_Per_Unit]</f>
        <v>0</v>
      </c>
      <c r="H500">
        <f>tblComponents[Contribution_Per_Unit]</f>
        <v>171.85</v>
      </c>
      <c r="I500">
        <f>tblComponents[Contribution_Margin]</f>
        <v>0.23569999999999999</v>
      </c>
      <c r="J500">
        <f>tblComponents[Actual_Cycle_Time_Min]/60</f>
        <v>0</v>
      </c>
      <c r="K500">
        <f t="shared" si="45"/>
        <v>0</v>
      </c>
      <c r="L500">
        <f>H500*tblComponents[Planned_Production_or_Procurement]</f>
        <v>10202390.799999999</v>
      </c>
      <c r="M500" t="str">
        <f t="shared" si="46"/>
        <v/>
      </c>
      <c r="N500" t="str">
        <f t="shared" si="47"/>
        <v>Not Applicable</v>
      </c>
      <c r="O500" t="str">
        <f>tblComponents[Criticality]</f>
        <v>Medium</v>
      </c>
      <c r="P500">
        <f>tblComponents[Planned_Production_or_Procurement]</f>
        <v>59368</v>
      </c>
      <c r="Q500">
        <f t="shared" si="48"/>
        <v>0</v>
      </c>
      <c r="R500" t="str">
        <f t="shared" si="49"/>
        <v>Medium</v>
      </c>
      <c r="S500" t="str">
        <f t="shared" si="50"/>
        <v>Not Applicable</v>
      </c>
    </row>
    <row r="501" spans="1:19" x14ac:dyDescent="0.35">
      <c r="A501" s="12" t="str">
        <f>tblComponents[Component_ID]</f>
        <v>C500</v>
      </c>
      <c r="B501" s="12" t="str">
        <f>tblComponents[Component_Name]</f>
        <v>Component 500</v>
      </c>
      <c r="C501" t="str">
        <f>tblComponents[Sourcing_Type]</f>
        <v>Buy</v>
      </c>
      <c r="D501">
        <f>tblComponents[Forecast_Demand]</f>
        <v>452</v>
      </c>
      <c r="E501">
        <f>tblComponents[Selling_Price_Per_Unit]</f>
        <v>1121.27</v>
      </c>
      <c r="F501">
        <f>tblComponents[Variable_Cost_Per_Unit]</f>
        <v>710.7</v>
      </c>
      <c r="G501">
        <f>tblComponents[Direct_Labor_Cost_Per_Unit]</f>
        <v>0</v>
      </c>
      <c r="H501">
        <f>tblComponents[Contribution_Per_Unit]</f>
        <v>410.57</v>
      </c>
      <c r="I501">
        <f>tblComponents[Contribution_Margin]</f>
        <v>0.36620000000000003</v>
      </c>
      <c r="J501">
        <f>tblComponents[Actual_Cycle_Time_Min]/60</f>
        <v>0</v>
      </c>
      <c r="K501">
        <f t="shared" si="45"/>
        <v>0</v>
      </c>
      <c r="L501">
        <f>H501*tblComponents[Planned_Production_or_Procurement]</f>
        <v>33211828.439999998</v>
      </c>
      <c r="M501" t="str">
        <f t="shared" si="46"/>
        <v/>
      </c>
      <c r="N501" t="str">
        <f t="shared" si="47"/>
        <v>Not Applicable</v>
      </c>
      <c r="O501" t="str">
        <f>tblComponents[Criticality]</f>
        <v>Medium</v>
      </c>
      <c r="P501">
        <f>tblComponents[Planned_Production_or_Procurement]</f>
        <v>80892</v>
      </c>
      <c r="Q501">
        <f t="shared" si="48"/>
        <v>0</v>
      </c>
      <c r="R501" t="str">
        <f t="shared" si="49"/>
        <v>Medium</v>
      </c>
      <c r="S501" t="str">
        <f t="shared" si="50"/>
        <v>Not Applicable</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9CEBA-EFF2-4E00-A0BB-0BD94019E8B5}">
  <dimension ref="A1:AU55"/>
  <sheetViews>
    <sheetView topLeftCell="Z1" zoomScale="60" zoomScaleNormal="60" workbookViewId="0">
      <selection activeCell="AU21" sqref="AU21"/>
    </sheetView>
  </sheetViews>
  <sheetFormatPr defaultRowHeight="14.5" x14ac:dyDescent="0.35"/>
  <cols>
    <col min="8" max="8" width="14.1796875" bestFit="1" customWidth="1"/>
    <col min="10" max="10" width="9.08984375" bestFit="1" customWidth="1"/>
    <col min="11" max="11" width="8.453125" customWidth="1"/>
    <col min="12" max="12" width="8.54296875" customWidth="1"/>
    <col min="13" max="13" width="11.81640625" bestFit="1" customWidth="1"/>
    <col min="18" max="18" width="9" bestFit="1" customWidth="1"/>
    <col min="19" max="19" width="11.36328125" bestFit="1" customWidth="1"/>
    <col min="22" max="22" width="21.7265625" bestFit="1" customWidth="1"/>
    <col min="23" max="23" width="16.26953125" bestFit="1" customWidth="1"/>
    <col min="24" max="24" width="15.26953125" bestFit="1" customWidth="1"/>
    <col min="32" max="32" width="11.453125" customWidth="1"/>
    <col min="33" max="33" width="23.90625" bestFit="1" customWidth="1"/>
    <col min="34" max="34" width="20.6328125" bestFit="1" customWidth="1"/>
    <col min="35" max="35" width="18.6328125" bestFit="1" customWidth="1"/>
    <col min="36" max="36" width="15.6328125" bestFit="1" customWidth="1"/>
  </cols>
  <sheetData>
    <row r="1" spans="1:47" x14ac:dyDescent="0.35">
      <c r="A1" s="7" t="s">
        <v>1614</v>
      </c>
      <c r="B1" s="7" t="s">
        <v>1790</v>
      </c>
      <c r="C1" s="7" t="s">
        <v>1791</v>
      </c>
      <c r="D1" s="7" t="s">
        <v>1792</v>
      </c>
      <c r="E1" s="7" t="s">
        <v>1793</v>
      </c>
      <c r="F1" s="7" t="s">
        <v>540</v>
      </c>
      <c r="G1" s="7" t="s">
        <v>1794</v>
      </c>
      <c r="H1" s="7" t="s">
        <v>1795</v>
      </c>
      <c r="J1" s="1" t="s">
        <v>1802</v>
      </c>
      <c r="K1" s="1"/>
      <c r="O1" s="1" t="s">
        <v>1801</v>
      </c>
      <c r="U1" s="1" t="s">
        <v>1807</v>
      </c>
      <c r="AA1" s="1" t="s">
        <v>1812</v>
      </c>
    </row>
    <row r="2" spans="1:47" x14ac:dyDescent="0.35">
      <c r="A2" t="str">
        <f>'10_machine_capacity'!A2</f>
        <v>M014</v>
      </c>
      <c r="B2">
        <f>'10_machine_capacity'!B2</f>
        <v>4800</v>
      </c>
      <c r="C2">
        <f>'10_machine_capacity'!C2</f>
        <v>324</v>
      </c>
      <c r="D2">
        <f>'10_machine_capacity'!D2</f>
        <v>351.84</v>
      </c>
      <c r="E2">
        <f>'10_machine_capacity'!E2</f>
        <v>4124.16</v>
      </c>
      <c r="F2">
        <f>'10_machine_capacity'!G2</f>
        <v>4175.4780000000001</v>
      </c>
      <c r="G2">
        <f>'10_machine_capacity'!H2</f>
        <v>-51.318000000000211</v>
      </c>
      <c r="H2">
        <f>'10_machine_capacity'!I2</f>
        <v>1.0124432611731844</v>
      </c>
      <c r="J2" s="7" t="s">
        <v>1797</v>
      </c>
      <c r="K2" s="7" t="s">
        <v>1798</v>
      </c>
      <c r="L2" s="7" t="s">
        <v>1799</v>
      </c>
      <c r="M2" s="7" t="s">
        <v>1800</v>
      </c>
      <c r="O2" s="7" t="s">
        <v>1803</v>
      </c>
      <c r="P2" s="7" t="s">
        <v>1804</v>
      </c>
      <c r="Q2" s="7" t="s">
        <v>1805</v>
      </c>
      <c r="R2" t="s">
        <v>1826</v>
      </c>
      <c r="S2" s="7" t="s">
        <v>1806</v>
      </c>
      <c r="U2" s="7" t="s">
        <v>1808</v>
      </c>
      <c r="V2" s="7" t="s">
        <v>1809</v>
      </c>
      <c r="W2" s="7" t="s">
        <v>1810</v>
      </c>
      <c r="X2" t="s">
        <v>1826</v>
      </c>
      <c r="Y2" s="7" t="s">
        <v>1811</v>
      </c>
      <c r="AA2" s="7" t="s">
        <v>1813</v>
      </c>
      <c r="AB2" s="7" t="s">
        <v>1814</v>
      </c>
      <c r="AC2" s="7" t="s">
        <v>1815</v>
      </c>
      <c r="AD2" s="7" t="s">
        <v>1816</v>
      </c>
      <c r="AF2" s="9" t="s">
        <v>1817</v>
      </c>
      <c r="AM2" t="s">
        <v>1686</v>
      </c>
      <c r="AN2" s="1" t="s">
        <v>1828</v>
      </c>
      <c r="AU2" s="9" t="s">
        <v>1836</v>
      </c>
    </row>
    <row r="3" spans="1:47" x14ac:dyDescent="0.35">
      <c r="A3" t="str">
        <f>'10_machine_capacity'!A3</f>
        <v>M002</v>
      </c>
      <c r="B3">
        <f>'10_machine_capacity'!B3</f>
        <v>4800</v>
      </c>
      <c r="C3">
        <f>'10_machine_capacity'!C3</f>
        <v>425.28</v>
      </c>
      <c r="D3">
        <f>'10_machine_capacity'!D3</f>
        <v>358.56</v>
      </c>
      <c r="E3">
        <f>'10_machine_capacity'!E3</f>
        <v>4016.1600000000003</v>
      </c>
      <c r="F3">
        <f>'10_machine_capacity'!G3</f>
        <v>4174.623333333333</v>
      </c>
      <c r="G3">
        <f>'10_machine_capacity'!H3</f>
        <v>-158.46333333333268</v>
      </c>
      <c r="H3">
        <f>'10_machine_capacity'!I3</f>
        <v>1.0394564293587238</v>
      </c>
      <c r="J3">
        <f>B2+500</f>
        <v>5300</v>
      </c>
      <c r="K3">
        <f>J3-C2-D2</f>
        <v>4624.16</v>
      </c>
      <c r="L3">
        <f>K3-F2</f>
        <v>448.68199999999979</v>
      </c>
      <c r="M3">
        <f>F2/J3</f>
        <v>0.78782603773584903</v>
      </c>
      <c r="O3" s="12">
        <f>B2</f>
        <v>4800</v>
      </c>
      <c r="P3" s="12">
        <f>C2*90%</f>
        <v>291.60000000000002</v>
      </c>
      <c r="Q3" s="12">
        <f>O3-P3-D2</f>
        <v>4156.5599999999995</v>
      </c>
      <c r="R3" s="12">
        <f>Q3-F2</f>
        <v>-18.918000000000575</v>
      </c>
      <c r="S3" s="12">
        <f t="shared" ref="S3:S27" si="0">F2/O3</f>
        <v>0.86989125</v>
      </c>
      <c r="U3">
        <f>B2</f>
        <v>4800</v>
      </c>
      <c r="V3">
        <f>D2*80%</f>
        <v>281.47199999999998</v>
      </c>
      <c r="W3">
        <f t="shared" ref="W3:W27" si="1">U3-C2-V3</f>
        <v>4194.5280000000002</v>
      </c>
      <c r="X3">
        <f>W3-F2</f>
        <v>19.050000000000182</v>
      </c>
      <c r="Y3">
        <f t="shared" ref="Y3:Y27" si="2">F2/W3</f>
        <v>0.99545836861739867</v>
      </c>
      <c r="AA3">
        <f t="shared" ref="AA3:AA27" si="3">F2/1.05</f>
        <v>3976.6457142857143</v>
      </c>
      <c r="AB3">
        <f>E2</f>
        <v>4124.16</v>
      </c>
      <c r="AC3">
        <f>AB3-AA3</f>
        <v>147.51428571428551</v>
      </c>
      <c r="AD3">
        <f>AA3/AB3</f>
        <v>0.96423167730779469</v>
      </c>
      <c r="AF3" s="21" t="s">
        <v>434</v>
      </c>
      <c r="AG3" t="s">
        <v>1824</v>
      </c>
      <c r="AH3" s="20" t="s">
        <v>1818</v>
      </c>
      <c r="AI3" s="20" t="s">
        <v>1819</v>
      </c>
      <c r="AJ3" s="20" t="s">
        <v>1705</v>
      </c>
      <c r="AK3" s="20" t="s">
        <v>1706</v>
      </c>
    </row>
    <row r="4" spans="1:47" x14ac:dyDescent="0.35">
      <c r="A4" t="str">
        <f>'10_machine_capacity'!A4</f>
        <v>M020</v>
      </c>
      <c r="B4">
        <f>'10_machine_capacity'!B4</f>
        <v>4800</v>
      </c>
      <c r="C4">
        <f>'10_machine_capacity'!C4</f>
        <v>432.96</v>
      </c>
      <c r="D4">
        <f>'10_machine_capacity'!D4</f>
        <v>364.8</v>
      </c>
      <c r="E4">
        <f>'10_machine_capacity'!E4</f>
        <v>4002.24</v>
      </c>
      <c r="F4">
        <f>'10_machine_capacity'!G4</f>
        <v>4175.1876666666676</v>
      </c>
      <c r="G4">
        <f>'10_machine_capacity'!H4</f>
        <v>-172.94766666666783</v>
      </c>
      <c r="H4">
        <f>'10_machine_capacity'!I4</f>
        <v>1.0432127175448418</v>
      </c>
      <c r="J4">
        <f t="shared" ref="J4:J27" si="4">B3+500</f>
        <v>5300</v>
      </c>
      <c r="K4">
        <f t="shared" ref="K4:K27" si="5">J4-C3-D3</f>
        <v>4516.16</v>
      </c>
      <c r="L4">
        <f t="shared" ref="L4:L27" si="6">K4-F3</f>
        <v>341.53666666666686</v>
      </c>
      <c r="M4">
        <f t="shared" ref="M4:M27" si="7">F3/J4</f>
        <v>0.78766477987421379</v>
      </c>
      <c r="O4" s="12">
        <f t="shared" ref="O4:O27" si="8">B3</f>
        <v>4800</v>
      </c>
      <c r="P4" s="12">
        <f t="shared" ref="P4:P27" si="9">C3*90%</f>
        <v>382.75200000000001</v>
      </c>
      <c r="Q4" s="12">
        <f t="shared" ref="Q4:Q27" si="10">O4-P4-D3</f>
        <v>4058.6879999999996</v>
      </c>
      <c r="R4" s="12">
        <f t="shared" ref="R4:R27" si="11">Q4-F3</f>
        <v>-115.93533333333335</v>
      </c>
      <c r="S4" s="12">
        <f t="shared" si="0"/>
        <v>0.86971319444444439</v>
      </c>
      <c r="U4">
        <f t="shared" ref="U4:U27" si="12">B3</f>
        <v>4800</v>
      </c>
      <c r="V4">
        <f t="shared" ref="V4:V27" si="13">D3*80%</f>
        <v>286.84800000000001</v>
      </c>
      <c r="W4">
        <f t="shared" si="1"/>
        <v>4087.8720000000003</v>
      </c>
      <c r="X4">
        <f t="shared" ref="X4:X27" si="14">W4-F3</f>
        <v>-86.751333333332695</v>
      </c>
      <c r="Y4">
        <f t="shared" si="2"/>
        <v>1.0212216364243627</v>
      </c>
      <c r="AA4">
        <f t="shared" si="3"/>
        <v>3975.8317460317458</v>
      </c>
      <c r="AB4">
        <f t="shared" ref="AB4:AB27" si="15">E3</f>
        <v>4016.1600000000003</v>
      </c>
      <c r="AC4">
        <f t="shared" ref="AC4:AC27" si="16">AB4-AA4</f>
        <v>40.328253968254558</v>
      </c>
      <c r="AD4">
        <f t="shared" ref="AD4:AD27" si="17">AA4/AB4</f>
        <v>0.9899585041511656</v>
      </c>
      <c r="AF4" t="s">
        <v>1796</v>
      </c>
      <c r="AG4" s="5" t="s">
        <v>1825</v>
      </c>
      <c r="AH4" s="20">
        <f>SUM(E2:E26)</f>
        <v>104309.28</v>
      </c>
      <c r="AI4" s="20">
        <f>SUM(F2:F26)</f>
        <v>104382.33233333332</v>
      </c>
      <c r="AJ4" s="20">
        <f>SUM(F2:F26)/SUM(E2:E26)</f>
        <v>1.0007003435680251</v>
      </c>
      <c r="AK4" s="20">
        <f>COUNTIF(G2:G26,"&lt;0")</f>
        <v>13</v>
      </c>
      <c r="AU4" t="s">
        <v>1837</v>
      </c>
    </row>
    <row r="5" spans="1:47" x14ac:dyDescent="0.35">
      <c r="A5" t="str">
        <f>'10_machine_capacity'!A5</f>
        <v>M008</v>
      </c>
      <c r="B5">
        <f>'10_machine_capacity'!B5</f>
        <v>4800</v>
      </c>
      <c r="C5">
        <f>'10_machine_capacity'!C5</f>
        <v>276.95999999999998</v>
      </c>
      <c r="D5">
        <f>'10_machine_capacity'!D5</f>
        <v>166.56</v>
      </c>
      <c r="E5">
        <f>'10_machine_capacity'!E5</f>
        <v>4356.4799999999996</v>
      </c>
      <c r="F5">
        <f>'10_machine_capacity'!G5</f>
        <v>4175.7929999999997</v>
      </c>
      <c r="G5">
        <f>'10_machine_capacity'!H5</f>
        <v>180.6869999999999</v>
      </c>
      <c r="H5">
        <f>'10_machine_capacity'!I5</f>
        <v>0.95852454275011023</v>
      </c>
      <c r="J5">
        <f t="shared" si="4"/>
        <v>5300</v>
      </c>
      <c r="K5">
        <f t="shared" si="5"/>
        <v>4502.24</v>
      </c>
      <c r="L5">
        <f t="shared" si="6"/>
        <v>327.05233333333217</v>
      </c>
      <c r="M5">
        <f t="shared" si="7"/>
        <v>0.78777125786163538</v>
      </c>
      <c r="O5" s="12">
        <f t="shared" si="8"/>
        <v>4800</v>
      </c>
      <c r="P5" s="12">
        <f t="shared" si="9"/>
        <v>389.66399999999999</v>
      </c>
      <c r="Q5" s="12">
        <f t="shared" si="10"/>
        <v>4045.5360000000001</v>
      </c>
      <c r="R5" s="12">
        <f t="shared" si="11"/>
        <v>-129.65166666666755</v>
      </c>
      <c r="S5" s="12">
        <f t="shared" si="0"/>
        <v>0.86983076388888914</v>
      </c>
      <c r="U5">
        <f t="shared" si="12"/>
        <v>4800</v>
      </c>
      <c r="V5">
        <f t="shared" si="13"/>
        <v>291.84000000000003</v>
      </c>
      <c r="W5">
        <f t="shared" si="1"/>
        <v>4075.2</v>
      </c>
      <c r="X5">
        <f t="shared" si="14"/>
        <v>-99.987666666667792</v>
      </c>
      <c r="Y5">
        <f t="shared" si="2"/>
        <v>1.0245356465122368</v>
      </c>
      <c r="AA5">
        <f t="shared" si="3"/>
        <v>3976.3692063492072</v>
      </c>
      <c r="AB5">
        <f t="shared" si="15"/>
        <v>4002.24</v>
      </c>
      <c r="AC5">
        <f t="shared" si="16"/>
        <v>25.870793650792621</v>
      </c>
      <c r="AD5">
        <f t="shared" si="17"/>
        <v>0.99353592147127789</v>
      </c>
      <c r="AF5" t="str">
        <f xml:space="preserve"> "Scenario " &amp; CHAR(ROW()+44)</f>
        <v>Scenario 1</v>
      </c>
      <c r="AG5" s="5" t="s">
        <v>1820</v>
      </c>
      <c r="AH5" s="20">
        <f>SUM(K3:K27)</f>
        <v>116809.28</v>
      </c>
      <c r="AI5" s="20">
        <f>SUM(F2:F26)</f>
        <v>104382.33233333332</v>
      </c>
      <c r="AJ5" s="20">
        <f>SUM(F2:F26)/SUM(K3:K27)</f>
        <v>0.8936133527518817</v>
      </c>
      <c r="AK5" s="20">
        <f>COUNTIF(L3:L27,"&lt;0")</f>
        <v>0</v>
      </c>
      <c r="AU5" t="s">
        <v>1838</v>
      </c>
    </row>
    <row r="6" spans="1:47" x14ac:dyDescent="0.35">
      <c r="A6" t="str">
        <f>'10_machine_capacity'!A6</f>
        <v>M009</v>
      </c>
      <c r="B6">
        <f>'10_machine_capacity'!B6</f>
        <v>4800</v>
      </c>
      <c r="C6">
        <f>'10_machine_capacity'!C6</f>
        <v>327.84</v>
      </c>
      <c r="D6">
        <f>'10_machine_capacity'!D6</f>
        <v>274.56</v>
      </c>
      <c r="E6">
        <f>'10_machine_capacity'!E6</f>
        <v>4197.5999999999995</v>
      </c>
      <c r="F6">
        <f>'10_machine_capacity'!G6</f>
        <v>4175.8908333333329</v>
      </c>
      <c r="G6">
        <f>'10_machine_capacity'!H6</f>
        <v>21.709166666666533</v>
      </c>
      <c r="H6">
        <f>'10_machine_capacity'!I6</f>
        <v>0.99482819547678036</v>
      </c>
      <c r="J6">
        <f t="shared" si="4"/>
        <v>5300</v>
      </c>
      <c r="K6">
        <f t="shared" si="5"/>
        <v>4856.4799999999996</v>
      </c>
      <c r="L6">
        <f t="shared" si="6"/>
        <v>680.6869999999999</v>
      </c>
      <c r="M6">
        <f t="shared" si="7"/>
        <v>0.78788547169811318</v>
      </c>
      <c r="O6" s="12">
        <f t="shared" si="8"/>
        <v>4800</v>
      </c>
      <c r="P6" s="12">
        <f t="shared" si="9"/>
        <v>249.26399999999998</v>
      </c>
      <c r="Q6" s="12">
        <f t="shared" si="10"/>
        <v>4384.1759999999995</v>
      </c>
      <c r="R6" s="12">
        <f t="shared" si="11"/>
        <v>208.38299999999981</v>
      </c>
      <c r="S6" s="12">
        <f t="shared" si="0"/>
        <v>0.86995687499999996</v>
      </c>
      <c r="U6">
        <f t="shared" si="12"/>
        <v>4800</v>
      </c>
      <c r="V6">
        <f t="shared" si="13"/>
        <v>133.24800000000002</v>
      </c>
      <c r="W6">
        <f t="shared" si="1"/>
        <v>4389.7920000000004</v>
      </c>
      <c r="X6">
        <f t="shared" si="14"/>
        <v>213.99900000000071</v>
      </c>
      <c r="Y6">
        <f t="shared" si="2"/>
        <v>0.95125076541211961</v>
      </c>
      <c r="AA6">
        <f t="shared" si="3"/>
        <v>3976.9457142857136</v>
      </c>
      <c r="AB6">
        <f t="shared" si="15"/>
        <v>4356.4799999999996</v>
      </c>
      <c r="AC6">
        <f t="shared" si="16"/>
        <v>379.53428571428594</v>
      </c>
      <c r="AD6">
        <f t="shared" si="17"/>
        <v>0.91288051690486682</v>
      </c>
      <c r="AF6" t="str">
        <f t="shared" ref="AF6:AF8" si="18" xml:space="preserve"> "Scenario " &amp; CHAR(ROW()+44)</f>
        <v>Scenario 2</v>
      </c>
      <c r="AG6" s="5" t="s">
        <v>1821</v>
      </c>
      <c r="AH6" s="20">
        <f>SUM(Q3:Q27)</f>
        <v>105215.99999999999</v>
      </c>
      <c r="AI6" s="20">
        <f>SUM(F2:F26)</f>
        <v>104382.33233333332</v>
      </c>
      <c r="AJ6" s="20">
        <f>SUM(F2:F26)/SUM(Q3:Q27)</f>
        <v>0.99207660748682081</v>
      </c>
      <c r="AK6" s="20">
        <f>COUNTIF(R2:R27,"&lt;0")</f>
        <v>8</v>
      </c>
    </row>
    <row r="7" spans="1:47" x14ac:dyDescent="0.35">
      <c r="A7" t="str">
        <f>'10_machine_capacity'!A7</f>
        <v>M013</v>
      </c>
      <c r="B7">
        <f>'10_machine_capacity'!B7</f>
        <v>4800</v>
      </c>
      <c r="C7">
        <f>'10_machine_capacity'!C7</f>
        <v>329.76</v>
      </c>
      <c r="D7">
        <f>'10_machine_capacity'!D7</f>
        <v>321.60000000000002</v>
      </c>
      <c r="E7">
        <f>'10_machine_capacity'!E7</f>
        <v>4148.6399999999994</v>
      </c>
      <c r="F7">
        <f>'10_machine_capacity'!G7</f>
        <v>4175.751666666667</v>
      </c>
      <c r="G7">
        <f>'10_machine_capacity'!H7</f>
        <v>-27.111666666667588</v>
      </c>
      <c r="H7">
        <f>'10_machine_capacity'!I7</f>
        <v>1.0065350733413041</v>
      </c>
      <c r="J7">
        <f t="shared" si="4"/>
        <v>5300</v>
      </c>
      <c r="K7">
        <f t="shared" si="5"/>
        <v>4697.5999999999995</v>
      </c>
      <c r="L7">
        <f t="shared" si="6"/>
        <v>521.70916666666653</v>
      </c>
      <c r="M7">
        <f t="shared" si="7"/>
        <v>0.78790393081761001</v>
      </c>
      <c r="O7" s="12">
        <f t="shared" si="8"/>
        <v>4800</v>
      </c>
      <c r="P7" s="12">
        <f t="shared" si="9"/>
        <v>295.05599999999998</v>
      </c>
      <c r="Q7" s="12">
        <f t="shared" si="10"/>
        <v>4230.384</v>
      </c>
      <c r="R7" s="12">
        <f t="shared" si="11"/>
        <v>54.493166666667094</v>
      </c>
      <c r="S7" s="12">
        <f t="shared" si="0"/>
        <v>0.86997725694444439</v>
      </c>
      <c r="U7">
        <f t="shared" si="12"/>
        <v>4800</v>
      </c>
      <c r="V7">
        <f t="shared" si="13"/>
        <v>219.64800000000002</v>
      </c>
      <c r="W7">
        <f t="shared" si="1"/>
        <v>4252.5119999999997</v>
      </c>
      <c r="X7">
        <f t="shared" si="14"/>
        <v>76.621166666666795</v>
      </c>
      <c r="Y7">
        <f t="shared" si="2"/>
        <v>0.98198213981132398</v>
      </c>
      <c r="AA7">
        <f t="shared" si="3"/>
        <v>3977.0388888888883</v>
      </c>
      <c r="AB7">
        <f t="shared" si="15"/>
        <v>4197.5999999999995</v>
      </c>
      <c r="AC7">
        <f t="shared" si="16"/>
        <v>220.56111111111113</v>
      </c>
      <c r="AD7">
        <f t="shared" si="17"/>
        <v>0.9474554242636003</v>
      </c>
      <c r="AF7" t="str">
        <f t="shared" si="18"/>
        <v>Scenario 3</v>
      </c>
      <c r="AG7" s="5" t="s">
        <v>1822</v>
      </c>
      <c r="AH7" s="20">
        <f>SUM(W4:W28)</f>
        <v>101439.45600000001</v>
      </c>
      <c r="AI7" s="20">
        <f>SUM(F2:F26)</f>
        <v>104382.33233333332</v>
      </c>
      <c r="AJ7" s="20">
        <f>SUM(F2:F26)/SUM(W3:W27)</f>
        <v>0.98815105121220581</v>
      </c>
      <c r="AK7" s="20">
        <f>COUNTIF(X3:X27,"&lt;0")</f>
        <v>6</v>
      </c>
      <c r="AU7" t="s">
        <v>1839</v>
      </c>
    </row>
    <row r="8" spans="1:47" x14ac:dyDescent="0.35">
      <c r="A8" t="str">
        <f>'10_machine_capacity'!A8</f>
        <v>M024</v>
      </c>
      <c r="B8">
        <f>'10_machine_capacity'!B8</f>
        <v>4800</v>
      </c>
      <c r="C8">
        <f>'10_machine_capacity'!C8</f>
        <v>276.48</v>
      </c>
      <c r="D8">
        <f>'10_machine_capacity'!D8</f>
        <v>325.44</v>
      </c>
      <c r="E8">
        <f>'10_machine_capacity'!E8</f>
        <v>4198.0800000000008</v>
      </c>
      <c r="F8">
        <f>'10_machine_capacity'!G8</f>
        <v>4175.5265000000009</v>
      </c>
      <c r="G8">
        <f>'10_machine_capacity'!H8</f>
        <v>22.553499999999985</v>
      </c>
      <c r="H8">
        <f>'10_machine_capacity'!I8</f>
        <v>0.9946276631221892</v>
      </c>
      <c r="J8">
        <f t="shared" si="4"/>
        <v>5300</v>
      </c>
      <c r="K8">
        <f t="shared" si="5"/>
        <v>4648.6399999999994</v>
      </c>
      <c r="L8">
        <f t="shared" si="6"/>
        <v>472.88833333333241</v>
      </c>
      <c r="M8">
        <f t="shared" si="7"/>
        <v>0.78787767295597488</v>
      </c>
      <c r="O8" s="12">
        <f t="shared" si="8"/>
        <v>4800</v>
      </c>
      <c r="P8" s="12">
        <f t="shared" si="9"/>
        <v>296.78399999999999</v>
      </c>
      <c r="Q8" s="12">
        <f t="shared" si="10"/>
        <v>4181.616</v>
      </c>
      <c r="R8" s="12">
        <f t="shared" si="11"/>
        <v>5.8643333333329792</v>
      </c>
      <c r="S8" s="12">
        <f t="shared" si="0"/>
        <v>0.86994826388888891</v>
      </c>
      <c r="U8">
        <f t="shared" si="12"/>
        <v>4800</v>
      </c>
      <c r="V8">
        <f t="shared" si="13"/>
        <v>257.28000000000003</v>
      </c>
      <c r="W8">
        <f t="shared" si="1"/>
        <v>4212.96</v>
      </c>
      <c r="X8">
        <f t="shared" si="14"/>
        <v>37.20833333333303</v>
      </c>
      <c r="Y8">
        <f t="shared" si="2"/>
        <v>0.99116812565670387</v>
      </c>
      <c r="AA8">
        <f t="shared" si="3"/>
        <v>3976.9063492063492</v>
      </c>
      <c r="AB8">
        <f t="shared" si="15"/>
        <v>4148.6399999999994</v>
      </c>
      <c r="AC8">
        <f t="shared" si="16"/>
        <v>171.73365079365021</v>
      </c>
      <c r="AD8">
        <f t="shared" si="17"/>
        <v>0.95860483175362277</v>
      </c>
      <c r="AF8" t="str">
        <f t="shared" si="18"/>
        <v>Scenario 4</v>
      </c>
      <c r="AG8" s="5" t="s">
        <v>1823</v>
      </c>
      <c r="AH8" s="20">
        <f>SUM(AB3:AB27)</f>
        <v>104309.28</v>
      </c>
      <c r="AI8" s="20">
        <f>SUM(AA3:AA27)</f>
        <v>99411.745079365064</v>
      </c>
      <c r="AJ8" s="20">
        <f>SUM(F2:F26)/SUM(AB3:AB26)</f>
        <v>1.0429189040597326</v>
      </c>
      <c r="AK8" s="20">
        <f>COUNTIF(AC3:AC27,"&lt;0")</f>
        <v>0</v>
      </c>
      <c r="AU8" t="s">
        <v>1840</v>
      </c>
    </row>
    <row r="9" spans="1:47" x14ac:dyDescent="0.35">
      <c r="A9" t="str">
        <f>'10_machine_capacity'!A9</f>
        <v>M004</v>
      </c>
      <c r="B9">
        <f>'10_machine_capacity'!B9</f>
        <v>4800</v>
      </c>
      <c r="C9">
        <f>'10_machine_capacity'!C9</f>
        <v>431.52</v>
      </c>
      <c r="D9">
        <f>'10_machine_capacity'!D9</f>
        <v>289.44</v>
      </c>
      <c r="E9">
        <f>'10_machine_capacity'!E9</f>
        <v>4079.0399999999995</v>
      </c>
      <c r="F9">
        <f>'10_machine_capacity'!G9</f>
        <v>4174.7338333333337</v>
      </c>
      <c r="G9">
        <f>'10_machine_capacity'!H9</f>
        <v>-95.693833333334169</v>
      </c>
      <c r="H9">
        <f>'10_machine_capacity'!I9</f>
        <v>1.0234598908893597</v>
      </c>
      <c r="J9">
        <f t="shared" si="4"/>
        <v>5300</v>
      </c>
      <c r="K9">
        <f t="shared" si="5"/>
        <v>4698.0800000000008</v>
      </c>
      <c r="L9">
        <f t="shared" si="6"/>
        <v>522.55349999999999</v>
      </c>
      <c r="M9">
        <f t="shared" si="7"/>
        <v>0.7878351886792454</v>
      </c>
      <c r="O9" s="12">
        <f t="shared" si="8"/>
        <v>4800</v>
      </c>
      <c r="P9" s="12">
        <f t="shared" si="9"/>
        <v>248.83200000000002</v>
      </c>
      <c r="Q9" s="12">
        <f t="shared" si="10"/>
        <v>4225.7280000000001</v>
      </c>
      <c r="R9" s="12">
        <f t="shared" si="11"/>
        <v>50.201499999999214</v>
      </c>
      <c r="S9" s="12">
        <f t="shared" si="0"/>
        <v>0.86990135416666681</v>
      </c>
      <c r="U9">
        <f t="shared" si="12"/>
        <v>4800</v>
      </c>
      <c r="V9">
        <f t="shared" si="13"/>
        <v>260.35200000000003</v>
      </c>
      <c r="W9">
        <f t="shared" si="1"/>
        <v>4263.1680000000006</v>
      </c>
      <c r="X9">
        <f t="shared" si="14"/>
        <v>87.641499999999724</v>
      </c>
      <c r="Y9">
        <f t="shared" si="2"/>
        <v>0.97944216601363121</v>
      </c>
      <c r="AA9">
        <f t="shared" si="3"/>
        <v>3976.6919047619053</v>
      </c>
      <c r="AB9">
        <f t="shared" si="15"/>
        <v>4198.0800000000008</v>
      </c>
      <c r="AC9">
        <f t="shared" si="16"/>
        <v>221.3880952380955</v>
      </c>
      <c r="AD9">
        <f t="shared" si="17"/>
        <v>0.94726444106875152</v>
      </c>
    </row>
    <row r="10" spans="1:47" x14ac:dyDescent="0.35">
      <c r="A10" t="str">
        <f>'10_machine_capacity'!A10</f>
        <v>M011</v>
      </c>
      <c r="B10">
        <f>'10_machine_capacity'!B10</f>
        <v>4800</v>
      </c>
      <c r="C10">
        <f>'10_machine_capacity'!C10</f>
        <v>409.92</v>
      </c>
      <c r="D10">
        <f>'10_machine_capacity'!D10</f>
        <v>183.84</v>
      </c>
      <c r="E10">
        <f>'10_machine_capacity'!E10</f>
        <v>4206.24</v>
      </c>
      <c r="F10">
        <f>'10_machine_capacity'!G10</f>
        <v>4175.7129999999997</v>
      </c>
      <c r="G10">
        <f>'10_machine_capacity'!H10</f>
        <v>30.527000000000044</v>
      </c>
      <c r="H10">
        <f>'10_machine_capacity'!I10</f>
        <v>0.99274244931340105</v>
      </c>
      <c r="J10">
        <f t="shared" si="4"/>
        <v>5300</v>
      </c>
      <c r="K10">
        <f t="shared" si="5"/>
        <v>4579.04</v>
      </c>
      <c r="L10">
        <f t="shared" si="6"/>
        <v>404.30616666666629</v>
      </c>
      <c r="M10">
        <f t="shared" si="7"/>
        <v>0.78768562893081773</v>
      </c>
      <c r="O10" s="12">
        <f t="shared" si="8"/>
        <v>4800</v>
      </c>
      <c r="P10" s="12">
        <f t="shared" si="9"/>
        <v>388.36799999999999</v>
      </c>
      <c r="Q10" s="12">
        <f t="shared" si="10"/>
        <v>4122.192</v>
      </c>
      <c r="R10" s="12">
        <f t="shared" si="11"/>
        <v>-52.54183333333367</v>
      </c>
      <c r="S10" s="12">
        <f t="shared" si="0"/>
        <v>0.86973621527777789</v>
      </c>
      <c r="U10">
        <f t="shared" si="12"/>
        <v>4800</v>
      </c>
      <c r="V10">
        <f t="shared" si="13"/>
        <v>231.55200000000002</v>
      </c>
      <c r="W10">
        <f t="shared" si="1"/>
        <v>4136.9279999999999</v>
      </c>
      <c r="X10">
        <f t="shared" si="14"/>
        <v>-37.805833333333794</v>
      </c>
      <c r="Y10">
        <f t="shared" si="2"/>
        <v>1.0091386249249041</v>
      </c>
      <c r="AA10">
        <f t="shared" si="3"/>
        <v>3975.9369841269845</v>
      </c>
      <c r="AB10">
        <f t="shared" si="15"/>
        <v>4079.0399999999995</v>
      </c>
      <c r="AC10">
        <f t="shared" si="16"/>
        <v>103.10301587301501</v>
      </c>
      <c r="AD10">
        <f t="shared" si="17"/>
        <v>0.97472370560891408</v>
      </c>
      <c r="AU10" t="s">
        <v>1841</v>
      </c>
    </row>
    <row r="11" spans="1:47" x14ac:dyDescent="0.35">
      <c r="A11" t="str">
        <f>'10_machine_capacity'!A11</f>
        <v>M016</v>
      </c>
      <c r="B11">
        <f>'10_machine_capacity'!B11</f>
        <v>4800</v>
      </c>
      <c r="C11">
        <f>'10_machine_capacity'!C11</f>
        <v>285.60000000000002</v>
      </c>
      <c r="D11">
        <f>'10_machine_capacity'!D11</f>
        <v>335.52</v>
      </c>
      <c r="E11">
        <f>'10_machine_capacity'!E11</f>
        <v>4178.8799999999992</v>
      </c>
      <c r="F11">
        <f>'10_machine_capacity'!G11</f>
        <v>4174.2214999999997</v>
      </c>
      <c r="G11">
        <f>'10_machine_capacity'!H11</f>
        <v>4.6584999999995489</v>
      </c>
      <c r="H11">
        <f>'10_machine_capacity'!I11</f>
        <v>0.99888522762079801</v>
      </c>
      <c r="J11">
        <f t="shared" si="4"/>
        <v>5300</v>
      </c>
      <c r="K11">
        <f t="shared" si="5"/>
        <v>4706.24</v>
      </c>
      <c r="L11">
        <f t="shared" si="6"/>
        <v>530.52700000000004</v>
      </c>
      <c r="M11">
        <f t="shared" si="7"/>
        <v>0.78787037735849053</v>
      </c>
      <c r="O11" s="12">
        <f t="shared" si="8"/>
        <v>4800</v>
      </c>
      <c r="P11" s="12">
        <f t="shared" si="9"/>
        <v>368.928</v>
      </c>
      <c r="Q11" s="12">
        <f t="shared" si="10"/>
        <v>4247.232</v>
      </c>
      <c r="R11" s="12">
        <f t="shared" si="11"/>
        <v>71.519000000000233</v>
      </c>
      <c r="S11" s="12">
        <f t="shared" si="0"/>
        <v>0.8699402083333333</v>
      </c>
      <c r="U11">
        <f t="shared" si="12"/>
        <v>4800</v>
      </c>
      <c r="V11">
        <f t="shared" si="13"/>
        <v>147.072</v>
      </c>
      <c r="W11">
        <f t="shared" si="1"/>
        <v>4243.0079999999998</v>
      </c>
      <c r="X11">
        <f t="shared" si="14"/>
        <v>67.295000000000073</v>
      </c>
      <c r="Y11">
        <f t="shared" si="2"/>
        <v>0.98413978950782088</v>
      </c>
      <c r="AA11">
        <f t="shared" si="3"/>
        <v>3976.8695238095233</v>
      </c>
      <c r="AB11">
        <f t="shared" si="15"/>
        <v>4206.24</v>
      </c>
      <c r="AC11">
        <f t="shared" si="16"/>
        <v>229.37047619047644</v>
      </c>
      <c r="AD11">
        <f t="shared" si="17"/>
        <v>0.94546899934609618</v>
      </c>
      <c r="AF11" t="s">
        <v>1827</v>
      </c>
      <c r="AU11" t="s">
        <v>1842</v>
      </c>
    </row>
    <row r="12" spans="1:47" x14ac:dyDescent="0.35">
      <c r="A12" t="str">
        <f>'10_machine_capacity'!A12</f>
        <v>M001</v>
      </c>
      <c r="B12">
        <f>'10_machine_capacity'!B12</f>
        <v>4800</v>
      </c>
      <c r="C12">
        <f>'10_machine_capacity'!C12</f>
        <v>327.84</v>
      </c>
      <c r="D12">
        <f>'10_machine_capacity'!D12</f>
        <v>316.8</v>
      </c>
      <c r="E12">
        <f>'10_machine_capacity'!E12</f>
        <v>4155.3599999999997</v>
      </c>
      <c r="F12">
        <f>'10_machine_capacity'!G12</f>
        <v>4174.7963333333337</v>
      </c>
      <c r="G12">
        <f>'10_machine_capacity'!H12</f>
        <v>-19.436333333334005</v>
      </c>
      <c r="H12">
        <f>'10_machine_capacity'!I12</f>
        <v>1.0046774126269045</v>
      </c>
      <c r="J12">
        <f t="shared" si="4"/>
        <v>5300</v>
      </c>
      <c r="K12">
        <f t="shared" si="5"/>
        <v>4678.8799999999992</v>
      </c>
      <c r="L12">
        <f t="shared" si="6"/>
        <v>504.65849999999955</v>
      </c>
      <c r="M12">
        <f t="shared" si="7"/>
        <v>0.78758896226415087</v>
      </c>
      <c r="O12" s="12">
        <f t="shared" si="8"/>
        <v>4800</v>
      </c>
      <c r="P12" s="12">
        <f t="shared" si="9"/>
        <v>257.04000000000002</v>
      </c>
      <c r="Q12" s="12">
        <f t="shared" si="10"/>
        <v>4207.4400000000005</v>
      </c>
      <c r="R12" s="12">
        <f t="shared" si="11"/>
        <v>33.218500000000859</v>
      </c>
      <c r="S12" s="12">
        <f t="shared" si="0"/>
        <v>0.86962947916666655</v>
      </c>
      <c r="U12">
        <f t="shared" si="12"/>
        <v>4800</v>
      </c>
      <c r="V12">
        <f t="shared" si="13"/>
        <v>268.416</v>
      </c>
      <c r="W12">
        <f t="shared" si="1"/>
        <v>4245.9839999999995</v>
      </c>
      <c r="X12">
        <f t="shared" si="14"/>
        <v>71.762499999999818</v>
      </c>
      <c r="Y12">
        <f t="shared" si="2"/>
        <v>0.98309873518129132</v>
      </c>
      <c r="AA12">
        <f t="shared" si="3"/>
        <v>3975.4490476190472</v>
      </c>
      <c r="AB12">
        <f t="shared" si="15"/>
        <v>4178.8799999999992</v>
      </c>
      <c r="AC12">
        <f t="shared" si="16"/>
        <v>203.43095238095202</v>
      </c>
      <c r="AD12">
        <f t="shared" si="17"/>
        <v>0.95131926440075998</v>
      </c>
      <c r="AF12" s="6" t="s">
        <v>434</v>
      </c>
      <c r="AG12" s="19" t="s">
        <v>1705</v>
      </c>
    </row>
    <row r="13" spans="1:47" x14ac:dyDescent="0.35">
      <c r="A13" t="str">
        <f>'10_machine_capacity'!A13</f>
        <v>M022</v>
      </c>
      <c r="B13">
        <f>'10_machine_capacity'!B13</f>
        <v>4800</v>
      </c>
      <c r="C13">
        <f>'10_machine_capacity'!C13</f>
        <v>265.44</v>
      </c>
      <c r="D13">
        <f>'10_machine_capacity'!D13</f>
        <v>164.64</v>
      </c>
      <c r="E13">
        <f>'10_machine_capacity'!E13</f>
        <v>4369.92</v>
      </c>
      <c r="F13">
        <f>'10_machine_capacity'!G13</f>
        <v>4175.3734999999997</v>
      </c>
      <c r="G13">
        <f>'10_machine_capacity'!H13</f>
        <v>194.54650000000038</v>
      </c>
      <c r="H13">
        <f>'10_machine_capacity'!I13</f>
        <v>0.95548053511277087</v>
      </c>
      <c r="J13">
        <f t="shared" si="4"/>
        <v>5300</v>
      </c>
      <c r="K13">
        <f t="shared" si="5"/>
        <v>4655.3599999999997</v>
      </c>
      <c r="L13">
        <f t="shared" si="6"/>
        <v>480.56366666666599</v>
      </c>
      <c r="M13">
        <f t="shared" si="7"/>
        <v>0.78769742138364784</v>
      </c>
      <c r="O13" s="12">
        <f t="shared" si="8"/>
        <v>4800</v>
      </c>
      <c r="P13" s="12">
        <f t="shared" si="9"/>
        <v>295.05599999999998</v>
      </c>
      <c r="Q13" s="12">
        <f t="shared" si="10"/>
        <v>4188.1440000000002</v>
      </c>
      <c r="R13" s="12">
        <f t="shared" si="11"/>
        <v>13.347666666666555</v>
      </c>
      <c r="S13" s="12">
        <f t="shared" si="0"/>
        <v>0.86974923611111121</v>
      </c>
      <c r="U13">
        <f t="shared" si="12"/>
        <v>4800</v>
      </c>
      <c r="V13">
        <f t="shared" si="13"/>
        <v>253.44000000000003</v>
      </c>
      <c r="W13">
        <f t="shared" si="1"/>
        <v>4218.72</v>
      </c>
      <c r="X13">
        <f t="shared" si="14"/>
        <v>43.923666666666577</v>
      </c>
      <c r="Y13">
        <f t="shared" si="2"/>
        <v>0.98958839015941646</v>
      </c>
      <c r="AA13">
        <f t="shared" si="3"/>
        <v>3975.9965079365079</v>
      </c>
      <c r="AB13">
        <f t="shared" si="15"/>
        <v>4155.3599999999997</v>
      </c>
      <c r="AC13">
        <f t="shared" si="16"/>
        <v>179.36349206349178</v>
      </c>
      <c r="AD13">
        <f t="shared" si="17"/>
        <v>0.95683563107324232</v>
      </c>
      <c r="AF13" s="7" t="s">
        <v>1796</v>
      </c>
      <c r="AG13" s="11">
        <v>11.692881016914315</v>
      </c>
      <c r="AU13" t="s">
        <v>1843</v>
      </c>
    </row>
    <row r="14" spans="1:47" x14ac:dyDescent="0.35">
      <c r="A14" t="str">
        <f>'10_machine_capacity'!A14</f>
        <v>M017</v>
      </c>
      <c r="B14">
        <f>'10_machine_capacity'!B14</f>
        <v>4800</v>
      </c>
      <c r="C14">
        <f>'10_machine_capacity'!C14</f>
        <v>390.72</v>
      </c>
      <c r="D14">
        <f>'10_machine_capacity'!D14</f>
        <v>255.36</v>
      </c>
      <c r="E14">
        <f>'10_machine_capacity'!E14</f>
        <v>4153.92</v>
      </c>
      <c r="F14">
        <f>'10_machine_capacity'!G14</f>
        <v>4174.9915000000001</v>
      </c>
      <c r="G14">
        <f>'10_machine_capacity'!H14</f>
        <v>-21.071500000000015</v>
      </c>
      <c r="H14">
        <f>'10_machine_capacity'!I14</f>
        <v>1.0050726783375703</v>
      </c>
      <c r="J14">
        <f t="shared" si="4"/>
        <v>5300</v>
      </c>
      <c r="K14">
        <f t="shared" si="5"/>
        <v>4869.92</v>
      </c>
      <c r="L14">
        <f t="shared" si="6"/>
        <v>694.54650000000038</v>
      </c>
      <c r="M14">
        <f t="shared" si="7"/>
        <v>0.7878063207547169</v>
      </c>
      <c r="O14" s="12">
        <f t="shared" si="8"/>
        <v>4800</v>
      </c>
      <c r="P14" s="12">
        <f t="shared" si="9"/>
        <v>238.89600000000002</v>
      </c>
      <c r="Q14" s="12">
        <f t="shared" si="10"/>
        <v>4396.4639999999999</v>
      </c>
      <c r="R14" s="12">
        <f t="shared" si="11"/>
        <v>221.09050000000025</v>
      </c>
      <c r="S14" s="12">
        <f t="shared" si="0"/>
        <v>0.86986947916666657</v>
      </c>
      <c r="U14">
        <f t="shared" si="12"/>
        <v>4800</v>
      </c>
      <c r="V14">
        <f t="shared" si="13"/>
        <v>131.71199999999999</v>
      </c>
      <c r="W14">
        <f t="shared" si="1"/>
        <v>4402.848</v>
      </c>
      <c r="X14">
        <f t="shared" si="14"/>
        <v>227.47450000000026</v>
      </c>
      <c r="Y14">
        <f t="shared" si="2"/>
        <v>0.94833469154510897</v>
      </c>
      <c r="AA14">
        <f t="shared" si="3"/>
        <v>3976.5461904761901</v>
      </c>
      <c r="AB14">
        <f t="shared" si="15"/>
        <v>4369.92</v>
      </c>
      <c r="AC14">
        <f t="shared" si="16"/>
        <v>393.37380952381</v>
      </c>
      <c r="AD14">
        <f t="shared" si="17"/>
        <v>0.90998146201216268</v>
      </c>
      <c r="AF14" s="7" t="s">
        <v>1820</v>
      </c>
      <c r="AG14" s="11">
        <v>10.441601900123004</v>
      </c>
      <c r="AU14" t="s">
        <v>1844</v>
      </c>
    </row>
    <row r="15" spans="1:47" x14ac:dyDescent="0.35">
      <c r="A15" t="str">
        <f>'10_machine_capacity'!A15</f>
        <v>M023</v>
      </c>
      <c r="B15">
        <f>'10_machine_capacity'!B15</f>
        <v>4800</v>
      </c>
      <c r="C15">
        <f>'10_machine_capacity'!C15</f>
        <v>269.27999999999997</v>
      </c>
      <c r="D15">
        <f>'10_machine_capacity'!D15</f>
        <v>185.76</v>
      </c>
      <c r="E15">
        <f>'10_machine_capacity'!E15</f>
        <v>4344.96</v>
      </c>
      <c r="F15">
        <f>'10_machine_capacity'!G15</f>
        <v>4175.6196666666665</v>
      </c>
      <c r="G15">
        <f>'10_machine_capacity'!H15</f>
        <v>169.34033333333355</v>
      </c>
      <c r="H15">
        <f>'10_machine_capacity'!I15</f>
        <v>0.9610260316934256</v>
      </c>
      <c r="J15">
        <f t="shared" si="4"/>
        <v>5300</v>
      </c>
      <c r="K15">
        <f t="shared" si="5"/>
        <v>4653.92</v>
      </c>
      <c r="L15">
        <f t="shared" si="6"/>
        <v>478.92849999999999</v>
      </c>
      <c r="M15">
        <f t="shared" si="7"/>
        <v>0.78773424528301883</v>
      </c>
      <c r="O15" s="12">
        <f t="shared" si="8"/>
        <v>4800</v>
      </c>
      <c r="P15" s="12">
        <f t="shared" si="9"/>
        <v>351.64800000000002</v>
      </c>
      <c r="Q15" s="12">
        <f t="shared" si="10"/>
        <v>4192.9920000000002</v>
      </c>
      <c r="R15" s="12">
        <f t="shared" si="11"/>
        <v>18.000500000000102</v>
      </c>
      <c r="S15" s="12">
        <f t="shared" si="0"/>
        <v>0.86978989583333333</v>
      </c>
      <c r="U15">
        <f t="shared" si="12"/>
        <v>4800</v>
      </c>
      <c r="V15">
        <f t="shared" si="13"/>
        <v>204.28800000000001</v>
      </c>
      <c r="W15">
        <f t="shared" si="1"/>
        <v>4204.9920000000002</v>
      </c>
      <c r="X15">
        <f t="shared" si="14"/>
        <v>30.000500000000102</v>
      </c>
      <c r="Y15">
        <f t="shared" si="2"/>
        <v>0.99286550366802118</v>
      </c>
      <c r="AA15">
        <f t="shared" si="3"/>
        <v>3976.1823809523808</v>
      </c>
      <c r="AB15">
        <f t="shared" si="15"/>
        <v>4153.92</v>
      </c>
      <c r="AC15">
        <f t="shared" si="16"/>
        <v>177.73761904761932</v>
      </c>
      <c r="AD15">
        <f t="shared" si="17"/>
        <v>0.9572120746072097</v>
      </c>
      <c r="AF15" s="7" t="s">
        <v>1821</v>
      </c>
      <c r="AG15" s="11">
        <v>11.592115267639905</v>
      </c>
    </row>
    <row r="16" spans="1:47" x14ac:dyDescent="0.35">
      <c r="A16" t="str">
        <f>'10_machine_capacity'!A16</f>
        <v>M005</v>
      </c>
      <c r="B16">
        <f>'10_machine_capacity'!B16</f>
        <v>4800</v>
      </c>
      <c r="C16">
        <f>'10_machine_capacity'!C16</f>
        <v>476.64</v>
      </c>
      <c r="D16">
        <f>'10_machine_capacity'!D16</f>
        <v>225.12</v>
      </c>
      <c r="E16">
        <f>'10_machine_capacity'!E16</f>
        <v>4098.24</v>
      </c>
      <c r="F16">
        <f>'10_machine_capacity'!G16</f>
        <v>4174.9475000000002</v>
      </c>
      <c r="G16">
        <f>'10_machine_capacity'!H16</f>
        <v>-76.707500000000437</v>
      </c>
      <c r="H16">
        <f>'10_machine_capacity'!I16</f>
        <v>1.0187171810338098</v>
      </c>
      <c r="J16">
        <f t="shared" si="4"/>
        <v>5300</v>
      </c>
      <c r="K16">
        <f t="shared" si="5"/>
        <v>4844.96</v>
      </c>
      <c r="L16">
        <f t="shared" si="6"/>
        <v>669.34033333333355</v>
      </c>
      <c r="M16">
        <f t="shared" si="7"/>
        <v>0.7878527672955975</v>
      </c>
      <c r="O16" s="12">
        <f t="shared" si="8"/>
        <v>4800</v>
      </c>
      <c r="P16" s="12">
        <f t="shared" si="9"/>
        <v>242.35199999999998</v>
      </c>
      <c r="Q16" s="12">
        <f t="shared" si="10"/>
        <v>4371.8879999999999</v>
      </c>
      <c r="R16" s="12">
        <f t="shared" si="11"/>
        <v>196.26833333333343</v>
      </c>
      <c r="S16" s="12">
        <f t="shared" si="0"/>
        <v>0.86992076388888884</v>
      </c>
      <c r="U16">
        <f t="shared" si="12"/>
        <v>4800</v>
      </c>
      <c r="V16">
        <f t="shared" si="13"/>
        <v>148.608</v>
      </c>
      <c r="W16">
        <f t="shared" si="1"/>
        <v>4382.1120000000001</v>
      </c>
      <c r="X16">
        <f t="shared" si="14"/>
        <v>206.49233333333359</v>
      </c>
      <c r="Y16">
        <f t="shared" si="2"/>
        <v>0.95287835332977944</v>
      </c>
      <c r="AA16">
        <f t="shared" si="3"/>
        <v>3976.7806349206344</v>
      </c>
      <c r="AB16">
        <f t="shared" si="15"/>
        <v>4344.96</v>
      </c>
      <c r="AC16">
        <f t="shared" si="16"/>
        <v>368.17936507936565</v>
      </c>
      <c r="AD16">
        <f t="shared" si="17"/>
        <v>0.91526288732707195</v>
      </c>
      <c r="AF16" s="7" t="s">
        <v>1822</v>
      </c>
      <c r="AG16" s="11">
        <v>11.54624632921163</v>
      </c>
      <c r="AU16" t="s">
        <v>1845</v>
      </c>
    </row>
    <row r="17" spans="1:47" x14ac:dyDescent="0.35">
      <c r="A17" t="str">
        <f>'10_machine_capacity'!A17</f>
        <v>M007</v>
      </c>
      <c r="B17">
        <f>'10_machine_capacity'!B17</f>
        <v>4800</v>
      </c>
      <c r="C17">
        <f>'10_machine_capacity'!C17</f>
        <v>427.2</v>
      </c>
      <c r="D17">
        <f>'10_machine_capacity'!D17</f>
        <v>148.32</v>
      </c>
      <c r="E17">
        <f>'10_machine_capacity'!E17</f>
        <v>4224.4800000000005</v>
      </c>
      <c r="F17">
        <f>'10_machine_capacity'!G17</f>
        <v>4175.734833333333</v>
      </c>
      <c r="G17">
        <f>'10_machine_capacity'!H17</f>
        <v>48.745166666667501</v>
      </c>
      <c r="H17">
        <f>'10_machine_capacity'!I17</f>
        <v>0.98846126229342601</v>
      </c>
      <c r="J17">
        <f t="shared" si="4"/>
        <v>5300</v>
      </c>
      <c r="K17">
        <f t="shared" si="5"/>
        <v>4598.24</v>
      </c>
      <c r="L17">
        <f t="shared" si="6"/>
        <v>423.29249999999956</v>
      </c>
      <c r="M17">
        <f t="shared" si="7"/>
        <v>0.78772594339622648</v>
      </c>
      <c r="O17" s="12">
        <f t="shared" si="8"/>
        <v>4800</v>
      </c>
      <c r="P17" s="12">
        <f t="shared" si="9"/>
        <v>428.976</v>
      </c>
      <c r="Q17" s="12">
        <f t="shared" si="10"/>
        <v>4145.9040000000005</v>
      </c>
      <c r="R17" s="12">
        <f t="shared" si="11"/>
        <v>-29.043499999999767</v>
      </c>
      <c r="S17" s="12">
        <f t="shared" si="0"/>
        <v>0.86978072916666671</v>
      </c>
      <c r="U17">
        <f t="shared" si="12"/>
        <v>4800</v>
      </c>
      <c r="V17">
        <f t="shared" si="13"/>
        <v>180.096</v>
      </c>
      <c r="W17">
        <f t="shared" si="1"/>
        <v>4143.2639999999992</v>
      </c>
      <c r="X17">
        <f t="shared" si="14"/>
        <v>-31.683500000001004</v>
      </c>
      <c r="Y17">
        <f t="shared" si="2"/>
        <v>1.0076469903921161</v>
      </c>
      <c r="AA17">
        <f t="shared" si="3"/>
        <v>3976.1404761904764</v>
      </c>
      <c r="AB17">
        <f t="shared" si="15"/>
        <v>4098.24</v>
      </c>
      <c r="AC17">
        <f t="shared" si="16"/>
        <v>122.09952380952336</v>
      </c>
      <c r="AD17">
        <f t="shared" si="17"/>
        <v>0.97020683907981886</v>
      </c>
      <c r="AF17" s="7" t="s">
        <v>1823</v>
      </c>
      <c r="AG17" s="11">
        <v>12.186192134181239</v>
      </c>
      <c r="AU17" t="s">
        <v>1846</v>
      </c>
    </row>
    <row r="18" spans="1:47" x14ac:dyDescent="0.35">
      <c r="A18" t="str">
        <f>'10_machine_capacity'!A18</f>
        <v>M010</v>
      </c>
      <c r="B18">
        <f>'10_machine_capacity'!B18</f>
        <v>4800</v>
      </c>
      <c r="C18">
        <f>'10_machine_capacity'!C18</f>
        <v>333.6</v>
      </c>
      <c r="D18">
        <f>'10_machine_capacity'!D18</f>
        <v>240</v>
      </c>
      <c r="E18">
        <f>'10_machine_capacity'!E18</f>
        <v>4226.3999999999996</v>
      </c>
      <c r="F18">
        <f>'10_machine_capacity'!G18</f>
        <v>4175.8618333333334</v>
      </c>
      <c r="G18">
        <f>'10_machine_capacity'!H18</f>
        <v>50.538166666666257</v>
      </c>
      <c r="H18">
        <f>'10_machine_capacity'!I18</f>
        <v>0.98804226607356938</v>
      </c>
      <c r="J18">
        <f t="shared" si="4"/>
        <v>5300</v>
      </c>
      <c r="K18">
        <f t="shared" si="5"/>
        <v>4724.4800000000005</v>
      </c>
      <c r="L18">
        <f t="shared" si="6"/>
        <v>548.7451666666675</v>
      </c>
      <c r="M18">
        <f t="shared" si="7"/>
        <v>0.78787449685534583</v>
      </c>
      <c r="O18" s="12">
        <f t="shared" si="8"/>
        <v>4800</v>
      </c>
      <c r="P18" s="12">
        <f t="shared" si="9"/>
        <v>384.48</v>
      </c>
      <c r="Q18" s="12">
        <f t="shared" si="10"/>
        <v>4267.2000000000007</v>
      </c>
      <c r="R18" s="12">
        <f t="shared" si="11"/>
        <v>91.465166666667756</v>
      </c>
      <c r="S18" s="12">
        <f t="shared" si="0"/>
        <v>0.8699447569444444</v>
      </c>
      <c r="U18">
        <f t="shared" si="12"/>
        <v>4800</v>
      </c>
      <c r="V18">
        <f t="shared" si="13"/>
        <v>118.65600000000001</v>
      </c>
      <c r="W18">
        <f t="shared" si="1"/>
        <v>4254.1440000000002</v>
      </c>
      <c r="X18">
        <f t="shared" si="14"/>
        <v>78.409166666667261</v>
      </c>
      <c r="Y18">
        <f t="shared" si="2"/>
        <v>0.98156875586095171</v>
      </c>
      <c r="AA18">
        <f t="shared" si="3"/>
        <v>3976.890317460317</v>
      </c>
      <c r="AB18">
        <f t="shared" si="15"/>
        <v>4224.4800000000005</v>
      </c>
      <c r="AC18">
        <f t="shared" si="16"/>
        <v>247.58968253968351</v>
      </c>
      <c r="AD18">
        <f t="shared" si="17"/>
        <v>0.9413916783746914</v>
      </c>
    </row>
    <row r="19" spans="1:47" x14ac:dyDescent="0.35">
      <c r="A19" t="str">
        <f>'10_machine_capacity'!A19</f>
        <v>M018</v>
      </c>
      <c r="B19">
        <f>'10_machine_capacity'!B19</f>
        <v>4800</v>
      </c>
      <c r="C19">
        <f>'10_machine_capacity'!C19</f>
        <v>378.72</v>
      </c>
      <c r="D19">
        <f>'10_machine_capacity'!D19</f>
        <v>276</v>
      </c>
      <c r="E19">
        <f>'10_machine_capacity'!E19</f>
        <v>4145.28</v>
      </c>
      <c r="F19">
        <f>'10_machine_capacity'!G19</f>
        <v>4175.2153333333326</v>
      </c>
      <c r="G19">
        <f>'10_machine_capacity'!H19</f>
        <v>-29.935333333332892</v>
      </c>
      <c r="H19">
        <f>'10_machine_capacity'!I19</f>
        <v>1.0072215467551848</v>
      </c>
      <c r="J19">
        <f t="shared" si="4"/>
        <v>5300</v>
      </c>
      <c r="K19">
        <f t="shared" si="5"/>
        <v>4726.3999999999996</v>
      </c>
      <c r="L19">
        <f t="shared" si="6"/>
        <v>550.53816666666626</v>
      </c>
      <c r="M19">
        <f t="shared" si="7"/>
        <v>0.78789845911949685</v>
      </c>
      <c r="O19" s="12">
        <f t="shared" si="8"/>
        <v>4800</v>
      </c>
      <c r="P19" s="12">
        <f t="shared" si="9"/>
        <v>300.24</v>
      </c>
      <c r="Q19" s="12">
        <f t="shared" si="10"/>
        <v>4259.76</v>
      </c>
      <c r="R19" s="12">
        <f t="shared" si="11"/>
        <v>83.898166666666839</v>
      </c>
      <c r="S19" s="12">
        <f t="shared" si="0"/>
        <v>0.86997121527777777</v>
      </c>
      <c r="U19">
        <f t="shared" si="12"/>
        <v>4800</v>
      </c>
      <c r="V19">
        <f t="shared" si="13"/>
        <v>192</v>
      </c>
      <c r="W19">
        <f t="shared" si="1"/>
        <v>4274.3999999999996</v>
      </c>
      <c r="X19">
        <f t="shared" si="14"/>
        <v>98.538166666666257</v>
      </c>
      <c r="Y19">
        <f t="shared" si="2"/>
        <v>0.97694690092956527</v>
      </c>
      <c r="AA19">
        <f t="shared" si="3"/>
        <v>3977.0112698412695</v>
      </c>
      <c r="AB19">
        <f t="shared" si="15"/>
        <v>4226.3999999999996</v>
      </c>
      <c r="AC19">
        <f t="shared" si="16"/>
        <v>249.38873015873014</v>
      </c>
      <c r="AD19">
        <f t="shared" si="17"/>
        <v>0.94099263435578029</v>
      </c>
    </row>
    <row r="20" spans="1:47" x14ac:dyDescent="0.35">
      <c r="A20" t="str">
        <f>'10_machine_capacity'!A20</f>
        <v>M006</v>
      </c>
      <c r="B20">
        <f>'10_machine_capacity'!B20</f>
        <v>4800</v>
      </c>
      <c r="C20">
        <f>'10_machine_capacity'!C20</f>
        <v>458.88</v>
      </c>
      <c r="D20">
        <f>'10_machine_capacity'!D20</f>
        <v>292.8</v>
      </c>
      <c r="E20">
        <f>'10_machine_capacity'!E20</f>
        <v>4048.3199999999997</v>
      </c>
      <c r="F20">
        <f>'10_machine_capacity'!G20</f>
        <v>4174.148000000001</v>
      </c>
      <c r="G20">
        <f>'10_machine_capacity'!H20</f>
        <v>-125.82800000000134</v>
      </c>
      <c r="H20">
        <f>'10_machine_capacity'!I20</f>
        <v>1.0310815350565177</v>
      </c>
      <c r="J20">
        <f t="shared" si="4"/>
        <v>5300</v>
      </c>
      <c r="K20">
        <f t="shared" si="5"/>
        <v>4645.28</v>
      </c>
      <c r="L20">
        <f t="shared" si="6"/>
        <v>470.06466666666711</v>
      </c>
      <c r="M20">
        <f t="shared" si="7"/>
        <v>0.78777647798742123</v>
      </c>
      <c r="O20" s="12">
        <f t="shared" si="8"/>
        <v>4800</v>
      </c>
      <c r="P20" s="12">
        <f t="shared" si="9"/>
        <v>340.84800000000001</v>
      </c>
      <c r="Q20" s="12">
        <f t="shared" si="10"/>
        <v>4183.152</v>
      </c>
      <c r="R20" s="12">
        <f t="shared" si="11"/>
        <v>7.9366666666674064</v>
      </c>
      <c r="S20" s="12">
        <f t="shared" si="0"/>
        <v>0.86983652777777765</v>
      </c>
      <c r="U20">
        <f t="shared" si="12"/>
        <v>4800</v>
      </c>
      <c r="V20">
        <f t="shared" si="13"/>
        <v>220.8</v>
      </c>
      <c r="W20">
        <f t="shared" si="1"/>
        <v>4200.4799999999996</v>
      </c>
      <c r="X20">
        <f t="shared" si="14"/>
        <v>25.264666666666926</v>
      </c>
      <c r="Y20">
        <f t="shared" si="2"/>
        <v>0.99398529056996654</v>
      </c>
      <c r="AA20">
        <f t="shared" si="3"/>
        <v>3976.3955555555549</v>
      </c>
      <c r="AB20">
        <f t="shared" si="15"/>
        <v>4145.28</v>
      </c>
      <c r="AC20">
        <f t="shared" si="16"/>
        <v>168.88444444444485</v>
      </c>
      <c r="AD20">
        <f t="shared" si="17"/>
        <v>0.95925861595731898</v>
      </c>
      <c r="AF20" s="7" t="s">
        <v>1829</v>
      </c>
      <c r="AU20" s="1" t="s">
        <v>1847</v>
      </c>
    </row>
    <row r="21" spans="1:47" x14ac:dyDescent="0.35">
      <c r="A21" t="str">
        <f>'10_machine_capacity'!A21</f>
        <v>M021</v>
      </c>
      <c r="B21">
        <f>'10_machine_capacity'!B21</f>
        <v>4800</v>
      </c>
      <c r="C21">
        <f>'10_machine_capacity'!C21</f>
        <v>372.96</v>
      </c>
      <c r="D21">
        <f>'10_machine_capacity'!D21</f>
        <v>303.36</v>
      </c>
      <c r="E21">
        <f>'10_machine_capacity'!E21</f>
        <v>4123.68</v>
      </c>
      <c r="F21">
        <f>'10_machine_capacity'!G21</f>
        <v>4175.1948333333321</v>
      </c>
      <c r="G21">
        <f>'10_machine_capacity'!H21</f>
        <v>-51.514833333331808</v>
      </c>
      <c r="H21">
        <f>'10_machine_capacity'!I21</f>
        <v>1.0124924420258923</v>
      </c>
      <c r="J21">
        <f t="shared" si="4"/>
        <v>5300</v>
      </c>
      <c r="K21">
        <f t="shared" si="5"/>
        <v>4548.32</v>
      </c>
      <c r="L21">
        <f t="shared" si="6"/>
        <v>374.17199999999866</v>
      </c>
      <c r="M21">
        <f t="shared" si="7"/>
        <v>0.78757509433962281</v>
      </c>
      <c r="O21" s="12">
        <f t="shared" si="8"/>
        <v>4800</v>
      </c>
      <c r="P21" s="12">
        <f t="shared" si="9"/>
        <v>412.99200000000002</v>
      </c>
      <c r="Q21" s="12">
        <f t="shared" si="10"/>
        <v>4094.2079999999996</v>
      </c>
      <c r="R21" s="12">
        <f t="shared" si="11"/>
        <v>-79.940000000001419</v>
      </c>
      <c r="S21" s="12">
        <f t="shared" si="0"/>
        <v>0.86961416666666691</v>
      </c>
      <c r="U21">
        <f t="shared" si="12"/>
        <v>4800</v>
      </c>
      <c r="V21">
        <f t="shared" si="13"/>
        <v>234.24</v>
      </c>
      <c r="W21">
        <f t="shared" si="1"/>
        <v>4106.88</v>
      </c>
      <c r="X21">
        <f t="shared" si="14"/>
        <v>-67.268000000000939</v>
      </c>
      <c r="Y21">
        <f t="shared" si="2"/>
        <v>1.0163793439301856</v>
      </c>
      <c r="AA21">
        <f t="shared" si="3"/>
        <v>3975.3790476190484</v>
      </c>
      <c r="AB21">
        <f t="shared" si="15"/>
        <v>4048.3199999999997</v>
      </c>
      <c r="AC21">
        <f t="shared" si="16"/>
        <v>72.94095238095133</v>
      </c>
      <c r="AD21">
        <f t="shared" si="17"/>
        <v>0.98198241433954048</v>
      </c>
      <c r="AF21" s="6" t="s">
        <v>434</v>
      </c>
      <c r="AG21" s="19" t="s">
        <v>1706</v>
      </c>
      <c r="AM21" t="s">
        <v>1686</v>
      </c>
      <c r="AN21" s="1" t="s">
        <v>1830</v>
      </c>
      <c r="AU21" t="s">
        <v>1848</v>
      </c>
    </row>
    <row r="22" spans="1:47" x14ac:dyDescent="0.35">
      <c r="A22" t="str">
        <f>'10_machine_capacity'!A22</f>
        <v>M003</v>
      </c>
      <c r="B22">
        <f>'10_machine_capacity'!B22</f>
        <v>4800</v>
      </c>
      <c r="C22">
        <f>'10_machine_capacity'!C22</f>
        <v>281.76</v>
      </c>
      <c r="D22">
        <f>'10_machine_capacity'!D22</f>
        <v>344.64</v>
      </c>
      <c r="E22">
        <f>'10_machine_capacity'!E22</f>
        <v>4173.5999999999995</v>
      </c>
      <c r="F22">
        <f>'10_machine_capacity'!G22</f>
        <v>4174.929000000001</v>
      </c>
      <c r="G22">
        <f>'10_machine_capacity'!H22</f>
        <v>-1.3290000000015425</v>
      </c>
      <c r="H22">
        <f>'10_machine_capacity'!I22</f>
        <v>1.0003184301322603</v>
      </c>
      <c r="J22">
        <f t="shared" si="4"/>
        <v>5300</v>
      </c>
      <c r="K22">
        <f t="shared" si="5"/>
        <v>4623.68</v>
      </c>
      <c r="L22">
        <f t="shared" si="6"/>
        <v>448.48516666666819</v>
      </c>
      <c r="M22">
        <f t="shared" si="7"/>
        <v>0.7877726100628929</v>
      </c>
      <c r="O22" s="12">
        <f t="shared" si="8"/>
        <v>4800</v>
      </c>
      <c r="P22" s="12">
        <f t="shared" si="9"/>
        <v>335.66399999999999</v>
      </c>
      <c r="Q22" s="12">
        <f t="shared" si="10"/>
        <v>4160.9760000000006</v>
      </c>
      <c r="R22" s="12">
        <f t="shared" si="11"/>
        <v>-14.218833333331531</v>
      </c>
      <c r="S22" s="12">
        <f t="shared" si="0"/>
        <v>0.86983225694444422</v>
      </c>
      <c r="U22">
        <f t="shared" si="12"/>
        <v>4800</v>
      </c>
      <c r="V22">
        <f t="shared" si="13"/>
        <v>242.68800000000002</v>
      </c>
      <c r="W22">
        <f t="shared" si="1"/>
        <v>4184.3519999999999</v>
      </c>
      <c r="X22">
        <f t="shared" si="14"/>
        <v>9.1571666666677629</v>
      </c>
      <c r="Y22">
        <f t="shared" si="2"/>
        <v>0.99781156875266042</v>
      </c>
      <c r="AA22">
        <f t="shared" si="3"/>
        <v>3976.3760317460305</v>
      </c>
      <c r="AB22">
        <f t="shared" si="15"/>
        <v>4123.68</v>
      </c>
      <c r="AC22">
        <f t="shared" si="16"/>
        <v>147.30396825396974</v>
      </c>
      <c r="AD22">
        <f t="shared" si="17"/>
        <v>0.96427851621513561</v>
      </c>
      <c r="AF22" s="7" t="s">
        <v>1796</v>
      </c>
      <c r="AG22" s="11">
        <v>13</v>
      </c>
    </row>
    <row r="23" spans="1:47" x14ac:dyDescent="0.35">
      <c r="A23" t="str">
        <f>'10_machine_capacity'!A23</f>
        <v>M025</v>
      </c>
      <c r="B23">
        <f>'10_machine_capacity'!B23</f>
        <v>4800</v>
      </c>
      <c r="C23">
        <f>'10_machine_capacity'!C23</f>
        <v>330.72</v>
      </c>
      <c r="D23">
        <f>'10_machine_capacity'!D23</f>
        <v>195.84</v>
      </c>
      <c r="E23">
        <f>'10_machine_capacity'!E23</f>
        <v>4273.4399999999996</v>
      </c>
      <c r="F23">
        <f>'10_machine_capacity'!G23</f>
        <v>4175.7816666666668</v>
      </c>
      <c r="G23">
        <f>'10_machine_capacity'!H23</f>
        <v>97.658333333332848</v>
      </c>
      <c r="H23">
        <f>'10_machine_capacity'!I23</f>
        <v>0.97714760629999886</v>
      </c>
      <c r="J23">
        <f t="shared" si="4"/>
        <v>5300</v>
      </c>
      <c r="K23">
        <f t="shared" si="5"/>
        <v>4673.5999999999995</v>
      </c>
      <c r="L23">
        <f t="shared" si="6"/>
        <v>498.67099999999846</v>
      </c>
      <c r="M23">
        <f t="shared" si="7"/>
        <v>0.78772245283018882</v>
      </c>
      <c r="O23" s="12">
        <f t="shared" si="8"/>
        <v>4800</v>
      </c>
      <c r="P23" s="12">
        <f t="shared" si="9"/>
        <v>253.584</v>
      </c>
      <c r="Q23" s="12">
        <f t="shared" si="10"/>
        <v>4201.7759999999998</v>
      </c>
      <c r="R23" s="12">
        <f t="shared" si="11"/>
        <v>26.846999999998843</v>
      </c>
      <c r="S23" s="12">
        <f t="shared" si="0"/>
        <v>0.86977687500000023</v>
      </c>
      <c r="U23">
        <f t="shared" si="12"/>
        <v>4800</v>
      </c>
      <c r="V23">
        <f t="shared" si="13"/>
        <v>275.71199999999999</v>
      </c>
      <c r="W23">
        <f t="shared" si="1"/>
        <v>4242.5280000000002</v>
      </c>
      <c r="X23">
        <f t="shared" si="14"/>
        <v>67.598999999999251</v>
      </c>
      <c r="Y23">
        <f t="shared" si="2"/>
        <v>0.98406633969180657</v>
      </c>
      <c r="AA23">
        <f t="shared" si="3"/>
        <v>3976.1228571428578</v>
      </c>
      <c r="AB23">
        <f t="shared" si="15"/>
        <v>4173.5999999999995</v>
      </c>
      <c r="AC23">
        <f t="shared" si="16"/>
        <v>197.47714285714164</v>
      </c>
      <c r="AD23">
        <f t="shared" si="17"/>
        <v>0.95268421917358115</v>
      </c>
      <c r="AF23" s="7" t="s">
        <v>1820</v>
      </c>
      <c r="AG23" s="11">
        <v>0</v>
      </c>
    </row>
    <row r="24" spans="1:47" x14ac:dyDescent="0.35">
      <c r="A24" t="str">
        <f>'10_machine_capacity'!A24</f>
        <v>M015</v>
      </c>
      <c r="B24">
        <f>'10_machine_capacity'!B24</f>
        <v>4800</v>
      </c>
      <c r="C24">
        <f>'10_machine_capacity'!C24</f>
        <v>442.56</v>
      </c>
      <c r="D24">
        <f>'10_machine_capacity'!D24</f>
        <v>172.8</v>
      </c>
      <c r="E24">
        <f>'10_machine_capacity'!E24</f>
        <v>4184.6399999999994</v>
      </c>
      <c r="F24">
        <f>'10_machine_capacity'!G24</f>
        <v>4175.3556666666673</v>
      </c>
      <c r="G24">
        <f>'10_machine_capacity'!H24</f>
        <v>9.2843333333321425</v>
      </c>
      <c r="H24">
        <f>'10_machine_capacity'!I24</f>
        <v>0.99778133045295836</v>
      </c>
      <c r="J24">
        <f t="shared" si="4"/>
        <v>5300</v>
      </c>
      <c r="K24">
        <f t="shared" si="5"/>
        <v>4773.4399999999996</v>
      </c>
      <c r="L24">
        <f t="shared" si="6"/>
        <v>597.65833333333285</v>
      </c>
      <c r="M24">
        <f t="shared" si="7"/>
        <v>0.78788333333333338</v>
      </c>
      <c r="O24" s="12">
        <f t="shared" si="8"/>
        <v>4800</v>
      </c>
      <c r="P24" s="12">
        <f t="shared" si="9"/>
        <v>297.64800000000002</v>
      </c>
      <c r="Q24" s="12">
        <f t="shared" si="10"/>
        <v>4306.5119999999997</v>
      </c>
      <c r="R24" s="12">
        <f t="shared" si="11"/>
        <v>130.73033333333296</v>
      </c>
      <c r="S24" s="12">
        <f t="shared" si="0"/>
        <v>0.86995451388888889</v>
      </c>
      <c r="U24">
        <f t="shared" si="12"/>
        <v>4800</v>
      </c>
      <c r="V24">
        <f t="shared" si="13"/>
        <v>156.67200000000003</v>
      </c>
      <c r="W24">
        <f t="shared" si="1"/>
        <v>4312.6080000000002</v>
      </c>
      <c r="X24">
        <f t="shared" si="14"/>
        <v>136.82633333333342</v>
      </c>
      <c r="Y24">
        <f t="shared" si="2"/>
        <v>0.96827294914508033</v>
      </c>
      <c r="AA24">
        <f t="shared" si="3"/>
        <v>3976.9349206349207</v>
      </c>
      <c r="AB24">
        <f t="shared" si="15"/>
        <v>4273.4399999999996</v>
      </c>
      <c r="AC24">
        <f t="shared" si="16"/>
        <v>296.50507936507893</v>
      </c>
      <c r="AD24">
        <f t="shared" si="17"/>
        <v>0.93061676790476078</v>
      </c>
      <c r="AF24" s="7" t="s">
        <v>1821</v>
      </c>
      <c r="AG24" s="11">
        <v>8</v>
      </c>
    </row>
    <row r="25" spans="1:47" x14ac:dyDescent="0.35">
      <c r="A25" t="str">
        <f>'10_machine_capacity'!A25</f>
        <v>M019</v>
      </c>
      <c r="B25">
        <f>'10_machine_capacity'!B25</f>
        <v>4800</v>
      </c>
      <c r="C25">
        <f>'10_machine_capacity'!C25</f>
        <v>394.56</v>
      </c>
      <c r="D25">
        <f>'10_machine_capacity'!D25</f>
        <v>348.48</v>
      </c>
      <c r="E25">
        <f>'10_machine_capacity'!E25</f>
        <v>4056.9599999999996</v>
      </c>
      <c r="F25">
        <f>'10_machine_capacity'!G25</f>
        <v>4175.5071666666663</v>
      </c>
      <c r="G25">
        <f>'10_machine_capacity'!H25</f>
        <v>-118.54716666666673</v>
      </c>
      <c r="H25">
        <f>'10_machine_capacity'!I25</f>
        <v>1.0292206890545301</v>
      </c>
      <c r="J25">
        <f t="shared" si="4"/>
        <v>5300</v>
      </c>
      <c r="K25">
        <f t="shared" si="5"/>
        <v>4684.6399999999994</v>
      </c>
      <c r="L25">
        <f t="shared" si="6"/>
        <v>509.28433333333214</v>
      </c>
      <c r="M25">
        <f t="shared" si="7"/>
        <v>0.78780295597484284</v>
      </c>
      <c r="O25" s="12">
        <f t="shared" si="8"/>
        <v>4800</v>
      </c>
      <c r="P25" s="12">
        <f t="shared" si="9"/>
        <v>398.30400000000003</v>
      </c>
      <c r="Q25" s="12">
        <f t="shared" si="10"/>
        <v>4228.8959999999997</v>
      </c>
      <c r="R25" s="12">
        <f t="shared" si="11"/>
        <v>53.540333333332455</v>
      </c>
      <c r="S25" s="12">
        <f t="shared" si="0"/>
        <v>0.86986576388888903</v>
      </c>
      <c r="U25">
        <f t="shared" si="12"/>
        <v>4800</v>
      </c>
      <c r="V25">
        <f t="shared" si="13"/>
        <v>138.24</v>
      </c>
      <c r="W25">
        <f t="shared" si="1"/>
        <v>4219.2</v>
      </c>
      <c r="X25">
        <f t="shared" si="14"/>
        <v>43.844333333332543</v>
      </c>
      <c r="Y25">
        <f t="shared" si="2"/>
        <v>0.98960837757552789</v>
      </c>
      <c r="AA25">
        <f t="shared" si="3"/>
        <v>3976.5292063492066</v>
      </c>
      <c r="AB25">
        <f t="shared" si="15"/>
        <v>4184.6399999999994</v>
      </c>
      <c r="AC25">
        <f t="shared" si="16"/>
        <v>208.11079365079286</v>
      </c>
      <c r="AD25">
        <f t="shared" si="17"/>
        <v>0.95026793376472218</v>
      </c>
      <c r="AF25" s="7" t="s">
        <v>1822</v>
      </c>
      <c r="AG25" s="11">
        <v>6</v>
      </c>
    </row>
    <row r="26" spans="1:47" x14ac:dyDescent="0.35">
      <c r="A26" t="str">
        <f>'10_machine_capacity'!A26</f>
        <v>M012</v>
      </c>
      <c r="B26">
        <f>'10_machine_capacity'!B26</f>
        <v>4800</v>
      </c>
      <c r="C26">
        <f>'10_machine_capacity'!C26</f>
        <v>396</v>
      </c>
      <c r="D26">
        <f>'10_machine_capacity'!D26</f>
        <v>181.44</v>
      </c>
      <c r="E26">
        <f>'10_machine_capacity'!E26</f>
        <v>4222.5600000000004</v>
      </c>
      <c r="F26">
        <f>'10_machine_capacity'!G26</f>
        <v>4175.9561666666668</v>
      </c>
      <c r="G26">
        <f>'10_machine_capacity'!H26</f>
        <v>46.603833333333569</v>
      </c>
      <c r="H26">
        <f>'10_machine_capacity'!I26</f>
        <v>0.988963132949364</v>
      </c>
      <c r="J26">
        <f t="shared" si="4"/>
        <v>5300</v>
      </c>
      <c r="K26">
        <f t="shared" si="5"/>
        <v>4556.9599999999991</v>
      </c>
      <c r="L26">
        <f t="shared" si="6"/>
        <v>381.45283333333282</v>
      </c>
      <c r="M26">
        <f t="shared" si="7"/>
        <v>0.78783154088050311</v>
      </c>
      <c r="O26" s="12">
        <f t="shared" si="8"/>
        <v>4800</v>
      </c>
      <c r="P26" s="12">
        <f t="shared" si="9"/>
        <v>355.10399999999998</v>
      </c>
      <c r="Q26" s="12">
        <f t="shared" si="10"/>
        <v>4096.4159999999993</v>
      </c>
      <c r="R26" s="12">
        <f t="shared" si="11"/>
        <v>-79.09116666666705</v>
      </c>
      <c r="S26" s="12">
        <f t="shared" si="0"/>
        <v>0.86989732638888884</v>
      </c>
      <c r="U26">
        <f t="shared" si="12"/>
        <v>4800</v>
      </c>
      <c r="V26">
        <f t="shared" si="13"/>
        <v>278.78400000000005</v>
      </c>
      <c r="W26">
        <f t="shared" si="1"/>
        <v>4126.6559999999999</v>
      </c>
      <c r="X26">
        <f t="shared" si="14"/>
        <v>-48.851166666666359</v>
      </c>
      <c r="Y26">
        <f t="shared" si="2"/>
        <v>1.0118379546699958</v>
      </c>
      <c r="AA26">
        <f t="shared" si="3"/>
        <v>3976.6734920634917</v>
      </c>
      <c r="AB26">
        <f t="shared" si="15"/>
        <v>4056.9599999999996</v>
      </c>
      <c r="AC26">
        <f t="shared" si="16"/>
        <v>80.28650793650786</v>
      </c>
      <c r="AD26">
        <f t="shared" si="17"/>
        <v>0.9802101800519335</v>
      </c>
      <c r="AF26" s="7" t="s">
        <v>1823</v>
      </c>
      <c r="AG26" s="11">
        <v>0</v>
      </c>
    </row>
    <row r="27" spans="1:47" x14ac:dyDescent="0.35">
      <c r="J27">
        <f t="shared" si="4"/>
        <v>5300</v>
      </c>
      <c r="K27">
        <f t="shared" si="5"/>
        <v>4722.5600000000004</v>
      </c>
      <c r="L27">
        <f t="shared" si="6"/>
        <v>546.60383333333357</v>
      </c>
      <c r="M27">
        <f t="shared" si="7"/>
        <v>0.78791625786163522</v>
      </c>
      <c r="O27" s="12">
        <f t="shared" si="8"/>
        <v>4800</v>
      </c>
      <c r="P27" s="12">
        <f t="shared" si="9"/>
        <v>356.40000000000003</v>
      </c>
      <c r="Q27" s="12">
        <f t="shared" si="10"/>
        <v>4262.1600000000008</v>
      </c>
      <c r="R27" s="12">
        <f t="shared" si="11"/>
        <v>86.203833333333932</v>
      </c>
      <c r="S27" s="12">
        <f t="shared" si="0"/>
        <v>0.86999086805555559</v>
      </c>
      <c r="U27">
        <f t="shared" si="12"/>
        <v>4800</v>
      </c>
      <c r="V27">
        <f t="shared" si="13"/>
        <v>145.15200000000002</v>
      </c>
      <c r="W27">
        <f t="shared" si="1"/>
        <v>4258.848</v>
      </c>
      <c r="X27">
        <f t="shared" si="14"/>
        <v>82.891833333333125</v>
      </c>
      <c r="Y27">
        <f t="shared" si="2"/>
        <v>0.98053655980834886</v>
      </c>
      <c r="AA27">
        <f t="shared" si="3"/>
        <v>3977.1011111111111</v>
      </c>
      <c r="AB27">
        <f t="shared" si="15"/>
        <v>4222.5600000000004</v>
      </c>
      <c r="AC27">
        <f t="shared" si="16"/>
        <v>245.45888888888931</v>
      </c>
      <c r="AD27">
        <f t="shared" si="17"/>
        <v>0.94186965042796567</v>
      </c>
    </row>
    <row r="29" spans="1:47" x14ac:dyDescent="0.35">
      <c r="AF29" t="s">
        <v>1831</v>
      </c>
    </row>
    <row r="30" spans="1:47" x14ac:dyDescent="0.35">
      <c r="AE30" s="18"/>
      <c r="AF30" t="s">
        <v>121</v>
      </c>
      <c r="AG30" s="11" t="s">
        <v>1796</v>
      </c>
      <c r="AH30" s="11" t="s">
        <v>1832</v>
      </c>
      <c r="AI30" s="11" t="s">
        <v>1833</v>
      </c>
      <c r="AJ30" s="11" t="s">
        <v>1834</v>
      </c>
      <c r="AK30" s="11" t="s">
        <v>1823</v>
      </c>
    </row>
    <row r="31" spans="1:47" x14ac:dyDescent="0.35">
      <c r="AF31" t="str">
        <f>A2</f>
        <v>M014</v>
      </c>
      <c r="AG31">
        <f>G2</f>
        <v>-51.318000000000211</v>
      </c>
      <c r="AH31">
        <f>L3</f>
        <v>448.68199999999979</v>
      </c>
      <c r="AI31">
        <f>R3</f>
        <v>-18.918000000000575</v>
      </c>
      <c r="AJ31">
        <f>X3</f>
        <v>19.050000000000182</v>
      </c>
      <c r="AK31">
        <f>AC3</f>
        <v>147.51428571428551</v>
      </c>
    </row>
    <row r="32" spans="1:47" x14ac:dyDescent="0.35">
      <c r="AF32" t="str">
        <f t="shared" ref="AF32:AF55" si="19">A3</f>
        <v>M002</v>
      </c>
      <c r="AG32">
        <f t="shared" ref="AG32:AG55" si="20">G3</f>
        <v>-158.46333333333268</v>
      </c>
      <c r="AH32">
        <f t="shared" ref="AH32:AH55" si="21">L4</f>
        <v>341.53666666666686</v>
      </c>
      <c r="AI32">
        <f t="shared" ref="AI32:AI55" si="22">R4</f>
        <v>-115.93533333333335</v>
      </c>
      <c r="AJ32">
        <f t="shared" ref="AJ32:AJ55" si="23">X4</f>
        <v>-86.751333333332695</v>
      </c>
      <c r="AK32">
        <f t="shared" ref="AK32:AK55" si="24">AC4</f>
        <v>40.328253968254558</v>
      </c>
    </row>
    <row r="33" spans="32:40" x14ac:dyDescent="0.35">
      <c r="AF33" t="str">
        <f t="shared" si="19"/>
        <v>M020</v>
      </c>
      <c r="AG33">
        <f t="shared" si="20"/>
        <v>-172.94766666666783</v>
      </c>
      <c r="AH33">
        <f t="shared" si="21"/>
        <v>327.05233333333217</v>
      </c>
      <c r="AI33">
        <f t="shared" si="22"/>
        <v>-129.65166666666755</v>
      </c>
      <c r="AJ33">
        <f t="shared" si="23"/>
        <v>-99.987666666667792</v>
      </c>
      <c r="AK33">
        <f t="shared" si="24"/>
        <v>25.870793650792621</v>
      </c>
    </row>
    <row r="34" spans="32:40" x14ac:dyDescent="0.35">
      <c r="AF34" t="str">
        <f t="shared" si="19"/>
        <v>M008</v>
      </c>
      <c r="AG34">
        <f t="shared" si="20"/>
        <v>180.6869999999999</v>
      </c>
      <c r="AH34">
        <f t="shared" si="21"/>
        <v>680.6869999999999</v>
      </c>
      <c r="AI34">
        <f t="shared" si="22"/>
        <v>208.38299999999981</v>
      </c>
      <c r="AJ34">
        <f t="shared" si="23"/>
        <v>213.99900000000071</v>
      </c>
      <c r="AK34">
        <f t="shared" si="24"/>
        <v>379.53428571428594</v>
      </c>
    </row>
    <row r="35" spans="32:40" x14ac:dyDescent="0.35">
      <c r="AF35" t="str">
        <f t="shared" si="19"/>
        <v>M009</v>
      </c>
      <c r="AG35">
        <f t="shared" si="20"/>
        <v>21.709166666666533</v>
      </c>
      <c r="AH35">
        <f t="shared" si="21"/>
        <v>521.70916666666653</v>
      </c>
      <c r="AI35">
        <f t="shared" si="22"/>
        <v>54.493166666667094</v>
      </c>
      <c r="AJ35">
        <f t="shared" si="23"/>
        <v>76.621166666666795</v>
      </c>
      <c r="AK35">
        <f t="shared" si="24"/>
        <v>220.56111111111113</v>
      </c>
    </row>
    <row r="36" spans="32:40" x14ac:dyDescent="0.35">
      <c r="AF36" t="str">
        <f t="shared" si="19"/>
        <v>M013</v>
      </c>
      <c r="AG36">
        <f t="shared" si="20"/>
        <v>-27.111666666667588</v>
      </c>
      <c r="AH36">
        <f t="shared" si="21"/>
        <v>472.88833333333241</v>
      </c>
      <c r="AI36">
        <f t="shared" si="22"/>
        <v>5.8643333333329792</v>
      </c>
      <c r="AJ36">
        <f t="shared" si="23"/>
        <v>37.20833333333303</v>
      </c>
      <c r="AK36">
        <f t="shared" si="24"/>
        <v>171.73365079365021</v>
      </c>
    </row>
    <row r="37" spans="32:40" x14ac:dyDescent="0.35">
      <c r="AF37" t="str">
        <f t="shared" si="19"/>
        <v>M024</v>
      </c>
      <c r="AG37">
        <f t="shared" si="20"/>
        <v>22.553499999999985</v>
      </c>
      <c r="AH37">
        <f t="shared" si="21"/>
        <v>522.55349999999999</v>
      </c>
      <c r="AI37">
        <f t="shared" si="22"/>
        <v>50.201499999999214</v>
      </c>
      <c r="AJ37">
        <f t="shared" si="23"/>
        <v>87.641499999999724</v>
      </c>
      <c r="AK37">
        <f t="shared" si="24"/>
        <v>221.3880952380955</v>
      </c>
    </row>
    <row r="38" spans="32:40" x14ac:dyDescent="0.35">
      <c r="AF38" t="str">
        <f t="shared" si="19"/>
        <v>M004</v>
      </c>
      <c r="AG38">
        <f t="shared" si="20"/>
        <v>-95.693833333334169</v>
      </c>
      <c r="AH38">
        <f t="shared" si="21"/>
        <v>404.30616666666629</v>
      </c>
      <c r="AI38">
        <f t="shared" si="22"/>
        <v>-52.54183333333367</v>
      </c>
      <c r="AJ38">
        <f t="shared" si="23"/>
        <v>-37.805833333333794</v>
      </c>
      <c r="AK38">
        <f t="shared" si="24"/>
        <v>103.10301587301501</v>
      </c>
    </row>
    <row r="39" spans="32:40" x14ac:dyDescent="0.35">
      <c r="AF39" t="str">
        <f t="shared" si="19"/>
        <v>M011</v>
      </c>
      <c r="AG39">
        <f t="shared" si="20"/>
        <v>30.527000000000044</v>
      </c>
      <c r="AH39">
        <f t="shared" si="21"/>
        <v>530.52700000000004</v>
      </c>
      <c r="AI39">
        <f t="shared" si="22"/>
        <v>71.519000000000233</v>
      </c>
      <c r="AJ39">
        <f t="shared" si="23"/>
        <v>67.295000000000073</v>
      </c>
      <c r="AK39">
        <f t="shared" si="24"/>
        <v>229.37047619047644</v>
      </c>
    </row>
    <row r="40" spans="32:40" x14ac:dyDescent="0.35">
      <c r="AF40" t="str">
        <f t="shared" si="19"/>
        <v>M016</v>
      </c>
      <c r="AG40">
        <f t="shared" si="20"/>
        <v>4.6584999999995489</v>
      </c>
      <c r="AH40">
        <f t="shared" si="21"/>
        <v>504.65849999999955</v>
      </c>
      <c r="AI40">
        <f t="shared" si="22"/>
        <v>33.218500000000859</v>
      </c>
      <c r="AJ40">
        <f t="shared" si="23"/>
        <v>71.762499999999818</v>
      </c>
      <c r="AK40">
        <f t="shared" si="24"/>
        <v>203.43095238095202</v>
      </c>
      <c r="AM40" t="s">
        <v>1686</v>
      </c>
      <c r="AN40" s="1" t="s">
        <v>1835</v>
      </c>
    </row>
    <row r="41" spans="32:40" x14ac:dyDescent="0.35">
      <c r="AF41" t="str">
        <f t="shared" si="19"/>
        <v>M001</v>
      </c>
      <c r="AG41">
        <f t="shared" si="20"/>
        <v>-19.436333333334005</v>
      </c>
      <c r="AH41">
        <f t="shared" si="21"/>
        <v>480.56366666666599</v>
      </c>
      <c r="AI41">
        <f t="shared" si="22"/>
        <v>13.347666666666555</v>
      </c>
      <c r="AJ41">
        <f t="shared" si="23"/>
        <v>43.923666666666577</v>
      </c>
      <c r="AK41">
        <f t="shared" si="24"/>
        <v>179.36349206349178</v>
      </c>
    </row>
    <row r="42" spans="32:40" x14ac:dyDescent="0.35">
      <c r="AF42" t="str">
        <f t="shared" si="19"/>
        <v>M022</v>
      </c>
      <c r="AG42">
        <f t="shared" si="20"/>
        <v>194.54650000000038</v>
      </c>
      <c r="AH42">
        <f t="shared" si="21"/>
        <v>694.54650000000038</v>
      </c>
      <c r="AI42">
        <f t="shared" si="22"/>
        <v>221.09050000000025</v>
      </c>
      <c r="AJ42">
        <f t="shared" si="23"/>
        <v>227.47450000000026</v>
      </c>
      <c r="AK42">
        <f t="shared" si="24"/>
        <v>393.37380952381</v>
      </c>
    </row>
    <row r="43" spans="32:40" x14ac:dyDescent="0.35">
      <c r="AF43" t="str">
        <f t="shared" si="19"/>
        <v>M017</v>
      </c>
      <c r="AG43">
        <f t="shared" si="20"/>
        <v>-21.071500000000015</v>
      </c>
      <c r="AH43">
        <f t="shared" si="21"/>
        <v>478.92849999999999</v>
      </c>
      <c r="AI43">
        <f t="shared" si="22"/>
        <v>18.000500000000102</v>
      </c>
      <c r="AJ43">
        <f t="shared" si="23"/>
        <v>30.000500000000102</v>
      </c>
      <c r="AK43">
        <f t="shared" si="24"/>
        <v>177.73761904761932</v>
      </c>
    </row>
    <row r="44" spans="32:40" x14ac:dyDescent="0.35">
      <c r="AF44" t="str">
        <f t="shared" si="19"/>
        <v>M023</v>
      </c>
      <c r="AG44">
        <f t="shared" si="20"/>
        <v>169.34033333333355</v>
      </c>
      <c r="AH44">
        <f t="shared" si="21"/>
        <v>669.34033333333355</v>
      </c>
      <c r="AI44">
        <f t="shared" si="22"/>
        <v>196.26833333333343</v>
      </c>
      <c r="AJ44">
        <f t="shared" si="23"/>
        <v>206.49233333333359</v>
      </c>
      <c r="AK44">
        <f t="shared" si="24"/>
        <v>368.17936507936565</v>
      </c>
    </row>
    <row r="45" spans="32:40" x14ac:dyDescent="0.35">
      <c r="AF45" t="str">
        <f t="shared" si="19"/>
        <v>M005</v>
      </c>
      <c r="AG45">
        <f t="shared" si="20"/>
        <v>-76.707500000000437</v>
      </c>
      <c r="AH45">
        <f t="shared" si="21"/>
        <v>423.29249999999956</v>
      </c>
      <c r="AI45">
        <f t="shared" si="22"/>
        <v>-29.043499999999767</v>
      </c>
      <c r="AJ45">
        <f t="shared" si="23"/>
        <v>-31.683500000001004</v>
      </c>
      <c r="AK45">
        <f t="shared" si="24"/>
        <v>122.09952380952336</v>
      </c>
    </row>
    <row r="46" spans="32:40" x14ac:dyDescent="0.35">
      <c r="AF46" t="str">
        <f t="shared" si="19"/>
        <v>M007</v>
      </c>
      <c r="AG46">
        <f t="shared" si="20"/>
        <v>48.745166666667501</v>
      </c>
      <c r="AH46">
        <f t="shared" si="21"/>
        <v>548.7451666666675</v>
      </c>
      <c r="AI46">
        <f t="shared" si="22"/>
        <v>91.465166666667756</v>
      </c>
      <c r="AJ46">
        <f t="shared" si="23"/>
        <v>78.409166666667261</v>
      </c>
      <c r="AK46">
        <f t="shared" si="24"/>
        <v>247.58968253968351</v>
      </c>
    </row>
    <row r="47" spans="32:40" x14ac:dyDescent="0.35">
      <c r="AF47" t="str">
        <f t="shared" si="19"/>
        <v>M010</v>
      </c>
      <c r="AG47">
        <f t="shared" si="20"/>
        <v>50.538166666666257</v>
      </c>
      <c r="AH47">
        <f t="shared" si="21"/>
        <v>550.53816666666626</v>
      </c>
      <c r="AI47">
        <f t="shared" si="22"/>
        <v>83.898166666666839</v>
      </c>
      <c r="AJ47">
        <f t="shared" si="23"/>
        <v>98.538166666666257</v>
      </c>
      <c r="AK47">
        <f t="shared" si="24"/>
        <v>249.38873015873014</v>
      </c>
    </row>
    <row r="48" spans="32:40" x14ac:dyDescent="0.35">
      <c r="AF48" t="str">
        <f t="shared" si="19"/>
        <v>M018</v>
      </c>
      <c r="AG48">
        <f t="shared" si="20"/>
        <v>-29.935333333332892</v>
      </c>
      <c r="AH48">
        <f t="shared" si="21"/>
        <v>470.06466666666711</v>
      </c>
      <c r="AI48">
        <f t="shared" si="22"/>
        <v>7.9366666666674064</v>
      </c>
      <c r="AJ48">
        <f t="shared" si="23"/>
        <v>25.264666666666926</v>
      </c>
      <c r="AK48">
        <f t="shared" si="24"/>
        <v>168.88444444444485</v>
      </c>
    </row>
    <row r="49" spans="32:37" x14ac:dyDescent="0.35">
      <c r="AF49" t="str">
        <f t="shared" si="19"/>
        <v>M006</v>
      </c>
      <c r="AG49">
        <f t="shared" si="20"/>
        <v>-125.82800000000134</v>
      </c>
      <c r="AH49">
        <f t="shared" si="21"/>
        <v>374.17199999999866</v>
      </c>
      <c r="AI49">
        <f t="shared" si="22"/>
        <v>-79.940000000001419</v>
      </c>
      <c r="AJ49">
        <f t="shared" si="23"/>
        <v>-67.268000000000939</v>
      </c>
      <c r="AK49">
        <f t="shared" si="24"/>
        <v>72.94095238095133</v>
      </c>
    </row>
    <row r="50" spans="32:37" x14ac:dyDescent="0.35">
      <c r="AF50" t="str">
        <f t="shared" si="19"/>
        <v>M021</v>
      </c>
      <c r="AG50">
        <f t="shared" si="20"/>
        <v>-51.514833333331808</v>
      </c>
      <c r="AH50">
        <f t="shared" si="21"/>
        <v>448.48516666666819</v>
      </c>
      <c r="AI50">
        <f t="shared" si="22"/>
        <v>-14.218833333331531</v>
      </c>
      <c r="AJ50">
        <f t="shared" si="23"/>
        <v>9.1571666666677629</v>
      </c>
      <c r="AK50">
        <f t="shared" si="24"/>
        <v>147.30396825396974</v>
      </c>
    </row>
    <row r="51" spans="32:37" x14ac:dyDescent="0.35">
      <c r="AF51" t="str">
        <f t="shared" si="19"/>
        <v>M003</v>
      </c>
      <c r="AG51">
        <f t="shared" si="20"/>
        <v>-1.3290000000015425</v>
      </c>
      <c r="AH51">
        <f t="shared" si="21"/>
        <v>498.67099999999846</v>
      </c>
      <c r="AI51">
        <f t="shared" si="22"/>
        <v>26.846999999998843</v>
      </c>
      <c r="AJ51">
        <f t="shared" si="23"/>
        <v>67.598999999999251</v>
      </c>
      <c r="AK51">
        <f t="shared" si="24"/>
        <v>197.47714285714164</v>
      </c>
    </row>
    <row r="52" spans="32:37" x14ac:dyDescent="0.35">
      <c r="AF52" t="str">
        <f t="shared" si="19"/>
        <v>M025</v>
      </c>
      <c r="AG52">
        <f t="shared" si="20"/>
        <v>97.658333333332848</v>
      </c>
      <c r="AH52">
        <f t="shared" si="21"/>
        <v>597.65833333333285</v>
      </c>
      <c r="AI52">
        <f t="shared" si="22"/>
        <v>130.73033333333296</v>
      </c>
      <c r="AJ52">
        <f t="shared" si="23"/>
        <v>136.82633333333342</v>
      </c>
      <c r="AK52">
        <f t="shared" si="24"/>
        <v>296.50507936507893</v>
      </c>
    </row>
    <row r="53" spans="32:37" x14ac:dyDescent="0.35">
      <c r="AF53" t="str">
        <f t="shared" si="19"/>
        <v>M015</v>
      </c>
      <c r="AG53">
        <f t="shared" si="20"/>
        <v>9.2843333333321425</v>
      </c>
      <c r="AH53">
        <f t="shared" si="21"/>
        <v>509.28433333333214</v>
      </c>
      <c r="AI53">
        <f t="shared" si="22"/>
        <v>53.540333333332455</v>
      </c>
      <c r="AJ53">
        <f t="shared" si="23"/>
        <v>43.844333333332543</v>
      </c>
      <c r="AK53">
        <f t="shared" si="24"/>
        <v>208.11079365079286</v>
      </c>
    </row>
    <row r="54" spans="32:37" x14ac:dyDescent="0.35">
      <c r="AF54" t="str">
        <f t="shared" si="19"/>
        <v>M019</v>
      </c>
      <c r="AG54">
        <f t="shared" si="20"/>
        <v>-118.54716666666673</v>
      </c>
      <c r="AH54">
        <f t="shared" si="21"/>
        <v>381.45283333333282</v>
      </c>
      <c r="AI54">
        <f t="shared" si="22"/>
        <v>-79.09116666666705</v>
      </c>
      <c r="AJ54">
        <f t="shared" si="23"/>
        <v>-48.851166666666359</v>
      </c>
      <c r="AK54">
        <f t="shared" si="24"/>
        <v>80.28650793650786</v>
      </c>
    </row>
    <row r="55" spans="32:37" x14ac:dyDescent="0.35">
      <c r="AF55" t="str">
        <f t="shared" si="19"/>
        <v>M012</v>
      </c>
      <c r="AG55">
        <f t="shared" si="20"/>
        <v>46.603833333333569</v>
      </c>
      <c r="AH55">
        <f t="shared" si="21"/>
        <v>546.60383333333357</v>
      </c>
      <c r="AI55">
        <f t="shared" si="22"/>
        <v>86.203833333333932</v>
      </c>
      <c r="AJ55">
        <f t="shared" si="23"/>
        <v>82.891833333333125</v>
      </c>
      <c r="AK55">
        <f t="shared" si="24"/>
        <v>245.45888888888931</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DEE2D-1A33-4033-8CE0-DF038F3ABED6}">
  <dimension ref="A1:G88"/>
  <sheetViews>
    <sheetView topLeftCell="D7" zoomScale="72" zoomScaleNormal="30" workbookViewId="0">
      <selection activeCell="H31" sqref="H31"/>
    </sheetView>
  </sheetViews>
  <sheetFormatPr defaultRowHeight="14.5" x14ac:dyDescent="0.35"/>
  <cols>
    <col min="2" max="2" width="21.36328125" bestFit="1" customWidth="1"/>
    <col min="4" max="4" width="31.54296875" bestFit="1" customWidth="1"/>
    <col min="6" max="6" width="20.1796875" bestFit="1" customWidth="1"/>
  </cols>
  <sheetData>
    <row r="1" spans="1:7" x14ac:dyDescent="0.35">
      <c r="A1" t="s">
        <v>1</v>
      </c>
    </row>
    <row r="3" spans="1:7" x14ac:dyDescent="0.35">
      <c r="A3" s="1" t="s">
        <v>1849</v>
      </c>
    </row>
    <row r="4" spans="1:7" x14ac:dyDescent="0.35">
      <c r="A4" t="s">
        <v>1850</v>
      </c>
    </row>
    <row r="6" spans="1:7" x14ac:dyDescent="0.35">
      <c r="B6" t="s">
        <v>1851</v>
      </c>
      <c r="D6" t="s">
        <v>1852</v>
      </c>
      <c r="F6" t="s">
        <v>1853</v>
      </c>
    </row>
    <row r="7" spans="1:7" x14ac:dyDescent="0.35">
      <c r="B7">
        <f>COUNTA(tblComponents[Component_ID])</f>
        <v>500</v>
      </c>
      <c r="D7">
        <f>COUNTIF(tblComponents[Sourcing_Type],"Make")</f>
        <v>300</v>
      </c>
      <c r="F7">
        <f>COUNTIF(tblComponents[Sourcing_Type],"Buy")</f>
        <v>200</v>
      </c>
    </row>
    <row r="9" spans="1:7" x14ac:dyDescent="0.35">
      <c r="B9" t="s">
        <v>1854</v>
      </c>
      <c r="D9" t="s">
        <v>1855</v>
      </c>
      <c r="F9" t="s">
        <v>1856</v>
      </c>
    </row>
    <row r="10" spans="1:7" x14ac:dyDescent="0.35">
      <c r="B10">
        <f>COUNTA('10_machine_capacity'!A3:A27)</f>
        <v>24</v>
      </c>
      <c r="D10">
        <f>'14_capacity_scenarios'!AK4</f>
        <v>13</v>
      </c>
      <c r="F10">
        <f>'11_oee_analysis'!N7</f>
        <v>0.76857549264692759</v>
      </c>
    </row>
    <row r="13" spans="1:7" x14ac:dyDescent="0.35">
      <c r="B13" t="s">
        <v>1857</v>
      </c>
      <c r="F13" t="s">
        <v>1686</v>
      </c>
      <c r="G13" t="s">
        <v>490</v>
      </c>
    </row>
    <row r="31" spans="2:6" x14ac:dyDescent="0.35">
      <c r="B31" t="s">
        <v>1858</v>
      </c>
      <c r="F31" t="s">
        <v>1859</v>
      </c>
    </row>
    <row r="50" spans="2:2" x14ac:dyDescent="0.35">
      <c r="B50" s="1"/>
    </row>
    <row r="52" spans="2:2" ht="17.5" x14ac:dyDescent="0.35">
      <c r="B52" s="22"/>
    </row>
    <row r="53" spans="2:2" x14ac:dyDescent="0.35">
      <c r="B53" s="23"/>
    </row>
    <row r="55" spans="2:2" ht="17.5" x14ac:dyDescent="0.35">
      <c r="B55" s="22"/>
    </row>
    <row r="56" spans="2:2" x14ac:dyDescent="0.35">
      <c r="B56" s="23"/>
    </row>
    <row r="58" spans="2:2" ht="17.5" x14ac:dyDescent="0.35">
      <c r="B58" s="22"/>
    </row>
    <row r="59" spans="2:2" x14ac:dyDescent="0.35">
      <c r="B59" s="23"/>
    </row>
    <row r="61" spans="2:2" ht="17.5" x14ac:dyDescent="0.35">
      <c r="B61" s="22"/>
    </row>
    <row r="62" spans="2:2" x14ac:dyDescent="0.35">
      <c r="B62" s="23"/>
    </row>
    <row r="63" spans="2:2" x14ac:dyDescent="0.35">
      <c r="B63" s="23"/>
    </row>
    <row r="65" spans="2:2" ht="17.5" x14ac:dyDescent="0.35">
      <c r="B65" s="22"/>
    </row>
    <row r="66" spans="2:2" x14ac:dyDescent="0.35">
      <c r="B66" s="23"/>
    </row>
    <row r="67" spans="2:2" x14ac:dyDescent="0.35">
      <c r="B67" s="23"/>
    </row>
    <row r="70" spans="2:2" ht="14.5" customHeight="1" x14ac:dyDescent="0.35"/>
    <row r="71" spans="2:2" s="5" customFormat="1" ht="14.5" customHeight="1" x14ac:dyDescent="0.35">
      <c r="B71" s="25"/>
    </row>
    <row r="75" spans="2:2" ht="14.5" customHeight="1" x14ac:dyDescent="0.35">
      <c r="B75" s="24"/>
    </row>
    <row r="79" spans="2:2" x14ac:dyDescent="0.35">
      <c r="B79" s="1"/>
    </row>
    <row r="82" spans="2:2" x14ac:dyDescent="0.35">
      <c r="B82" s="1"/>
    </row>
    <row r="85" spans="2:2" x14ac:dyDescent="0.35">
      <c r="B85" s="1"/>
    </row>
    <row r="88" spans="2:2" x14ac:dyDescent="0.35">
      <c r="B88" s="1"/>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66325-7FF0-4BB3-BD20-BD4667CC99F0}">
  <dimension ref="A1:D115"/>
  <sheetViews>
    <sheetView zoomScale="80" zoomScaleNormal="80" workbookViewId="0">
      <selection activeCell="A52" sqref="A52:XFD52"/>
    </sheetView>
  </sheetViews>
  <sheetFormatPr defaultRowHeight="14.5" x14ac:dyDescent="0.35"/>
  <cols>
    <col min="1" max="1" width="3.54296875" customWidth="1"/>
    <col min="2" max="2" width="21.26953125" customWidth="1"/>
    <col min="3" max="3" width="33.36328125" customWidth="1"/>
    <col min="4" max="4" width="34.26953125" customWidth="1"/>
  </cols>
  <sheetData>
    <row r="1" spans="1:2" x14ac:dyDescent="0.35">
      <c r="A1" s="1" t="s">
        <v>1860</v>
      </c>
    </row>
    <row r="3" spans="1:2" x14ac:dyDescent="0.35">
      <c r="A3" t="s">
        <v>1861</v>
      </c>
    </row>
    <row r="4" spans="1:2" x14ac:dyDescent="0.35">
      <c r="A4" s="7" t="s">
        <v>1862</v>
      </c>
    </row>
    <row r="6" spans="1:2" x14ac:dyDescent="0.35">
      <c r="A6" s="23">
        <v>1</v>
      </c>
      <c r="B6" t="s">
        <v>1863</v>
      </c>
    </row>
    <row r="26" spans="1:4" x14ac:dyDescent="0.35">
      <c r="A26">
        <v>2</v>
      </c>
      <c r="B26" t="s">
        <v>1864</v>
      </c>
    </row>
    <row r="28" spans="1:4" x14ac:dyDescent="0.35">
      <c r="B28" s="1" t="s">
        <v>1865</v>
      </c>
    </row>
    <row r="29" spans="1:4" x14ac:dyDescent="0.35">
      <c r="B29" s="1" t="s">
        <v>1866</v>
      </c>
      <c r="C29" s="1" t="s">
        <v>1867</v>
      </c>
      <c r="D29" s="1" t="s">
        <v>1868</v>
      </c>
    </row>
    <row r="30" spans="1:4" ht="43.5" x14ac:dyDescent="0.35">
      <c r="B30" s="10" t="s">
        <v>32</v>
      </c>
      <c r="C30" s="2" t="s">
        <v>1869</v>
      </c>
      <c r="D30" s="2" t="s">
        <v>1870</v>
      </c>
    </row>
    <row r="31" spans="1:4" ht="29" x14ac:dyDescent="0.35">
      <c r="B31" s="10" t="s">
        <v>241</v>
      </c>
      <c r="C31" s="2" t="s">
        <v>1871</v>
      </c>
      <c r="D31" s="2" t="s">
        <v>1872</v>
      </c>
    </row>
    <row r="32" spans="1:4" ht="29" x14ac:dyDescent="0.35">
      <c r="B32" s="10" t="s">
        <v>1873</v>
      </c>
      <c r="C32" s="2" t="s">
        <v>1874</v>
      </c>
      <c r="D32" s="2" t="s">
        <v>1875</v>
      </c>
    </row>
    <row r="33" spans="2:4" ht="29" x14ac:dyDescent="0.35">
      <c r="B33" s="10" t="s">
        <v>229</v>
      </c>
      <c r="C33" s="2" t="s">
        <v>1876</v>
      </c>
      <c r="D33" s="2" t="s">
        <v>1877</v>
      </c>
    </row>
    <row r="34" spans="2:4" ht="43.5" x14ac:dyDescent="0.35">
      <c r="B34" s="10" t="s">
        <v>1878</v>
      </c>
      <c r="C34" s="2" t="s">
        <v>1879</v>
      </c>
      <c r="D34" s="2" t="s">
        <v>1880</v>
      </c>
    </row>
    <row r="35" spans="2:4" ht="29" x14ac:dyDescent="0.35">
      <c r="B35" s="10" t="s">
        <v>93</v>
      </c>
      <c r="C35" s="2" t="s">
        <v>1881</v>
      </c>
      <c r="D35" s="2" t="s">
        <v>1882</v>
      </c>
    </row>
    <row r="36" spans="2:4" ht="43.5" x14ac:dyDescent="0.35">
      <c r="B36" s="10" t="s">
        <v>1883</v>
      </c>
      <c r="C36" s="2" t="s">
        <v>1884</v>
      </c>
      <c r="D36" s="2" t="s">
        <v>1885</v>
      </c>
    </row>
    <row r="53" spans="1:2" x14ac:dyDescent="0.35">
      <c r="A53">
        <v>3</v>
      </c>
      <c r="B53" t="s">
        <v>1886</v>
      </c>
    </row>
    <row r="103" spans="1:4" x14ac:dyDescent="0.35">
      <c r="A103">
        <v>4</v>
      </c>
      <c r="B103" t="s">
        <v>1887</v>
      </c>
    </row>
    <row r="105" spans="1:4" x14ac:dyDescent="0.35">
      <c r="B105" s="1" t="s">
        <v>1888</v>
      </c>
    </row>
    <row r="106" spans="1:4" x14ac:dyDescent="0.35">
      <c r="B106" s="12" t="s">
        <v>1889</v>
      </c>
      <c r="C106" s="18" t="s">
        <v>1890</v>
      </c>
      <c r="D106" s="18" t="s">
        <v>456</v>
      </c>
    </row>
    <row r="107" spans="1:4" x14ac:dyDescent="0.35">
      <c r="B107" s="8" t="s">
        <v>1891</v>
      </c>
      <c r="C107" s="8" t="s">
        <v>1892</v>
      </c>
      <c r="D107" s="8" t="s">
        <v>1893</v>
      </c>
    </row>
    <row r="108" spans="1:4" x14ac:dyDescent="0.35">
      <c r="B108" s="8" t="s">
        <v>1891</v>
      </c>
      <c r="C108" s="8" t="s">
        <v>1894</v>
      </c>
      <c r="D108" s="8" t="s">
        <v>1895</v>
      </c>
    </row>
    <row r="109" spans="1:4" ht="29" x14ac:dyDescent="0.35">
      <c r="B109" s="8" t="s">
        <v>1896</v>
      </c>
      <c r="C109" s="8" t="s">
        <v>1897</v>
      </c>
      <c r="D109" s="8" t="s">
        <v>1898</v>
      </c>
    </row>
    <row r="110" spans="1:4" x14ac:dyDescent="0.35">
      <c r="B110" s="8" t="s">
        <v>1896</v>
      </c>
      <c r="C110" s="8" t="s">
        <v>1899</v>
      </c>
      <c r="D110" s="8" t="s">
        <v>1900</v>
      </c>
    </row>
    <row r="111" spans="1:4" x14ac:dyDescent="0.35">
      <c r="B111" s="8" t="s">
        <v>1901</v>
      </c>
      <c r="C111" s="8" t="s">
        <v>1902</v>
      </c>
      <c r="D111" s="8" t="s">
        <v>1903</v>
      </c>
    </row>
    <row r="112" spans="1:4" ht="29" x14ac:dyDescent="0.35">
      <c r="B112" s="8" t="s">
        <v>1904</v>
      </c>
      <c r="C112" s="8" t="s">
        <v>1905</v>
      </c>
      <c r="D112" s="8" t="s">
        <v>1906</v>
      </c>
    </row>
    <row r="115" spans="1:2" x14ac:dyDescent="0.35">
      <c r="A115">
        <v>5</v>
      </c>
      <c r="B115" t="s">
        <v>1907</v>
      </c>
    </row>
  </sheetData>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01_README</vt:lpstr>
      <vt:lpstr>02_data_dictionary</vt:lpstr>
      <vt:lpstr>03_raw_components</vt:lpstr>
      <vt:lpstr>04_raw_machines</vt:lpstr>
      <vt:lpstr>05_raw_supplier</vt:lpstr>
      <vt:lpstr>06_raw_machine_oee</vt:lpstr>
      <vt:lpstr>07_raw_labour</vt:lpstr>
      <vt:lpstr>08_demand_planning</vt:lpstr>
      <vt:lpstr>09_inventory_production_reqmnt</vt:lpstr>
      <vt:lpstr>10_machine_capacity</vt:lpstr>
      <vt:lpstr>11_oee_analysis</vt:lpstr>
      <vt:lpstr>12_bottleneck_analysis</vt:lpstr>
      <vt:lpstr>13_cost_contribution</vt:lpstr>
      <vt:lpstr>14_capacity_scenarios</vt:lpstr>
      <vt:lpstr>15_management_dashboard</vt:lpstr>
      <vt:lpstr>16_Project_Conclusion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Choudhari</dc:creator>
  <cp:lastModifiedBy>Arya Choudhari</cp:lastModifiedBy>
  <dcterms:created xsi:type="dcterms:W3CDTF">2015-06-05T18:17:20Z</dcterms:created>
  <dcterms:modified xsi:type="dcterms:W3CDTF">2026-09-04T03:33:18Z</dcterms:modified>
</cp:coreProperties>
</file>